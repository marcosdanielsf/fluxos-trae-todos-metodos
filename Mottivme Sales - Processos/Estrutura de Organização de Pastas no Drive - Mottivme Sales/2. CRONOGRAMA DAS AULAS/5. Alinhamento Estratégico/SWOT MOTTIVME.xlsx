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ício" sheetId="1" r:id="rId4"/>
    <sheet state="visible" name="Forças" sheetId="2" r:id="rId5"/>
    <sheet state="visible" name="Fraquezas" sheetId="3" r:id="rId6"/>
    <sheet state="visible" name="Oportunidades" sheetId="4" r:id="rId7"/>
    <sheet state="visible" name="Ameaças" sheetId="5" r:id="rId8"/>
    <sheet state="visible" name="Matriz SWOT" sheetId="6" r:id="rId9"/>
    <sheet state="visible" name="Cruzamento" sheetId="7" r:id="rId10"/>
    <sheet state="visible" name="Cruzamento - FxO" sheetId="8" r:id="rId11"/>
    <sheet state="visible" name="Gráficos" sheetId="9" r:id="rId12"/>
    <sheet state="visible" name="GPA" sheetId="10" r:id="rId13"/>
    <sheet state="visible" name="Imprimir" sheetId="11" r:id="rId14"/>
    <sheet state="hidden" name="Dúvidas e Respostas" sheetId="12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Cadastre as forças do seu negócio. Verifique o exemplo preenchido para ter uma referência de itens que podem ser importantes.</t>
      </text>
    </comment>
    <comment authorId="0" ref="D4">
      <text>
        <t xml:space="preserve">Selecione a importância do item. Isto ajudará a criar uma priorização de itens na definição de planos de ação.</t>
      </text>
    </comment>
    <comment authorId="0" ref="E4">
      <text>
        <t xml:space="preserve">Selecione a intensidade do item. Isto ajudará a criar uma priorização de itens na definição de planos de ação.</t>
      </text>
    </comment>
    <comment authorId="0" ref="F4">
      <text>
        <t xml:space="preserve">Selecione a tendência do item. Isto ajudará a criar uma priorização de itens na definição de planos de ação.</t>
      </text>
    </comment>
    <comment authorId="0" ref="G4">
      <text>
        <t xml:space="preserve">Para cada item da análise você precisará marcar um grau de importância, urgência e tendência. Esta configuração gerará uma pontuação onde cada coluna tem uma pontuação de 1 a 5 e depois são multiplicados entre si. Por exemplo, ao marcar um item como "Totalmente importante" (5), "Nada urgente" (1) e "Melhora" (2), a pontuação será 5 x 1 x 2 = 10. Esta pontuação gerará os resultados adiante na planilha.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Cadastre as forças do seu negócio. Verifique o exemplo preenchido para ter uma referência de itens que podem ser importantes.</t>
      </text>
    </comment>
    <comment authorId="0" ref="D4">
      <text>
        <t xml:space="preserve">Selecione a importância do item. Isto ajudará a criar uma priorização de itens na definição de planos de ação.</t>
      </text>
    </comment>
    <comment authorId="0" ref="E4">
      <text>
        <t xml:space="preserve">Selecione a intensidade do item. Isto ajudará a criar uma priorização de itens na definição de planos de ação.</t>
      </text>
    </comment>
    <comment authorId="0" ref="F4">
      <text>
        <t xml:space="preserve">Selecione a tendência do item. Isto ajudará a criar uma priorização de itens na definição de planos de ação.</t>
      </text>
    </comment>
    <comment authorId="0" ref="G4">
      <text>
        <t xml:space="preserve">Para cada item da análise você precisará marcar um grau de importância, urgência e tendência. Esta configuração gerará uma pontuação onde cada coluna tem uma pontuação de 1 a 5 e depois são multiplicados entre si. Por exemplo, ao marcar um item como "Totalmente importante" (5), "Nada urgente" (1) e "Melhora" (2), a pontuação será 5 x 1 x 2 = 10. Esta pontuação gerará os resultados adiante na planilha.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Cadastre as forças do seu negócio. Verifique o exemplo preenchido para ter uma referência de itens que podem ser importantes.</t>
      </text>
    </comment>
    <comment authorId="0" ref="D4">
      <text>
        <t xml:space="preserve">Selecione a importância do item. Isto ajudará a criar uma priorização de itens na definição de planos de ação.</t>
      </text>
    </comment>
    <comment authorId="0" ref="E4">
      <text>
        <t xml:space="preserve">Selecione a urgência do item. Isto ajudará a criar uma priorização de itens na definição de planos de ação.</t>
      </text>
    </comment>
    <comment authorId="0" ref="F4">
      <text>
        <t xml:space="preserve">Selecione a tendência do item. Isto ajudará a criar uma priorização de itens na definição de planos de ação.</t>
      </text>
    </comment>
    <comment authorId="0" ref="G4">
      <text>
        <t xml:space="preserve">Para cada item da análise você precisará marcar um grau de importância, urgência e tendência. Esta configuração gerará uma pontuação onde cada coluna tem uma pontuação de 1 a 5 e depois são multiplicados entre si. Por exemplo, ao marcar um item como "Totalmente importante" (5), "Nada urgente" (1) e "Melhora" (2), a pontuação será 5 x 1 x 2 = 10. Esta pontuação gerará os resultados adiante na planilha.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Cadastre as forças do seu negócio. Verifique o exemplo preenchido para ter uma referência de itens que podem ser importantes.</t>
      </text>
    </comment>
    <comment authorId="0" ref="D4">
      <text>
        <t xml:space="preserve">Selecione a importância do item. Isto ajudará a criar uma priorização de itens na definição de planos de ação.</t>
      </text>
    </comment>
    <comment authorId="0" ref="E4">
      <text>
        <t xml:space="preserve">Selecione a urgência do item. Isto ajudará a criar uma priorização de itens na definição de planos de ação.</t>
      </text>
    </comment>
    <comment authorId="0" ref="F4">
      <text>
        <t xml:space="preserve">Selecione a tendência do item. Isto ajudará a criar uma priorização de itens na definição de planos de ação.</t>
      </text>
    </comment>
    <comment authorId="0" ref="G4">
      <text>
        <t xml:space="preserve">Para cada item da análise você precisará marcar um grau de importância, urgência e tendência. Esta configuração gerará uma pontuação onde cada coluna tem uma pontuação de 1 a 5 e depois são multiplicados entre si. Por exemplo, ao marcar um item como "Totalmente importante" (5), "Nada urgente" (1) e "Melhora" (2), a pontuação será 5 x 1 x 2 = 10. Esta pontuação gerará os resultados adiante na planilha.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Nessa tabela você terá seus fatores internos classificados dos mais pontuados para os menos.</t>
      </text>
    </comment>
    <comment authorId="0" ref="C12">
      <text>
        <t xml:space="preserve">Nessa tabela você terá seus fatores externos classificados dos mais pontuados para os menos.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Selecione uma de suas forças ou fraquezas para relacionar a uma oportunidade ou ameaça. Isso ajudará a definir os tipos de planos de ação a desenvolver.</t>
      </text>
    </comment>
    <comment authorId="0" ref="D7">
      <text>
        <t xml:space="preserve">Aqui você vê se o item é uma força ou fraqueza na sua SWOT.</t>
      </text>
    </comment>
    <comment authorId="0" ref="E7">
      <text>
        <t xml:space="preserve">Selecione uma oportunidade ou ameaça para relacionar ao item força ou fraqueza. Isso ajudará a definir os tipos de planos de ação a desenvolver.</t>
      </text>
    </comment>
    <comment authorId="0" ref="F7">
      <text>
        <t xml:space="preserve">Aqui você vê se o item é uma oportunidade ou ameaça na sua SWOT.</t>
      </text>
    </comment>
    <comment authorId="0" ref="G7">
      <text>
        <t xml:space="preserve">Aqui você verá o tipo de estratégia que você deverá procurar desenvolver nos seus planos de ação.
Verde - Uma força relacionada a uma oportunidade. Isto pode representar uma ótima possibilidade de criar vantagens competitivas.
Amarelo - Você precisa ter atenção. Você pode estar perdendo uma oportunidade por conta de uma fraqueza ou o ambiente pode estar prejudicando uma de suas forças.
Vermelho - Você tem uma fraqueza relacionada a uma ameaça. Isto pode significar que você precisará pensar em novas estratégias no mercado e até processos internos.</t>
      </text>
    </comment>
    <comment authorId="0" ref="H7">
      <text>
        <t xml:space="preserve">Aqui você verá uma recomendação sobre o tipo de plano de ação que você deve criar para cada tipo de estratégia.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Aqui você definirá os planos de ação aplicáveis a cada um dos principais itens da sua SWOT.</t>
      </text>
    </comment>
    <comment authorId="0" ref="D6">
      <text>
        <t xml:space="preserve">Estes são os principais itens da sua SWOT.</t>
      </text>
    </comment>
    <comment authorId="0" ref="E6">
      <text>
        <t xml:space="preserve">Aqui você vê se o item é uma força, fraqueza, oportunidade ou ameaça na sua SWOT.</t>
      </text>
    </comment>
    <comment authorId="0" ref="F6">
      <text>
        <t xml:space="preserve">Aqui você deve definir os responsáveis por cada plano de ação.</t>
      </text>
    </comment>
    <comment authorId="0" ref="G6">
      <text>
        <t xml:space="preserve">Aqui você vê a área a qual o plano de ação está definido de acordo com o responsável selecionado.</t>
      </text>
    </comment>
    <comment authorId="0" ref="H6">
      <text>
        <t xml:space="preserve">A previsão de início pode ser também a data efetiva de início, caso você esteja preenchendo a planilha após o início da execução do plano de ação.</t>
      </text>
    </comment>
    <comment authorId="0" ref="I6">
      <text>
        <t xml:space="preserve">A previsão de fim pode ser também a data efetiva de término da execução do plano de ação, caso você esteja preenchendo a planilha após após esta atividade. Contudo, é ideal que você planeje primeiro para que você possa avaliar e analisar o andamento da execução.</t>
      </text>
    </comment>
    <comment authorId="0" ref="J6">
      <text>
        <t xml:space="preserve">Selecione o momento atual do andamento da execução do plano de ação. O plano pode estar não iniciado, em andamento ou concluído.</t>
      </text>
    </comment>
    <comment authorId="0" ref="K6">
      <text>
        <t xml:space="preserve">Este é um status geral da execução do seu plano de ação. Se vermelho, indica que a execução está atrasada e que você precisa tomar alguma atitude com relação a ao plano de ação em questão.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A partir das análises anteriores, criamos um índice para medir a favorabilidade do seu negócio. De acordo com o resultado, veja a dica personalizada para você embaixo do gráfico.</t>
      </text>
    </comment>
    <comment authorId="0" ref="C11">
      <text>
        <t xml:space="preserve">Aqui você encontrará dicas da My Direction para manter ou melhorar o seu resultado. Fique atento!</t>
      </text>
    </comment>
    <comment authorId="0" ref="C17">
      <text>
        <t xml:space="preserve">Representação gráfica da sua matriz SWOT.</t>
      </text>
    </comment>
    <comment authorId="0" ref="H17">
      <text>
        <t xml:space="preserve">Representação gráfica da sua matriz SWOT.</t>
      </text>
    </comment>
    <comment authorId="0" ref="C24">
      <text>
        <t xml:space="preserve">Veja aqui suas forças ranqueadas por grau de importância.</t>
      </text>
    </comment>
    <comment authorId="0" ref="H24">
      <text>
        <t xml:space="preserve">Veja aqui suas forças ranqueadas por grau de importância.</t>
      </text>
    </comment>
    <comment authorId="0" ref="C32">
      <text>
        <t xml:space="preserve">Todas as suas oportunidades em rank.</t>
      </text>
    </comment>
    <comment authorId="0" ref="H32">
      <text>
        <t xml:space="preserve">Todas as suas ameaças em rank.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Este é um resultado de gestão. Ele indica o quanto você está usando a página de planos de ação para melhorar o seu negócio.</t>
      </text>
    </comment>
    <comment authorId="0" ref="C7">
      <text>
        <t xml:space="preserve">Representação gráfica dos status dos seus planos de ação.</t>
      </text>
    </comment>
    <comment authorId="0" ref="F7">
      <text>
        <t xml:space="preserve">Representação gráfica dos seus planos de ação conformes.</t>
      </text>
    </comment>
    <comment authorId="0" ref="C14">
      <text>
        <t xml:space="preserve">É importante ter seus planos de ação bem distribuídos, muito embora possa não ser necessário ou possível. 
Neste gráfico você vê a quantidade de planos de ação para as 5 áreas mais carregadas.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1">
      <text>
        <t xml:space="preserve">Representação gráfica dos status dos seus planos de ação.</t>
      </text>
    </comment>
    <comment authorId="0" ref="K51">
      <text>
        <t xml:space="preserve">Representação gráfica dos seus planos de ação conformes.</t>
      </text>
    </comment>
    <comment authorId="0" ref="D60">
      <text>
        <t xml:space="preserve">Cuidado para não sobrecarregar demais uma só área da empresa. É legal ter seus planos de ação bem distribuídos, muito embora possa não ser necessário ou possível. Neste gráfico você vê a quantidade de planos de ação para as 5 áreas mais carregadas.</t>
      </text>
    </comment>
  </commentList>
</comments>
</file>

<file path=xl/sharedStrings.xml><?xml version="1.0" encoding="utf-8"?>
<sst xmlns="http://schemas.openxmlformats.org/spreadsheetml/2006/main" count="495" uniqueCount="241">
  <si>
    <t>ANÁLISE SWOT ORGANIZACIONAL</t>
  </si>
  <si>
    <t>Com esta planilha você conseguirá fazer uma Análise SWOT Organizacional de acordo com os seus objetivos a curto prazo. Coloque detalhadamente os fatores internos (forças e fraquezas) e fatores externos (oportunidades e ameaças) quanto a gestão de seu negócio/ projeto para extrair as melhores e maiores reflexões possíveis.</t>
  </si>
  <si>
    <r>
      <rPr>
        <rFont val="Calibri"/>
        <b/>
        <color rgb="FF595959"/>
        <sz val="12.0"/>
      </rPr>
      <t>IMPORTANTE:</t>
    </r>
    <r>
      <rPr>
        <rFont val="Calibri"/>
        <b/>
        <color rgb="FF660066"/>
        <sz val="12.0"/>
      </rPr>
      <t xml:space="preserve"> </t>
    </r>
    <r>
      <rPr>
        <rFont val="Calibri"/>
        <b/>
        <color rgb="FF14B1E7"/>
        <sz val="12.0"/>
      </rPr>
      <t>LEIA OS PASSOS E ENTENDA A PLANILHA</t>
    </r>
  </si>
  <si>
    <t>Passo 1</t>
  </si>
  <si>
    <t>CADASTROS</t>
  </si>
  <si>
    <t>Cadastre os seus objetivos para seu negócio ou projeto a curto prazo.
Descreva os objetivos de acordo com o planejamento estabelecido a curto prazo.</t>
  </si>
  <si>
    <t>Passo 2</t>
  </si>
  <si>
    <t>FATORES INTERNOS</t>
  </si>
  <si>
    <t>Segundo a metodologia da análise SWOT a matriz é composta por elementos que compõem o ambiente interno e externo da empresa</t>
  </si>
  <si>
    <r>
      <rPr>
        <rFont val="Arial"/>
        <b/>
        <color theme="1"/>
        <sz val="11.0"/>
      </rPr>
      <t>1.1. Forças:</t>
    </r>
    <r>
      <rPr>
        <rFont val="Arial"/>
        <color theme="1"/>
        <sz val="11.0"/>
      </rPr>
      <t xml:space="preserve"> defina a lista com as suas forças, o que faz com que os clientes optem por  seu negócio; qual disponibilidade de recursos imprescindíveis para a manutenção dos serviços ou produtos; o que  diferencia seu negócio dos demais.</t>
    </r>
  </si>
  <si>
    <r>
      <rPr>
        <rFont val="Arial"/>
        <b/>
        <color theme="1"/>
        <sz val="11.0"/>
      </rPr>
      <t>1.2. Fraquezas:</t>
    </r>
    <r>
      <rPr>
        <rFont val="Arial"/>
        <color theme="1"/>
        <sz val="11.0"/>
      </rPr>
      <t xml:space="preserve"> defina a lista com as  suas fraquezas (altos custos com transporte; maiores gastos com a manutenção de equipamentos, colaboradores com valor/hora mais caro etc.).</t>
    </r>
  </si>
  <si>
    <t>Passo 3</t>
  </si>
  <si>
    <t>FATORES EXTERNOS</t>
  </si>
  <si>
    <r>
      <rPr>
        <rFont val="Arial"/>
        <color rgb="FF7F7F7F"/>
        <sz val="11.0"/>
      </rPr>
      <t xml:space="preserve">Após ter definido os fatores internos, defina os seus </t>
    </r>
    <r>
      <rPr>
        <rFont val="Arial"/>
        <b/>
        <color rgb="FF7F7F7F"/>
        <sz val="11.0"/>
      </rPr>
      <t>fatores externos</t>
    </r>
    <r>
      <rPr>
        <rFont val="Arial"/>
        <color rgb="FF7F7F7F"/>
        <sz val="11.0"/>
      </rPr>
      <t>: oportunidades e ameaças.</t>
    </r>
  </si>
  <si>
    <r>
      <rPr>
        <rFont val="Arial"/>
        <b/>
        <color rgb="FF333333"/>
        <sz val="11.0"/>
      </rPr>
      <t>2.1. Oportunidades:</t>
    </r>
    <r>
      <rPr>
        <rFont val="Arial"/>
        <color rgb="FF333333"/>
        <sz val="11.0"/>
      </rPr>
      <t xml:space="preserve"> </t>
    </r>
    <r>
      <rPr>
        <rFont val="Arial"/>
        <color rgb="FF7F7F7F"/>
        <sz val="11.0"/>
      </rPr>
      <t>defina a lista com as oportunidades (fatores econômicos, oportunidades que estão surgindo e mudanças do mercado que podem favorecer seus clientes).</t>
    </r>
  </si>
  <si>
    <r>
      <rPr>
        <rFont val="Arial"/>
        <b/>
        <color theme="1"/>
        <sz val="11.0"/>
      </rPr>
      <t>2.2. Ameaças:</t>
    </r>
    <r>
      <rPr>
        <rFont val="Arial"/>
        <color theme="1"/>
        <sz val="11.0"/>
      </rPr>
      <t xml:space="preserve"> defina a lista com as ameaças identificadas no mercado (cenário no qual se concentram todos os fatores desfavoráveis para a empresa). Assim, além da ausência de controle sobre as questões, elas se apresentam como grandes ameaças para o negócio.</t>
    </r>
  </si>
  <si>
    <t>Passo 4</t>
  </si>
  <si>
    <t>MATRIZ SWOT</t>
  </si>
  <si>
    <t>Nesta parte da planilha será possível visualizar a visão geral da sua pontuação para as forças, fraquezas, oportunidades e ameaças. A partir desta visão, você terá o retorno da planilha sobre o seu momento profissional atual (desenvolvimento, manutenção, crescimento e sobrevivência). Além dos indicadores, veja também a lista com todas as forças, fraquezas, ameaças e oportunidades hierarquizadas, de acordo com sua pontuação.</t>
  </si>
  <si>
    <t>Passo 5</t>
  </si>
  <si>
    <t>CRUZAMENTOS</t>
  </si>
  <si>
    <t>Uma vez definido seus fatores internos e externos, chegou a hora de cruzar os dados combinando suas forças e fraquezas com ameças e oportunidades. Você pode traçar planos de ação para as combinações.</t>
  </si>
  <si>
    <t>Passo 6</t>
  </si>
  <si>
    <t>PLANOS DE AÇÃO</t>
  </si>
  <si>
    <t>Crie planos de ação de acordo com os principais itens da Análise SWOT e dos Cruzamentos feitas para obter grandes melhorias no curte e longo prazos.</t>
  </si>
  <si>
    <t>Passo 7</t>
  </si>
  <si>
    <t>RESULTADOS SWOT</t>
  </si>
  <si>
    <t>Veja os resultados da SWOT como Índice de Favorabilidade, Análise Individual dos Fatores Internos e Externose gráficos da Matriz SWOT.</t>
  </si>
  <si>
    <t>Passo 8</t>
  </si>
  <si>
    <t>RESULTADOS PLANOS DE AÇÃO</t>
  </si>
  <si>
    <t>Veja os resultados dos seus planos de ação graficamente.</t>
  </si>
  <si>
    <r>
      <rPr>
        <rFont val="Arial"/>
        <b/>
        <color theme="1"/>
        <sz val="11.0"/>
      </rPr>
      <t>8.1. Gráficos:</t>
    </r>
    <r>
      <rPr>
        <rFont val="Arial"/>
        <color theme="1"/>
        <sz val="11.0"/>
      </rPr>
      <t xml:space="preserve"> gráficos de desenvolvimento de planos de ação, status e conformidade dos planos em execução.</t>
    </r>
  </si>
  <si>
    <r>
      <rPr>
        <rFont val="Arial"/>
        <b/>
        <color theme="1"/>
        <sz val="11.0"/>
      </rPr>
      <t>8.2. Análise por Área:</t>
    </r>
    <r>
      <rPr>
        <rFont val="Arial"/>
        <color theme="1"/>
        <sz val="11.0"/>
      </rPr>
      <t xml:space="preserve"> veja a análise geral em relação aos planos de ação com cada status e o desempenho geral delas.</t>
    </r>
  </si>
  <si>
    <t>Passo 9</t>
  </si>
  <si>
    <t>RELATÓRIO DE IMPRESSÃO</t>
  </si>
  <si>
    <t>Imprima somente o que importa. Esta parte gera um relatório formatado para impressão em 7 páginas A4 com seu plano de ação para todas as combinações entre forças, fraquezas, oportunidades e ameaças. Além disso, tenha os gráficos, a lista hierarquizada, o ínidice de favorabilidade e as dicas.</t>
  </si>
  <si>
    <t>2. FATORES INTERNOS</t>
  </si>
  <si>
    <t>Item</t>
  </si>
  <si>
    <t>Importância</t>
  </si>
  <si>
    <t>Intensidade</t>
  </si>
  <si>
    <t>Tendência</t>
  </si>
  <si>
    <t>Pontuação</t>
  </si>
  <si>
    <t>Ex.: A marca é reconhecida no mercado</t>
  </si>
  <si>
    <t>Ex.: Importante</t>
  </si>
  <si>
    <t>Ex.: Média</t>
  </si>
  <si>
    <t>Ex.: Mantém</t>
  </si>
  <si>
    <t>Ex.: 27</t>
  </si>
  <si>
    <t>Sem importância</t>
  </si>
  <si>
    <t>Pouco importante</t>
  </si>
  <si>
    <t>Importante</t>
  </si>
  <si>
    <t>Muito importante</t>
  </si>
  <si>
    <t>Totalmente importante</t>
  </si>
  <si>
    <t>Muito forte</t>
  </si>
  <si>
    <t>Forte</t>
  </si>
  <si>
    <t>Média</t>
  </si>
  <si>
    <t>Fraca</t>
  </si>
  <si>
    <t>Muito fraca</t>
  </si>
  <si>
    <t>Melhora muito</t>
  </si>
  <si>
    <t>Melhora</t>
  </si>
  <si>
    <t>Pontuação geral das suas Forças</t>
  </si>
  <si>
    <t>→</t>
  </si>
  <si>
    <t>Mantém</t>
  </si>
  <si>
    <t>Piora</t>
  </si>
  <si>
    <t>Piora muito</t>
  </si>
  <si>
    <t>Pontuação geral das suas Fraquezas</t>
  </si>
  <si>
    <t>3. FATORES EXTERNOS</t>
  </si>
  <si>
    <t>Urgência</t>
  </si>
  <si>
    <t>Ex.: Existem mercados inexplorados</t>
  </si>
  <si>
    <t>Ex.: Urgente</t>
  </si>
  <si>
    <t>Nada urgente</t>
  </si>
  <si>
    <t>Pouco urgente</t>
  </si>
  <si>
    <t>Urgente</t>
  </si>
  <si>
    <t>Muito urgente</t>
  </si>
  <si>
    <t>Pra ontem</t>
  </si>
  <si>
    <t>Pontuação geral das suas Oportunidades</t>
  </si>
  <si>
    <t>Pontuação geral das suas Ameaças</t>
  </si>
  <si>
    <t>4. MATRIZ SWOT</t>
  </si>
  <si>
    <t>1. Fatores internos</t>
  </si>
  <si>
    <t>1.1 Top 5 Forças</t>
  </si>
  <si>
    <t>1.2 Top 5 Fraquezas</t>
  </si>
  <si>
    <t>Força</t>
  </si>
  <si>
    <t>Fraqueza</t>
  </si>
  <si>
    <t>2. Fatores externos</t>
  </si>
  <si>
    <t>2.1 Top 5 Oportunidades</t>
  </si>
  <si>
    <t>2.2 Top 5 Ameaças</t>
  </si>
  <si>
    <t>Oportunidade</t>
  </si>
  <si>
    <t>Ameaça</t>
  </si>
  <si>
    <t>5. CRUZAMENTOS</t>
  </si>
  <si>
    <r>
      <rPr>
        <rFont val="Calibri"/>
        <b/>
        <color rgb="FF333333"/>
        <sz val="12.0"/>
      </rPr>
      <t>Importante:</t>
    </r>
    <r>
      <rPr>
        <rFont val="Calibri"/>
        <color rgb="FF623F99"/>
        <sz val="12.0"/>
      </rPr>
      <t xml:space="preserve"> </t>
    </r>
    <r>
      <rPr>
        <rFont val="Calibri"/>
        <color rgb="FF7F7F7F"/>
        <sz val="12.0"/>
      </rPr>
      <t>Veja o potencial ofensivo e desenvolva a melhor estratégia para impulsionar suas forças e resuzir as fraquezas relacionando-as com oportunidades e ameaças. Apenas as 5 principais forças, fraquezas, oportunidades e ameaças (as mais bem pontuadas em "Fatores internos" e "Fatores externos") estão sendo exibidas para que você tenha foco e objetividade nas ações.</t>
    </r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</si>
  <si>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</si>
  <si>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</si>
  <si>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</si>
  <si>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</si>
  <si>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</si>
  <si>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</si>
  <si>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</si>
  <si>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</si>
  <si>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</si>
  <si>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Forças e Fraquezas</t>
  </si>
  <si>
    <t>No seu negócio</t>
  </si>
  <si>
    <t>Oportunidades e Ameaças</t>
  </si>
  <si>
    <t>Tipo de estratégia</t>
  </si>
  <si>
    <t>Recomendação</t>
  </si>
  <si>
    <t>Ex.: O portfólio de produtos/serviços é variado</t>
  </si>
  <si>
    <t>Ex.: Força</t>
  </si>
  <si>
    <t>Ex.: Aproveita avanço tecnológico</t>
  </si>
  <si>
    <t>Ex.: Ameaça</t>
  </si>
  <si>
    <t>Ex.: Estratégia ofensiva</t>
  </si>
  <si>
    <t>Ex.: Procure criar planos de ação para desenvolver as vantagens competitivas.</t>
  </si>
  <si>
    <t>ForçaOportunidade</t>
  </si>
  <si>
    <t>Estratégia ofensiva</t>
  </si>
  <si>
    <t>Procure criar planos de ação para desenvolver as vantagens competitivas.</t>
  </si>
  <si>
    <t>ForçaAmeaça</t>
  </si>
  <si>
    <t>Estratégia de confronto</t>
  </si>
  <si>
    <t>Procure elaborar planos de ação para modificar o ambiente a favor do seu negócio.</t>
  </si>
  <si>
    <t>FraquezaOportunidade</t>
  </si>
  <si>
    <t>Estratégia de reforço</t>
  </si>
  <si>
    <t>Procure criar planos de ação para aproveitar melhor as oportunidades que o ambiente proporciona.</t>
  </si>
  <si>
    <t>FraquezaAmeaça</t>
  </si>
  <si>
    <t>Estratégia defensiva</t>
  </si>
  <si>
    <t>Isto pode ser um sinal de que você precisará fazer profundas mudanças para proteger a empresa.</t>
  </si>
  <si>
    <t>6. PLANOS DE AÇÃO</t>
  </si>
  <si>
    <r>
      <rPr>
        <rFont val="Calibri"/>
        <b/>
        <color rgb="FF333333"/>
        <sz val="12.0"/>
      </rPr>
      <t>Importante:</t>
    </r>
    <r>
      <rPr>
        <rFont val="Calibri"/>
        <color rgb="FF333333"/>
        <sz val="12.0"/>
      </rPr>
      <t xml:space="preserve"> </t>
    </r>
    <r>
      <rPr>
        <rFont val="Calibri"/>
        <color rgb="FF7F7F7F"/>
        <sz val="12.0"/>
      </rPr>
      <t>Desenvolva planos de ação para impulsionar os itens da SWOT.
Apenas os 20 principais itens (os mais bem pontuados) estão sendo exibidos para que você tenha foco e objetividade nas ações.</t>
    </r>
  </si>
  <si>
    <t>Junho</t>
  </si>
  <si>
    <t>Julho</t>
  </si>
  <si>
    <t>Agosto</t>
  </si>
  <si>
    <t>Planos de ação</t>
  </si>
  <si>
    <t>Itens</t>
  </si>
  <si>
    <t>Responsável</t>
  </si>
  <si>
    <t>Área</t>
  </si>
  <si>
    <t>Previsão início</t>
  </si>
  <si>
    <t>Previsão fim</t>
  </si>
  <si>
    <t>Andamento</t>
  </si>
  <si>
    <t>Status</t>
  </si>
  <si>
    <t>Ex.: Aumentar a divulgação da empresa</t>
  </si>
  <si>
    <t>Ex.: O serviço é de qualidade</t>
  </si>
  <si>
    <t>Ex.: Luis Carlos Almeida</t>
  </si>
  <si>
    <t>Ex.: Merketing</t>
  </si>
  <si>
    <t>Ex.: 01/01/2016</t>
  </si>
  <si>
    <t>Ex.: 31/12/2016</t>
  </si>
  <si>
    <t>Ex.: Concluído</t>
  </si>
  <si>
    <t>Ex.: Atrasado</t>
  </si>
  <si>
    <t>7. RESULTADOS SWOT</t>
  </si>
  <si>
    <t>Índice de favorabilidade</t>
  </si>
  <si>
    <t>Favorável - Se a sua análise está correta, vale a pena continuar a fazer o que você está fazendo apenas adicionando ações de melhorias de forças e oportunidades e medidas de contenção de possíveis fraquezas e ameaças.</t>
  </si>
  <si>
    <t>Seu índice é</t>
  </si>
  <si>
    <t>Muito Desfavorável - O cenário para crescimento do seu negócio é muito desfavorável, talvez seja o momento de pensar em uma mudança estratégica drástica.</t>
  </si>
  <si>
    <t>CONTA DE MÉDIA</t>
  </si>
  <si>
    <t>Desfavorável - Uma análise SWOT desfavorável não quer dizer que você precisa desistir do seu negócio, mas é importante pensar em planos de ações direcionados à mitigar as principais ameaças e para diminuir o peso negativo de algumas fraquezas.</t>
  </si>
  <si>
    <t>Equilíbrio - Com um cenário equilibrado vale a pena investir mais tempo de análise para saber se o seu foco será interno ou externo.</t>
  </si>
  <si>
    <t>Muito Favorável - Se a sua análise está correta, vale muito a pena continuar a fazer exatamente o que você está fazendo apenas adicionando ações de melhorias de forças e oportunidades e medidas de contenção de possíveis fraquezas e ameaças.</t>
  </si>
  <si>
    <t>Análise geral dos fatores internos e externos</t>
  </si>
  <si>
    <t>RANK</t>
  </si>
  <si>
    <t>Forças</t>
  </si>
  <si>
    <t>Sobrevivência</t>
  </si>
  <si>
    <t>fraquezas</t>
  </si>
  <si>
    <t>ameaças</t>
  </si>
  <si>
    <t>Fraquezas</t>
  </si>
  <si>
    <t>Manutenção</t>
  </si>
  <si>
    <t>forças</t>
  </si>
  <si>
    <t>Oportunidades</t>
  </si>
  <si>
    <t>Crescimento</t>
  </si>
  <si>
    <t>oportunidades</t>
  </si>
  <si>
    <t>Ameaças</t>
  </si>
  <si>
    <t>Desenvolvimento</t>
  </si>
  <si>
    <t>Gráficos radar da análise SWOT</t>
  </si>
  <si>
    <t>Análise das forças</t>
  </si>
  <si>
    <t>Análise das fraquezas</t>
  </si>
  <si>
    <t>Análise das oportunidades</t>
  </si>
  <si>
    <t>Análise das ameaças</t>
  </si>
  <si>
    <t>8. RESULTADOS PLANOS DE AÇÃO</t>
  </si>
  <si>
    <t>Se você busca melhores resultados, é preciso atuar em mais itens criando planos de ação eficientes para cada um deles!</t>
  </si>
  <si>
    <t>Não está ruim, mas é preciso ter atenção. Se você busca resultados melhores no seu negócio, talvez seja necessário atuar em mais itens criando ainda mais planos de ação!</t>
  </si>
  <si>
    <t>Legal, você criou planos de ação para todos ou quase todos os itens. Se tudo correr bem, você obterá resultados brevemente. Parabéns!</t>
  </si>
  <si>
    <t>No prazo</t>
  </si>
  <si>
    <t>Desenvolvimento de planos de ação</t>
  </si>
  <si>
    <t>Atrasado</t>
  </si>
  <si>
    <t>Status dos seus planos de ação</t>
  </si>
  <si>
    <t>Conformidade do dos planos de ação</t>
  </si>
  <si>
    <t>Aguardando</t>
  </si>
  <si>
    <t>Adiantado</t>
  </si>
  <si>
    <t>Em andamento</t>
  </si>
  <si>
    <t>Concluído</t>
  </si>
  <si>
    <t>Top 5: Áreas com mais planos de ação x Número de planos de ação atrasados</t>
  </si>
  <si>
    <t>Total de planos de ação</t>
  </si>
  <si>
    <t>Total conforme</t>
  </si>
  <si>
    <t>Total atrasado</t>
  </si>
  <si>
    <t>9. RELATÓRIO DE IMPRESSÃO</t>
  </si>
  <si>
    <t xml:space="preserve">Para toda essa sua Análise SWOT Pessoal aparecer no seu relatório final, é se suma importância que você imprima essa página em PDF,  e depois faça o download no local indicado na atividade.
</t>
  </si>
  <si>
    <t>Você deverá fazer a impressão em formato de pdf a partir da página 2, pois a página 1 é essa explicação.</t>
  </si>
  <si>
    <r>
      <rPr>
        <rFont val="Calibri"/>
        <b/>
        <color theme="1"/>
        <sz val="24.0"/>
      </rPr>
      <t>1.</t>
    </r>
    <r>
      <rPr>
        <rFont val="Calibri"/>
        <color theme="1"/>
        <sz val="24.0"/>
      </rPr>
      <t xml:space="preserve"> Resultados SWOT</t>
    </r>
  </si>
  <si>
    <r>
      <rPr>
        <rFont val="Calibri"/>
        <b/>
        <color theme="1"/>
        <sz val="22.0"/>
      </rPr>
      <t>2.</t>
    </r>
    <r>
      <rPr>
        <rFont val="Calibri"/>
        <color theme="1"/>
        <sz val="22.0"/>
      </rPr>
      <t xml:space="preserve"> Resultados planos de ação</t>
    </r>
  </si>
  <si>
    <t>1. Resultados SWOT</t>
  </si>
  <si>
    <t>Índice geral dos fatores internos e externos</t>
  </si>
  <si>
    <t>2. Resultados planos de ação</t>
  </si>
  <si>
    <t>Receitas x Despesas</t>
  </si>
  <si>
    <t>Mês Anterior x Mês Atual</t>
  </si>
  <si>
    <t>Contas a Receber x Contas a Pagar</t>
  </si>
  <si>
    <t>Necessidade de Caixa x Acumulado</t>
  </si>
  <si>
    <t>Positivo</t>
  </si>
  <si>
    <t>Parabéns! As suas receitas estão maiores do que as suas despesas. Meses com lucro são sempre interessantes para a sua empresa. Aproveite e dê uma olhada nas contas a pagar e a receber do próximo mês para saber se você vai continuar mandando bem.</t>
  </si>
  <si>
    <t>Boa! Suas finanças melhoraram do mês passado para esse. Que tal investigar os motivos e dedicar mais tempo para replicá-las?</t>
  </si>
  <si>
    <t>Legal, você tem mais recebimentos do que pagamentos para entrar em caixa. Só tome cuidado com o índice de inadimplência dos seus devedores para não transformar essa projeção em um resultado real ruim</t>
  </si>
  <si>
    <t>Sua necessidade de caixa para o mês que vem é menor do que você tem acumulado. Sua empresa está indo bem, mas fique de olho nos meses futuros para não ter surpresas!</t>
  </si>
  <si>
    <t>Negativo</t>
  </si>
  <si>
    <t>Suas despesas estão maiores que as suas receitas, isso significa que esse mês foi de prejuízo. Você já sabe os motivos? Vale a pena olhar suas despesas no DRE para ter certeza que o resultado ruim não se repetirá.</t>
  </si>
  <si>
    <t>Tome cuidado, seu resultado mensal piorou do mês passado para esse. Esse mês é sempre ruim ou aconteceu alguma coisa que fez seu resultado piorar?</t>
  </si>
  <si>
    <t>Cuidado! Suas contas a pagar para esse mês estão superiores ao que você tem direito a receber, se você não procurar reverter essa situação, provavelmente terá prejuízo</t>
  </si>
  <si>
    <t>Sua necessidade de caixa para o mês que vem é maior do que você tem acumulado. É bom você ficar atento e correr atrás de mais receitas, afinal de contas, a previsão é que você entre no vermelho se tudo continuar assim</t>
  </si>
  <si>
    <t>Pergunta</t>
  </si>
  <si>
    <t>Resposta</t>
  </si>
  <si>
    <t>1. O que significa SWOT?</t>
  </si>
  <si>
    <r>
      <rPr>
        <rFont val="Calibri"/>
        <color theme="1"/>
        <sz val="11.0"/>
      </rPr>
      <t>O termo </t>
    </r>
    <r>
      <rPr>
        <rFont val="Arial"/>
        <b/>
        <color rgb="FF333333"/>
        <sz val="11.0"/>
      </rPr>
      <t>SWOT</t>
    </r>
    <r>
      <rPr>
        <rFont val="Arial"/>
        <color rgb="FF333333"/>
        <sz val="11.0"/>
      </rPr>
      <t> é uma sigla oriunda do idioma </t>
    </r>
    <r>
      <rPr>
        <rFont val="Arial"/>
        <color rgb="FF000080"/>
        <sz val="11.0"/>
      </rPr>
      <t>inglês</t>
    </r>
    <r>
      <rPr>
        <rFont val="Arial"/>
        <color rgb="FF333333"/>
        <sz val="11.0"/>
      </rPr>
      <t>, e é um </t>
    </r>
    <r>
      <rPr>
        <rFont val="Arial"/>
        <color rgb="FF000080"/>
        <sz val="11.0"/>
      </rPr>
      <t>acrónimo</t>
    </r>
    <r>
      <rPr>
        <rFont val="Arial"/>
        <color rgb="FF333333"/>
        <sz val="11.0"/>
      </rPr>
      <t> de Forças (</t>
    </r>
    <r>
      <rPr>
        <rFont val="Arial"/>
        <b/>
        <color rgb="FF333333"/>
        <sz val="11.0"/>
      </rPr>
      <t>S</t>
    </r>
    <r>
      <rPr>
        <rFont val="Arial"/>
        <color rgb="FF333333"/>
        <sz val="11.0"/>
      </rPr>
      <t>trengths), Fraquezas (</t>
    </r>
    <r>
      <rPr>
        <rFont val="Arial"/>
        <b/>
        <color rgb="FF333333"/>
        <sz val="11.0"/>
      </rPr>
      <t>W</t>
    </r>
    <r>
      <rPr>
        <rFont val="Arial"/>
        <color rgb="FF333333"/>
        <sz val="11.0"/>
      </rPr>
      <t>eaknesses), Oportunidades (</t>
    </r>
    <r>
      <rPr>
        <rFont val="Arial"/>
        <b/>
        <color rgb="FF333333"/>
        <sz val="11.0"/>
      </rPr>
      <t>O</t>
    </r>
    <r>
      <rPr>
        <rFont val="Arial"/>
        <color rgb="FF333333"/>
        <sz val="11.0"/>
      </rPr>
      <t>pportunities) e Ameaças (</t>
    </r>
    <r>
      <rPr>
        <rFont val="Arial"/>
        <b/>
        <color rgb="FF333333"/>
        <sz val="11.0"/>
      </rPr>
      <t>T</t>
    </r>
    <r>
      <rPr>
        <rFont val="Arial"/>
        <color rgb="FF333333"/>
        <sz val="11.0"/>
      </rPr>
      <t>hreats).</t>
    </r>
  </si>
  <si>
    <t>2. O que é análise SWOT?</t>
  </si>
  <si>
    <r>
      <rPr>
        <rFont val="Arial"/>
        <color rgb="FF252525"/>
        <sz val="11.0"/>
      </rPr>
      <t>A </t>
    </r>
    <r>
      <rPr>
        <rFont val="Arial"/>
        <b/>
        <color rgb="FF333333"/>
        <sz val="11.0"/>
      </rPr>
      <t>Análise SWOT</t>
    </r>
    <r>
      <rPr>
        <rFont val="Arial"/>
        <color rgb="FF333333"/>
        <sz val="11.0"/>
      </rPr>
      <t> ou </t>
    </r>
    <r>
      <rPr>
        <rFont val="Arial"/>
        <b/>
        <color rgb="FF333333"/>
        <sz val="11.0"/>
      </rPr>
      <t>Análise FOFA ou FFOA (Forças, Fraquezas, Oportunidades e Ameaças)</t>
    </r>
    <r>
      <rPr>
        <rFont val="Arial"/>
        <color rgb="FF333333"/>
        <sz val="11.0"/>
      </rPr>
      <t> (em </t>
    </r>
    <r>
      <rPr>
        <rFont val="Arial"/>
        <color rgb="FF000080"/>
        <sz val="11.0"/>
      </rPr>
      <t>português</t>
    </r>
    <r>
      <rPr>
        <rFont val="Arial"/>
        <color rgb="FF333333"/>
        <sz val="11.0"/>
      </rPr>
      <t>) é uma ferramenta utilizada para fazer análise de cenário (ou análise de ambiente), sendo usada como base para </t>
    </r>
    <r>
      <rPr>
        <rFont val="Arial"/>
        <color rgb="FF000080"/>
        <sz val="11.0"/>
      </rPr>
      <t>gestão</t>
    </r>
    <r>
      <rPr>
        <rFont val="Arial"/>
        <color rgb="FF333333"/>
        <sz val="11.0"/>
      </rPr>
      <t> e </t>
    </r>
    <r>
      <rPr>
        <rFont val="Arial"/>
        <color rgb="FF000080"/>
        <sz val="11.0"/>
      </rPr>
      <t>planejamento estratégico</t>
    </r>
    <r>
      <rPr>
        <rFont val="Arial"/>
        <color rgb="FF333333"/>
        <sz val="11.0"/>
      </rPr>
      <t> de uma </t>
    </r>
    <r>
      <rPr>
        <rFont val="Arial"/>
        <color rgb="FF000080"/>
        <sz val="11.0"/>
      </rPr>
      <t>corporação</t>
    </r>
    <r>
      <rPr>
        <rFont val="Arial"/>
        <color rgb="FF333333"/>
        <sz val="11.0"/>
      </rPr>
      <t> ou </t>
    </r>
    <r>
      <rPr>
        <rFont val="Arial"/>
        <color rgb="FF000080"/>
        <sz val="11.0"/>
      </rPr>
      <t>empresa</t>
    </r>
    <r>
      <rPr>
        <rFont val="Arial"/>
        <color rgb="FF333333"/>
        <sz val="11.0"/>
      </rPr>
      <t>, mas podendo, devido a sua simplicidade, ser utilizada para qualquer tipo de análise de cenário, desde a criação de um </t>
    </r>
    <r>
      <rPr>
        <rFont val="Arial"/>
        <i/>
        <color rgb="FF000080"/>
        <sz val="11.0"/>
      </rPr>
      <t>blog</t>
    </r>
    <r>
      <rPr>
        <rFont val="Arial"/>
        <color rgb="FF333333"/>
        <sz val="11.0"/>
      </rPr>
      <t> à gestão de uma </t>
    </r>
    <r>
      <rPr>
        <rFont val="Arial"/>
        <color rgb="FF000080"/>
        <sz val="11.0"/>
      </rPr>
      <t>multinacional</t>
    </r>
    <r>
      <rPr>
        <rFont val="Arial"/>
        <color rgb="FF333333"/>
        <sz val="11.0"/>
      </rPr>
      <t>.</t>
    </r>
  </si>
  <si>
    <t>4. O que são fatores internos?</t>
  </si>
  <si>
    <t>Tratam-se das características específicas do seu negócio. Pontos fortes ou fracos da sua equipe, excelência ou improdutividade em processos internos, etc. Ou seja, forças e fraquezas relativas a outros players do mercado.</t>
  </si>
  <si>
    <t>6. O que são forças?</t>
  </si>
  <si>
    <r>
      <rPr>
        <rFont val="Arial"/>
        <b/>
        <i/>
        <color rgb="FF252525"/>
        <sz val="11.0"/>
      </rPr>
      <t>Forças</t>
    </r>
    <r>
      <rPr>
        <rFont val="Arial"/>
        <b val="0"/>
        <i val="0"/>
        <color rgb="FF333333"/>
        <sz val="11.0"/>
      </rPr>
      <t> - Vantagens internas da empresa em relação às empresas concorrentes.</t>
    </r>
  </si>
  <si>
    <t>7. O que são fraquezas?</t>
  </si>
  <si>
    <r>
      <rPr>
        <rFont val="Arial"/>
        <b/>
        <i/>
        <color rgb="FF252525"/>
        <sz val="11.0"/>
      </rPr>
      <t>Fraquezas</t>
    </r>
    <r>
      <rPr>
        <rFont val="Arial"/>
        <b val="0"/>
        <i val="0"/>
        <color rgb="FF333333"/>
        <sz val="11.0"/>
      </rPr>
      <t> - Desvantagens internas da empresa em relação às empresas concorrentes.</t>
    </r>
  </si>
  <si>
    <t>5. O que são fatores externos?</t>
  </si>
  <si>
    <t>Tratam-se das características e mudanças que o mercado como um todo pode apresentar que poderão beneficiar ou atrapalhar seu negócio. Oportunidades são as positivas e Ameaças são as negativas.</t>
  </si>
  <si>
    <t>6. O que são oportunidades?</t>
  </si>
  <si>
    <r>
      <rPr>
        <rFont val="Arial"/>
        <b/>
        <i/>
        <color rgb="FF252525"/>
        <sz val="11.0"/>
      </rPr>
      <t>Oportunidades</t>
    </r>
    <r>
      <rPr>
        <rFont val="Arial"/>
        <b val="0"/>
        <i val="0"/>
        <color rgb="FF333333"/>
        <sz val="11.0"/>
      </rPr>
      <t> - Aspectos positivos do mercado com potencial de fazer crescer a vantagem competitiva da empresa.</t>
    </r>
  </si>
  <si>
    <t>7. O que são ameaças?</t>
  </si>
  <si>
    <t>Ameaças - Aspectos positivos do mercado com potencial de comprometer a vantagem competitiva da empresa.</t>
  </si>
  <si>
    <t>8. O que são cruzamentos de dados?</t>
  </si>
  <si>
    <t>A combinação destes dois ambientes, interno e externo, e das suas variáveis, Forças e Fraquezas; Oportunidades e Ameaças, irá facilitar a análise e a procura para tomada de decisões na definição das estratégias de negócios da empresa.
Forças e Oportunidades - Tirar o máximo partido dos pontos fortes para aproveitar ao máximo as oportunidades detectadas.
Forças e Ameaças - Tirar o máximo partido dos pontos fortes para minimizar os efeitos das ameaças detectadas.
Fraquezas e Oportunidades - Desenvolver estratégias que minimizem os efeitos negativos dos pontos fracos e que em simultâneo aproveitem as oportunidades detectadas.
Fraquezas e Ameaças - As estratégias a adotar devem minimizar ou ultrapassar os pontos fracos e, tanto quanto possível, fazer face às ameaças.</t>
  </si>
  <si>
    <t>9. O que é matriz SWOT</t>
  </si>
  <si>
    <t>É uma matriz em que se identificam as suas maiores forças, fraquezas, oportunidades e ameaças. Permite distinguir o ambiente interno - (factores e realidades internas - forças e fraquezas) e o ambiente externo (factores e aspectos futuros - oportunidades e ameaças) da organização.</t>
  </si>
  <si>
    <t>8. Posso adicionar mais linhas e colunas na planilha?</t>
  </si>
  <si>
    <t xml:space="preserve">Nós recomendamos fortemente que você utilize a estrutura pronta apresentada, pois existem diversas fórmulas que podem ser afetadas pela adição de linhas e colunas. Além disso, para facilitar o preenchimento mantemos a planilha desbloqueada apenas nos locais para preenchimento. </t>
  </si>
  <si>
    <t>9. Posso remover linhas?</t>
  </si>
  <si>
    <t xml:space="preserve">Nós recomendamos fortemente que você utilize a estrutura pronta apresentada, pois existem diversas fórmulas que podem ser afetadas pela remoção de linhas e colunas. Além disso, para facilitar o preenchimento mantemos a planilha desbloqueada apenas nos locais para preenchimento. </t>
  </si>
  <si>
    <t>10. Essa planilha pode ser apresentada para instituições financeiras?</t>
  </si>
  <si>
    <t>Sim. Porém esses dados não garantem aprovações ou reprovações por parte dessas instituições. Sendo usados como dados complementares.</t>
  </si>
  <si>
    <t>11. Para que servem os alertas?</t>
  </si>
  <si>
    <t>Eles são avisos sobre como a sua projeção está. A partir deles, você pode refinar suas projeções e pensar em medidas mais agressivas para tornar seu projeto mais agressivo.</t>
  </si>
  <si>
    <t>12. Como desbloquear a planilha?</t>
  </si>
  <si>
    <t>Basta entrar no menu superior "Revisão" e escolher o item desproteger planilha no grupo Alterações. As planilhas não possuem senhas, apenas estão bloqueadas para melhorar a usabilidade delas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</si>
</sst>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"/>
  </numFmts>
  <fonts count="61">
    <font>
      <sz val="11.0"/>
      <color theme="1"/>
      <name val="Calibri"/>
      <scheme val="minor"/>
    </font>
    <font>
      <sz val="11.0"/>
      <color theme="1"/>
      <name val="Calibri"/>
    </font>
    <font>
      <b/>
      <sz val="36.0"/>
      <color theme="1"/>
      <name val="Calibri"/>
    </font>
    <font>
      <sz val="11.0"/>
      <color rgb="FF7030A0"/>
      <name val="Calibri"/>
    </font>
    <font>
      <sz val="11.0"/>
      <color rgb="FF7F7F7F"/>
      <name val="Calibri"/>
    </font>
    <font>
      <b/>
      <sz val="12.0"/>
      <color rgb="FF595959"/>
      <name val="Calibri"/>
    </font>
    <font>
      <sz val="11.0"/>
      <color rgb="FF333333"/>
      <name val="Arial"/>
    </font>
    <font>
      <b/>
      <sz val="14.0"/>
      <color theme="0"/>
      <name val="Calibri"/>
    </font>
    <font/>
    <font>
      <b/>
      <sz val="18.0"/>
      <color rgb="FF14B1E7"/>
      <name val="Calibri"/>
    </font>
    <font>
      <sz val="11.0"/>
      <color rgb="FF7F7F7F"/>
      <name val="Arial"/>
    </font>
    <font>
      <sz val="14.0"/>
      <color rgb="FF3366CC"/>
      <name val="Calibri"/>
    </font>
    <font>
      <sz val="11.0"/>
      <color theme="1"/>
      <name val="Arial"/>
    </font>
    <font>
      <sz val="11.0"/>
      <color rgb="FF3D3C40"/>
      <name val="Arial"/>
    </font>
    <font>
      <sz val="18.0"/>
      <color rgb="FF333333"/>
      <name val="Calibri"/>
    </font>
    <font>
      <sz val="18.0"/>
      <color theme="1"/>
      <name val="Calibri"/>
    </font>
    <font>
      <sz val="11.0"/>
      <color theme="0"/>
      <name val="Calibri"/>
    </font>
    <font>
      <sz val="10.0"/>
      <color rgb="FF595959"/>
      <name val="Calibri"/>
    </font>
    <font>
      <sz val="10.0"/>
      <color theme="1"/>
      <name val="Calibri"/>
    </font>
    <font>
      <sz val="12.0"/>
      <color theme="1"/>
      <name val="Calibri"/>
    </font>
    <font>
      <b/>
      <sz val="12.0"/>
      <color theme="0"/>
      <name val="Calibri"/>
    </font>
    <font>
      <sz val="12.0"/>
      <color theme="0"/>
      <name val="Calibri"/>
    </font>
    <font>
      <b/>
      <i/>
      <sz val="12.0"/>
      <color rgb="FF999999"/>
      <name val="Calibri"/>
    </font>
    <font>
      <sz val="12.0"/>
      <color rgb="FF3F3F3F"/>
      <name val="Calibri"/>
    </font>
    <font>
      <b/>
      <sz val="16.0"/>
      <color theme="0"/>
      <name val="Calibri"/>
    </font>
    <font>
      <b/>
      <sz val="20.0"/>
      <color theme="0"/>
      <name val="Calibri"/>
    </font>
    <font>
      <sz val="11.0"/>
      <color rgb="FFFF0000"/>
      <name val="Calibri"/>
    </font>
    <font>
      <sz val="18.0"/>
      <color rgb="FFFF0000"/>
      <name val="Calibri"/>
    </font>
    <font>
      <sz val="18.0"/>
      <color theme="0"/>
      <name val="Calibri"/>
    </font>
    <font>
      <sz val="10.0"/>
      <color theme="0"/>
      <name val="Calibri"/>
    </font>
    <font>
      <sz val="12.0"/>
      <color rgb="FF333333"/>
      <name val="Calibri"/>
    </font>
    <font>
      <sz val="11.0"/>
      <color rgb="FF3F3F3F"/>
      <name val="Calibri"/>
    </font>
    <font>
      <b/>
      <sz val="16.0"/>
      <color theme="1"/>
      <name val="Calibri"/>
    </font>
    <font>
      <b/>
      <sz val="16.0"/>
      <color rgb="FF666666"/>
      <name val="Calibri"/>
    </font>
    <font>
      <sz val="36.0"/>
      <color theme="1"/>
      <name val="Calibri"/>
    </font>
    <font>
      <sz val="12.0"/>
      <color rgb="FF623F99"/>
      <name val="Calibri"/>
    </font>
    <font>
      <sz val="14.0"/>
      <color theme="0"/>
      <name val="Calibri"/>
    </font>
    <font>
      <sz val="12.0"/>
      <color rgb="FF7F7F7F"/>
      <name val="Calibri"/>
    </font>
    <font>
      <sz val="14.0"/>
      <color rgb="FF757070"/>
      <name val="Calibri"/>
    </font>
    <font>
      <b/>
      <sz val="16.0"/>
      <color rgb="FF623F99"/>
      <name val="Calibri"/>
    </font>
    <font>
      <sz val="12.0"/>
      <color rgb="FF006100"/>
      <name val="Calibri"/>
    </font>
    <font>
      <sz val="12.0"/>
      <color rgb="FF9C0006"/>
      <name val="Calibri"/>
    </font>
    <font>
      <sz val="48.0"/>
      <color theme="1"/>
      <name val="Calibri"/>
    </font>
    <font>
      <b/>
      <sz val="11.0"/>
      <color theme="1"/>
      <name val="Calibri"/>
    </font>
    <font>
      <b/>
      <sz val="16.0"/>
      <color rgb="FF14B1E7"/>
      <name val="Calibri"/>
    </font>
    <font>
      <sz val="24.0"/>
      <color theme="1"/>
      <name val="Calibri"/>
    </font>
    <font>
      <sz val="22.0"/>
      <color theme="1"/>
      <name val="Calibri"/>
    </font>
    <font>
      <b/>
      <u/>
      <sz val="28.0"/>
      <color theme="1"/>
      <name val="Calibri"/>
    </font>
    <font>
      <b/>
      <sz val="24.0"/>
      <color rgb="FF14B1E7"/>
      <name val="Calibri"/>
    </font>
    <font>
      <b/>
      <sz val="24.0"/>
      <color rgb="FF666666"/>
      <name val="Calibri"/>
    </font>
    <font>
      <b/>
      <sz val="24.0"/>
      <color rgb="FF623F99"/>
      <name val="Calibri"/>
    </font>
    <font>
      <sz val="14.0"/>
      <color theme="1"/>
      <name val="Calibri"/>
    </font>
    <font>
      <sz val="16.0"/>
      <color theme="0"/>
      <name val="Calibri"/>
    </font>
    <font>
      <sz val="50.0"/>
      <color theme="1"/>
      <name val="Calibri"/>
    </font>
    <font>
      <sz val="16.0"/>
      <color rgb="FF7F7F7F"/>
      <name val="Calibri"/>
    </font>
    <font>
      <sz val="14.0"/>
      <color rgb="FF3F3F3F"/>
      <name val="Calibri"/>
    </font>
    <font>
      <b/>
      <u/>
      <sz val="28.0"/>
      <color rgb="FF623F99"/>
      <name val="Calibri"/>
    </font>
    <font>
      <sz val="11.0"/>
      <color rgb="FF252525"/>
      <name val="Arial"/>
    </font>
    <font>
      <b/>
      <i/>
      <sz val="11.0"/>
      <color rgb="FF252525"/>
      <name val="Arial"/>
    </font>
    <font>
      <b/>
      <sz val="11.0"/>
      <color rgb="FF252525"/>
      <name val="Arial"/>
    </font>
    <font>
      <sz val="10.0"/>
      <color rgb="FF444444"/>
      <name val="Open Sans"/>
    </font>
  </fonts>
  <fills count="1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F44CA"/>
        <bgColor rgb="FF0F44CA"/>
      </patternFill>
    </fill>
    <fill>
      <patternFill patternType="solid">
        <fgColor rgb="FFF2F2F2"/>
        <bgColor rgb="FFF2F2F2"/>
      </patternFill>
    </fill>
    <fill>
      <patternFill patternType="solid">
        <fgColor rgb="FFECF0F1"/>
        <bgColor rgb="FFECF0F1"/>
      </patternFill>
    </fill>
    <fill>
      <patternFill patternType="solid">
        <fgColor theme="0"/>
        <bgColor theme="0"/>
      </patternFill>
    </fill>
    <fill>
      <patternFill patternType="solid">
        <fgColor rgb="FFEAEAEA"/>
        <bgColor rgb="FFEAEAEA"/>
      </patternFill>
    </fill>
    <fill>
      <patternFill patternType="solid">
        <fgColor rgb="FF336699"/>
        <bgColor rgb="FF336699"/>
      </patternFill>
    </fill>
    <fill>
      <patternFill patternType="solid">
        <fgColor rgb="FF669966"/>
        <bgColor rgb="FF669966"/>
      </patternFill>
    </fill>
    <fill>
      <patternFill patternType="solid">
        <fgColor rgb="FFFF6666"/>
        <bgColor rgb="FFFF6666"/>
      </patternFill>
    </fill>
    <fill>
      <patternFill patternType="solid">
        <fgColor rgb="FF66CC66"/>
        <bgColor rgb="FF66CC66"/>
      </patternFill>
    </fill>
    <fill>
      <patternFill patternType="solid">
        <fgColor rgb="FFFF9797"/>
        <bgColor rgb="FFFF9797"/>
      </patternFill>
    </fill>
    <fill>
      <patternFill patternType="solid">
        <fgColor rgb="FF14B1E7"/>
        <bgColor rgb="FF14B1E7"/>
      </patternFill>
    </fill>
    <fill>
      <patternFill patternType="solid">
        <fgColor rgb="FFBDD6EE"/>
        <bgColor rgb="FFBDD6EE"/>
      </patternFill>
    </fill>
    <fill>
      <patternFill patternType="solid">
        <fgColor rgb="FF6699CC"/>
        <bgColor rgb="FF6699CC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left style="thick">
        <color theme="0"/>
      </left>
      <right style="thick">
        <color theme="0"/>
      </right>
      <top/>
      <bottom style="thick">
        <color theme="0"/>
      </bottom>
    </border>
    <border>
      <left style="thin">
        <color rgb="FFD8D8D8"/>
      </left>
      <right style="thin">
        <color rgb="FFD8D8D8"/>
      </right>
      <top/>
      <bottom style="thin">
        <color rgb="FFD8D8D8"/>
      </bottom>
    </border>
    <border>
      <left style="thin">
        <color rgb="FFD8D8D8"/>
      </left>
      <right/>
      <top/>
      <bottom style="thin">
        <color rgb="FFD8D8D8"/>
      </bottom>
    </border>
    <border>
      <top style="thick">
        <color theme="0"/>
      </top>
    </border>
    <border>
      <left style="thick">
        <color theme="0"/>
      </left>
      <top style="thick">
        <color theme="0"/>
      </top>
      <bottom style="thick">
        <color theme="0"/>
      </bottom>
    </border>
    <border>
      <top style="thick">
        <color theme="0"/>
      </top>
      <bottom style="thick">
        <color theme="0"/>
      </bottom>
    </border>
    <border>
      <left/>
      <right style="thick">
        <color theme="0"/>
      </right>
      <top style="thick">
        <color theme="0"/>
      </top>
      <bottom style="thick">
        <color theme="0"/>
      </bottom>
    </border>
    <border>
      <right style="thick">
        <color theme="0"/>
      </right>
      <top style="thick">
        <color theme="0"/>
      </top>
      <bottom style="thick">
        <color theme="0"/>
      </bottom>
    </border>
    <border>
      <bottom style="thin">
        <color rgb="FF000000"/>
      </bottom>
    </border>
    <border>
      <left/>
      <right/>
      <top/>
    </border>
    <border>
      <left/>
      <right/>
    </border>
    <border>
      <left style="thick">
        <color theme="0"/>
      </left>
      <right/>
      <top style="thick">
        <color theme="0"/>
      </top>
      <bottom style="thick">
        <color theme="0"/>
      </bottom>
    </border>
    <border>
      <left/>
      <right/>
      <top style="thick">
        <color theme="0"/>
      </top>
      <bottom style="thick">
        <color theme="0"/>
      </bottom>
    </border>
    <border>
      <left style="thin">
        <color rgb="FFD8D8D8"/>
      </left>
      <right/>
      <top style="thick">
        <color theme="0"/>
      </top>
      <bottom style="thin">
        <color rgb="FFD8D8D8"/>
      </bottom>
    </border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left style="thin">
        <color rgb="FFD8D8D8"/>
      </left>
      <right style="thick">
        <color theme="0"/>
      </right>
      <top style="thick">
        <color theme="0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ck">
        <color theme="0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ck">
        <color theme="0"/>
      </right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 style="thin">
        <color rgb="FFD8D8D8"/>
      </right>
      <top/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/>
    </border>
    <border>
      <left/>
      <top/>
    </border>
    <border>
      <top/>
    </border>
    <border>
      <left/>
    </border>
    <border>
      <left style="thick">
        <color theme="0"/>
      </left>
    </border>
    <border>
      <left style="thick">
        <color theme="0"/>
      </left>
      <bottom style="thick">
        <color theme="0"/>
      </bottom>
    </border>
    <border>
      <left style="thick">
        <color theme="0"/>
      </left>
      <right style="thick">
        <color theme="0"/>
      </right>
      <top style="thick">
        <color theme="0"/>
      </top>
    </border>
    <border>
      <left style="thick">
        <color theme="0"/>
      </left>
      <top style="thick">
        <color theme="0"/>
      </top>
    </border>
    <border>
      <right style="thick">
        <color theme="0"/>
      </right>
      <top style="thick">
        <color theme="0"/>
      </top>
    </border>
    <border>
      <left style="thick">
        <color theme="0"/>
      </left>
      <right style="thick">
        <color theme="0"/>
      </right>
      <top/>
    </border>
    <border>
      <right style="thick">
        <color theme="0"/>
      </right>
    </border>
    <border>
      <left style="thick">
        <color theme="0"/>
      </left>
      <right style="thick">
        <color theme="0"/>
      </right>
      <bottom style="thick">
        <color theme="0"/>
      </bottom>
    </border>
    <border>
      <bottom style="thick">
        <color theme="0"/>
      </bottom>
    </border>
    <border>
      <right style="thick">
        <color theme="0"/>
      </right>
      <bottom style="thick">
        <color theme="0"/>
      </bottom>
    </border>
    <border>
      <left style="thick">
        <color theme="0"/>
      </left>
      <top/>
      <bottom/>
    </border>
    <border>
      <left style="thick">
        <color theme="0"/>
      </left>
      <top/>
      <bottom style="thick">
        <color theme="0"/>
      </bottom>
    </border>
    <border>
      <right style="thick">
        <color theme="0"/>
      </right>
      <top/>
      <bottom style="thick">
        <color theme="0"/>
      </bottom>
    </border>
    <border>
      <top/>
      <bottom style="thick">
        <color theme="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left"/>
    </xf>
    <xf borderId="1" fillId="2" fontId="3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shrinkToFit="0" vertical="center" wrapText="1"/>
    </xf>
    <xf borderId="2" fillId="3" fontId="7" numFmtId="0" xfId="0" applyAlignment="1" applyBorder="1" applyFill="1" applyFont="1">
      <alignment horizontal="center" vertical="center"/>
    </xf>
    <xf borderId="3" fillId="0" fontId="8" numFmtId="0" xfId="0" applyBorder="1" applyFont="1"/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1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2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shrinkToFit="0" vertical="top" wrapText="1"/>
    </xf>
    <xf borderId="0" fillId="0" fontId="7" numFmtId="0" xfId="0" applyAlignment="1" applyFont="1">
      <alignment horizontal="center" vertical="center"/>
    </xf>
    <xf borderId="0" fillId="0" fontId="10" numFmtId="0" xfId="0" applyAlignment="1" applyFont="1">
      <alignment horizontal="left" shrinkToFit="0" wrapText="1"/>
    </xf>
    <xf borderId="0" fillId="0" fontId="13" numFmtId="0" xfId="0" applyAlignment="1" applyFont="1">
      <alignment shrinkToFit="0" wrapText="1"/>
    </xf>
    <xf borderId="0" fillId="0" fontId="12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1" fillId="4" fontId="1" numFmtId="0" xfId="0" applyBorder="1" applyFill="1" applyFont="1"/>
    <xf borderId="1" fillId="4" fontId="9" numFmtId="0" xfId="0" applyBorder="1" applyFont="1"/>
    <xf borderId="1" fillId="4" fontId="14" numFmtId="0" xfId="0" applyBorder="1" applyFont="1"/>
    <xf borderId="1" fillId="4" fontId="15" numFmtId="0" xfId="0" applyBorder="1" applyFont="1"/>
    <xf borderId="1" fillId="4" fontId="16" numFmtId="0" xfId="0" applyBorder="1" applyFont="1"/>
    <xf borderId="1" fillId="4" fontId="14" numFmtId="0" xfId="0" applyAlignment="1" applyBorder="1" applyFont="1">
      <alignment vertical="top"/>
    </xf>
    <xf borderId="1" fillId="4" fontId="17" numFmtId="0" xfId="0" applyAlignment="1" applyBorder="1" applyFont="1">
      <alignment vertical="center"/>
    </xf>
    <xf borderId="1" fillId="4" fontId="18" numFmtId="0" xfId="0" applyAlignment="1" applyBorder="1" applyFont="1">
      <alignment vertical="center"/>
    </xf>
    <xf borderId="0" fillId="0" fontId="1" numFmtId="0" xfId="0" applyFont="1"/>
    <xf borderId="0" fillId="0" fontId="16" numFmtId="0" xfId="0" applyFont="1"/>
    <xf borderId="1" fillId="2" fontId="19" numFmtId="0" xfId="0" applyBorder="1" applyFont="1"/>
    <xf borderId="0" fillId="0" fontId="19" numFmtId="0" xfId="0" applyFont="1"/>
    <xf borderId="4" fillId="3" fontId="20" numFmtId="0" xfId="0" applyAlignment="1" applyBorder="1" applyFont="1">
      <alignment horizontal="left" shrinkToFit="0" vertical="center" wrapText="1"/>
    </xf>
    <xf borderId="4" fillId="3" fontId="20" numFmtId="0" xfId="0" applyAlignment="1" applyBorder="1" applyFont="1">
      <alignment horizontal="center" vertical="center"/>
    </xf>
    <xf borderId="4" fillId="3" fontId="20" numFmtId="0" xfId="0" applyAlignment="1" applyBorder="1" applyFont="1">
      <alignment horizontal="center" shrinkToFit="0" vertical="center" wrapText="1"/>
    </xf>
    <xf borderId="0" fillId="0" fontId="21" numFmtId="0" xfId="0" applyFont="1"/>
    <xf borderId="5" fillId="5" fontId="22" numFmtId="0" xfId="0" applyAlignment="1" applyBorder="1" applyFill="1" applyFont="1">
      <alignment horizontal="left" vertical="center"/>
    </xf>
    <xf borderId="5" fillId="5" fontId="22" numFmtId="4" xfId="0" applyAlignment="1" applyBorder="1" applyFont="1" applyNumberFormat="1">
      <alignment horizontal="center" vertical="center"/>
    </xf>
    <xf borderId="5" fillId="5" fontId="22" numFmtId="9" xfId="0" applyAlignment="1" applyBorder="1" applyFont="1" applyNumberFormat="1">
      <alignment horizontal="center" vertical="center"/>
    </xf>
    <xf borderId="5" fillId="5" fontId="22" numFmtId="0" xfId="0" applyAlignment="1" applyBorder="1" applyFont="1">
      <alignment horizontal="center" vertical="center"/>
    </xf>
    <xf borderId="6" fillId="6" fontId="19" numFmtId="164" xfId="0" applyAlignment="1" applyBorder="1" applyFill="1" applyFont="1" applyNumberFormat="1">
      <alignment horizontal="left" shrinkToFit="0" vertical="center" wrapText="1"/>
    </xf>
    <xf borderId="6" fillId="6" fontId="19" numFmtId="164" xfId="0" applyAlignment="1" applyBorder="1" applyFont="1" applyNumberFormat="1">
      <alignment horizontal="center" vertical="center"/>
    </xf>
    <xf borderId="7" fillId="6" fontId="19" numFmtId="164" xfId="0" applyAlignment="1" applyBorder="1" applyFont="1" applyNumberFormat="1">
      <alignment horizontal="center" vertical="center"/>
    </xf>
    <xf borderId="4" fillId="7" fontId="23" numFmtId="1" xfId="0" applyAlignment="1" applyBorder="1" applyFill="1" applyFont="1" applyNumberFormat="1">
      <alignment horizontal="center" vertical="center"/>
    </xf>
    <xf borderId="0" fillId="0" fontId="16" numFmtId="1" xfId="0" applyFont="1" applyNumberFormat="1"/>
    <xf borderId="0" fillId="0" fontId="16" numFmtId="164" xfId="0" applyFont="1" applyNumberFormat="1"/>
    <xf borderId="0" fillId="0" fontId="1" numFmtId="164" xfId="0" applyFont="1" applyNumberFormat="1"/>
    <xf borderId="8" fillId="0" fontId="1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/>
    </xf>
    <xf borderId="0" fillId="0" fontId="1" numFmtId="164" xfId="0" applyAlignment="1" applyFont="1" applyNumberFormat="1">
      <alignment horizontal="center" vertical="center"/>
    </xf>
    <xf borderId="9" fillId="8" fontId="24" numFmtId="0" xfId="0" applyAlignment="1" applyBorder="1" applyFill="1" applyFont="1">
      <alignment horizontal="left" shrinkToFit="0" vertical="center" wrapText="1"/>
    </xf>
    <xf borderId="10" fillId="0" fontId="8" numFmtId="0" xfId="0" applyBorder="1" applyFont="1"/>
    <xf borderId="11" fillId="8" fontId="25" numFmtId="0" xfId="0" applyAlignment="1" applyBorder="1" applyFont="1">
      <alignment horizontal="right" shrinkToFit="0" vertical="center" wrapText="1"/>
    </xf>
    <xf borderId="4" fillId="8" fontId="24" numFmtId="1" xfId="0" applyAlignment="1" applyBorder="1" applyFont="1" applyNumberFormat="1">
      <alignment horizontal="center" shrinkToFit="0" vertical="center" wrapText="1"/>
    </xf>
    <xf borderId="0" fillId="0" fontId="1" numFmtId="1" xfId="0" applyFont="1" applyNumberFormat="1"/>
    <xf borderId="0" fillId="0" fontId="26" numFmtId="0" xfId="0" applyFont="1"/>
    <xf borderId="12" fillId="0" fontId="8" numFmtId="0" xfId="0" applyBorder="1" applyFont="1"/>
    <xf borderId="4" fillId="8" fontId="24" numFmtId="0" xfId="0" applyAlignment="1" applyBorder="1" applyFont="1">
      <alignment horizontal="left" shrinkToFit="0" vertical="center" wrapText="1"/>
    </xf>
    <xf borderId="1" fillId="4" fontId="14" numFmtId="0" xfId="0" applyAlignment="1" applyBorder="1" applyFont="1">
      <alignment horizontal="left"/>
    </xf>
    <xf borderId="1" fillId="4" fontId="15" numFmtId="0" xfId="0" applyAlignment="1" applyBorder="1" applyFont="1">
      <alignment horizontal="left"/>
    </xf>
    <xf borderId="1" fillId="4" fontId="14" numFmtId="0" xfId="0" applyAlignment="1" applyBorder="1" applyFont="1">
      <alignment vertical="center"/>
    </xf>
    <xf borderId="1" fillId="4" fontId="17" numFmtId="0" xfId="0" applyAlignment="1" applyBorder="1" applyFont="1">
      <alignment horizontal="left" vertical="center"/>
    </xf>
    <xf borderId="1" fillId="4" fontId="18" numFmtId="0" xfId="0" applyAlignment="1" applyBorder="1" applyFont="1">
      <alignment horizontal="left" vertical="center"/>
    </xf>
    <xf borderId="13" fillId="0" fontId="1" numFmtId="164" xfId="0" applyBorder="1" applyFont="1" applyNumberFormat="1"/>
    <xf borderId="14" fillId="4" fontId="9" numFmtId="0" xfId="0" applyAlignment="1" applyBorder="1" applyFont="1">
      <alignment horizontal="left" vertical="center"/>
    </xf>
    <xf borderId="1" fillId="4" fontId="14" numFmtId="0" xfId="0" applyAlignment="1" applyBorder="1" applyFont="1">
      <alignment horizontal="center" vertical="center"/>
    </xf>
    <xf borderId="1" fillId="4" fontId="27" numFmtId="0" xfId="0" applyBorder="1" applyFont="1"/>
    <xf borderId="1" fillId="4" fontId="28" numFmtId="0" xfId="0" applyBorder="1" applyFont="1"/>
    <xf borderId="15" fillId="0" fontId="8" numFmtId="0" xfId="0" applyBorder="1" applyFont="1"/>
    <xf borderId="0" fillId="0" fontId="1" numFmtId="0" xfId="0" applyAlignment="1" applyFont="1">
      <alignment horizontal="center" vertical="center"/>
    </xf>
    <xf borderId="0" fillId="0" fontId="15" numFmtId="0" xfId="0" applyAlignment="1" applyFont="1">
      <alignment horizontal="left" vertical="center"/>
    </xf>
    <xf borderId="16" fillId="9" fontId="21" numFmtId="0" xfId="0" applyAlignment="1" applyBorder="1" applyFill="1" applyFont="1">
      <alignment horizontal="left" shrinkToFit="0" vertical="center" wrapText="1"/>
    </xf>
    <xf borderId="11" fillId="9" fontId="21" numFmtId="1" xfId="0" applyAlignment="1" applyBorder="1" applyFont="1" applyNumberFormat="1">
      <alignment horizontal="center" shrinkToFit="0" vertical="center" wrapText="1"/>
    </xf>
    <xf borderId="17" fillId="10" fontId="21" numFmtId="0" xfId="0" applyAlignment="1" applyBorder="1" applyFill="1" applyFont="1">
      <alignment horizontal="left" shrinkToFit="0" vertical="center" wrapText="1"/>
    </xf>
    <xf borderId="11" fillId="10" fontId="21" numFmtId="1" xfId="0" applyAlignment="1" applyBorder="1" applyFont="1" applyNumberFormat="1">
      <alignment horizontal="center" shrinkToFit="0" vertical="center" wrapText="1"/>
    </xf>
    <xf borderId="0" fillId="0" fontId="26" numFmtId="0" xfId="0" applyAlignment="1" applyFont="1">
      <alignment vertical="center"/>
    </xf>
    <xf borderId="0" fillId="0" fontId="16" numFmtId="164" xfId="0" applyAlignment="1" applyFont="1" applyNumberFormat="1">
      <alignment vertical="center"/>
    </xf>
    <xf borderId="0" fillId="0" fontId="16" numFmtId="0" xfId="0" applyAlignment="1" applyFont="1">
      <alignment vertical="center"/>
    </xf>
    <xf borderId="0" fillId="0" fontId="16" numFmtId="1" xfId="0" applyAlignment="1" applyFont="1" applyNumberFormat="1">
      <alignment vertical="center"/>
    </xf>
    <xf borderId="1" fillId="2" fontId="19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16" fillId="11" fontId="21" numFmtId="164" xfId="0" applyAlignment="1" applyBorder="1" applyFill="1" applyFont="1" applyNumberFormat="1">
      <alignment horizontal="left" shrinkToFit="0" vertical="center" wrapText="1"/>
    </xf>
    <xf borderId="11" fillId="11" fontId="21" numFmtId="1" xfId="0" applyAlignment="1" applyBorder="1" applyFont="1" applyNumberFormat="1">
      <alignment horizontal="center" vertical="center"/>
    </xf>
    <xf borderId="17" fillId="12" fontId="21" numFmtId="164" xfId="0" applyAlignment="1" applyBorder="1" applyFill="1" applyFont="1" applyNumberFormat="1">
      <alignment horizontal="left" shrinkToFit="0" vertical="center" wrapText="1"/>
    </xf>
    <xf borderId="11" fillId="12" fontId="21" numFmtId="1" xfId="0" applyAlignment="1" applyBorder="1" applyFont="1" applyNumberFormat="1">
      <alignment horizontal="center" shrinkToFit="0" vertical="center" wrapText="1"/>
    </xf>
    <xf borderId="11" fillId="11" fontId="21" numFmtId="0" xfId="0" applyAlignment="1" applyBorder="1" applyFont="1">
      <alignment horizontal="center" vertical="center"/>
    </xf>
    <xf borderId="17" fillId="12" fontId="21" numFmtId="0" xfId="0" applyAlignment="1" applyBorder="1" applyFont="1">
      <alignment horizontal="left" shrinkToFit="0" vertical="center" wrapText="1"/>
    </xf>
    <xf borderId="11" fillId="12" fontId="21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horizontal="center" vertical="center"/>
    </xf>
    <xf borderId="14" fillId="4" fontId="14" numFmtId="0" xfId="0" applyAlignment="1" applyBorder="1" applyFont="1">
      <alignment horizontal="left" vertical="center"/>
    </xf>
    <xf borderId="1" fillId="4" fontId="29" numFmtId="0" xfId="0" applyAlignment="1" applyBorder="1" applyFont="1">
      <alignment vertical="center"/>
    </xf>
    <xf borderId="0" fillId="0" fontId="30" numFmtId="0" xfId="0" applyAlignment="1" applyFont="1">
      <alignment horizontal="left" shrinkToFit="0" wrapText="1"/>
    </xf>
    <xf borderId="0" fillId="0" fontId="31" numFmtId="0" xfId="0" applyFont="1"/>
    <xf borderId="0" fillId="0" fontId="23" numFmtId="0" xfId="0" applyFont="1"/>
    <xf borderId="5" fillId="5" fontId="22" numFmtId="9" xfId="0" applyAlignment="1" applyBorder="1" applyFont="1" applyNumberFormat="1">
      <alignment horizontal="left" shrinkToFit="0" vertical="center" wrapText="1"/>
    </xf>
    <xf borderId="5" fillId="5" fontId="22" numFmtId="0" xfId="0" applyAlignment="1" applyBorder="1" applyFont="1">
      <alignment horizontal="left" shrinkToFit="0" vertical="center" wrapText="1"/>
    </xf>
    <xf borderId="18" fillId="6" fontId="23" numFmtId="164" xfId="0" applyAlignment="1" applyBorder="1" applyFont="1" applyNumberFormat="1">
      <alignment horizontal="left" shrinkToFit="0" vertical="center" wrapText="1"/>
    </xf>
    <xf borderId="4" fillId="5" fontId="23" numFmtId="0" xfId="0" applyAlignment="1" applyBorder="1" applyFont="1">
      <alignment horizontal="left" vertical="center"/>
    </xf>
    <xf borderId="4" fillId="5" fontId="23" numFmtId="0" xfId="0" applyAlignment="1" applyBorder="1" applyFont="1">
      <alignment horizontal="left" shrinkToFit="0" vertical="center" wrapText="1"/>
    </xf>
    <xf borderId="19" fillId="6" fontId="23" numFmtId="164" xfId="0" applyAlignment="1" applyBorder="1" applyFont="1" applyNumberFormat="1">
      <alignment horizontal="left" shrinkToFit="0" vertical="center" wrapText="1"/>
    </xf>
    <xf borderId="0" fillId="0" fontId="31" numFmtId="164" xfId="0" applyFont="1" applyNumberFormat="1"/>
    <xf borderId="20" fillId="0" fontId="23" numFmtId="0" xfId="0" applyAlignment="1" applyBorder="1" applyFont="1">
      <alignment horizontal="left" shrinkToFit="0" vertical="center" wrapText="1"/>
    </xf>
    <xf borderId="5" fillId="5" fontId="22" numFmtId="16" xfId="0" applyAlignment="1" applyBorder="1" applyFont="1" applyNumberFormat="1">
      <alignment horizontal="center" vertical="center"/>
    </xf>
    <xf borderId="6" fillId="6" fontId="23" numFmtId="14" xfId="0" applyAlignment="1" applyBorder="1" applyFont="1" applyNumberFormat="1">
      <alignment horizontal="center" shrinkToFit="0" vertical="center" wrapText="1"/>
    </xf>
    <xf borderId="21" fillId="6" fontId="23" numFmtId="0" xfId="0" applyAlignment="1" applyBorder="1" applyFont="1">
      <alignment horizontal="center" shrinkToFit="0" vertical="center" wrapText="1"/>
    </xf>
    <xf borderId="22" fillId="6" fontId="23" numFmtId="0" xfId="0" applyAlignment="1" applyBorder="1" applyFont="1">
      <alignment horizontal="center" shrinkToFit="0" vertical="center" wrapText="1"/>
    </xf>
    <xf borderId="23" fillId="0" fontId="23" numFmtId="0" xfId="0" applyAlignment="1" applyBorder="1" applyFont="1">
      <alignment horizontal="left" shrinkToFit="0" vertical="center" wrapText="1"/>
    </xf>
    <xf borderId="24" fillId="6" fontId="23" numFmtId="164" xfId="0" applyAlignment="1" applyBorder="1" applyFont="1" applyNumberFormat="1">
      <alignment horizontal="left" shrinkToFit="0" vertical="center" wrapText="1"/>
    </xf>
    <xf borderId="25" fillId="6" fontId="23" numFmtId="14" xfId="0" applyAlignment="1" applyBorder="1" applyFont="1" applyNumberFormat="1">
      <alignment horizontal="center" shrinkToFit="0" vertical="center" wrapText="1"/>
    </xf>
    <xf borderId="26" fillId="6" fontId="23" numFmtId="0" xfId="0" applyAlignment="1" applyBorder="1" applyFont="1">
      <alignment horizontal="center" shrinkToFit="0" vertical="center" wrapText="1"/>
    </xf>
    <xf borderId="27" fillId="4" fontId="9" numFmtId="0" xfId="0" applyAlignment="1" applyBorder="1" applyFont="1">
      <alignment horizontal="left" vertical="center"/>
    </xf>
    <xf borderId="28" fillId="0" fontId="8" numFmtId="0" xfId="0" applyBorder="1" applyFont="1"/>
    <xf borderId="29" fillId="0" fontId="8" numFmtId="0" xfId="0" applyBorder="1" applyFont="1"/>
    <xf borderId="30" fillId="0" fontId="32" numFmtId="0" xfId="0" applyAlignment="1" applyBorder="1" applyFont="1">
      <alignment horizontal="left" vertical="center"/>
    </xf>
    <xf borderId="0" fillId="0" fontId="33" numFmtId="0" xfId="0" applyAlignment="1" applyFont="1">
      <alignment vertical="center"/>
    </xf>
    <xf borderId="31" fillId="0" fontId="24" numFmtId="0" xfId="0" applyAlignment="1" applyBorder="1" applyFont="1">
      <alignment horizontal="left" vertical="center"/>
    </xf>
    <xf borderId="32" fillId="0" fontId="19" numFmtId="0" xfId="0" applyAlignment="1" applyBorder="1" applyFont="1">
      <alignment horizontal="center"/>
    </xf>
    <xf borderId="33" fillId="7" fontId="23" numFmtId="0" xfId="0" applyAlignment="1" applyBorder="1" applyFont="1">
      <alignment horizontal="center" shrinkToFit="0" vertical="center" wrapText="1"/>
    </xf>
    <xf borderId="8" fillId="0" fontId="8" numFmtId="0" xfId="0" applyBorder="1" applyFont="1"/>
    <xf borderId="34" fillId="0" fontId="8" numFmtId="0" xfId="0" applyBorder="1" applyFont="1"/>
    <xf borderId="35" fillId="6" fontId="34" numFmtId="9" xfId="0" applyAlignment="1" applyBorder="1" applyFont="1" applyNumberFormat="1">
      <alignment horizontal="center" vertical="center"/>
    </xf>
    <xf borderId="30" fillId="0" fontId="8" numFmtId="0" xfId="0" applyBorder="1" applyFont="1"/>
    <xf borderId="36" fillId="0" fontId="8" numFmtId="0" xfId="0" applyBorder="1" applyFont="1"/>
    <xf borderId="37" fillId="0" fontId="8" numFmtId="0" xfId="0" applyBorder="1" applyFont="1"/>
    <xf borderId="31" fillId="0" fontId="8" numFmtId="0" xfId="0" applyBorder="1" applyFont="1"/>
    <xf borderId="38" fillId="0" fontId="8" numFmtId="0" xfId="0" applyBorder="1" applyFont="1"/>
    <xf borderId="39" fillId="0" fontId="8" numFmtId="0" xfId="0" applyBorder="1" applyFont="1"/>
    <xf borderId="9" fillId="0" fontId="35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horizontal="center" vertical="center"/>
    </xf>
    <xf borderId="4" fillId="13" fontId="36" numFmtId="0" xfId="0" applyAlignment="1" applyBorder="1" applyFill="1" applyFont="1">
      <alignment horizontal="left" shrinkToFit="0" vertical="center" wrapText="1"/>
    </xf>
    <xf borderId="16" fillId="14" fontId="36" numFmtId="9" xfId="0" applyAlignment="1" applyBorder="1" applyFill="1" applyFont="1" applyNumberFormat="1">
      <alignment horizontal="center" shrinkToFit="0" vertical="center" wrapText="1"/>
    </xf>
    <xf borderId="9" fillId="5" fontId="37" numFmtId="0" xfId="0" applyAlignment="1" applyBorder="1" applyFont="1">
      <alignment horizontal="left" shrinkToFit="0" vertical="center" wrapText="1"/>
    </xf>
    <xf borderId="31" fillId="0" fontId="32" numFmtId="0" xfId="0" applyAlignment="1" applyBorder="1" applyFont="1">
      <alignment horizontal="left" vertical="center"/>
    </xf>
    <xf borderId="9" fillId="0" fontId="33" numFmtId="0" xfId="0" applyAlignment="1" applyBorder="1" applyFont="1">
      <alignment horizontal="left" vertical="center"/>
    </xf>
    <xf borderId="40" fillId="5" fontId="38" numFmtId="1" xfId="0" applyAlignment="1" applyBorder="1" applyFont="1" applyNumberFormat="1">
      <alignment horizontal="left" shrinkToFit="0" vertical="center" wrapText="1"/>
    </xf>
    <xf borderId="30" fillId="0" fontId="39" numFmtId="0" xfId="0" applyAlignment="1" applyBorder="1" applyFont="1">
      <alignment horizontal="left" vertical="center"/>
    </xf>
    <xf borderId="41" fillId="5" fontId="30" numFmtId="164" xfId="0" applyAlignment="1" applyBorder="1" applyFont="1" applyNumberFormat="1">
      <alignment horizontal="left" shrinkToFit="0" vertical="center" wrapText="1"/>
    </xf>
    <xf borderId="42" fillId="0" fontId="8" numFmtId="0" xfId="0" applyBorder="1" applyFont="1"/>
    <xf borderId="41" fillId="5" fontId="40" numFmtId="1" xfId="0" applyAlignment="1" applyBorder="1" applyFont="1" applyNumberFormat="1">
      <alignment horizontal="left" shrinkToFit="0" vertical="center" wrapText="1"/>
    </xf>
    <xf borderId="41" fillId="5" fontId="41" numFmtId="1" xfId="0" applyAlignment="1" applyBorder="1" applyFont="1" applyNumberFormat="1">
      <alignment horizontal="left" shrinkToFit="0" vertical="center" wrapText="1"/>
    </xf>
    <xf borderId="41" fillId="5" fontId="40" numFmtId="0" xfId="0" applyAlignment="1" applyBorder="1" applyFont="1">
      <alignment horizontal="left" shrinkToFit="0" vertical="center" wrapText="1"/>
    </xf>
    <xf borderId="41" fillId="5" fontId="30" numFmtId="0" xfId="0" applyAlignment="1" applyBorder="1" applyFont="1">
      <alignment horizontal="left" shrinkToFit="0" vertical="center" wrapText="1"/>
    </xf>
    <xf borderId="41" fillId="5" fontId="41" numFmtId="0" xfId="0" applyAlignment="1" applyBorder="1" applyFont="1">
      <alignment horizontal="left" shrinkToFit="0" vertical="center" wrapText="1"/>
    </xf>
    <xf borderId="1" fillId="5" fontId="14" numFmtId="0" xfId="0" applyBorder="1" applyFont="1"/>
    <xf borderId="1" fillId="5" fontId="9" numFmtId="0" xfId="0" applyBorder="1" applyFont="1"/>
    <xf borderId="1" fillId="5" fontId="14" numFmtId="0" xfId="0" applyAlignment="1" applyBorder="1" applyFont="1">
      <alignment vertical="center"/>
    </xf>
    <xf borderId="1" fillId="5" fontId="28" numFmtId="0" xfId="0" applyBorder="1" applyFont="1"/>
    <xf borderId="1" fillId="5" fontId="15" numFmtId="0" xfId="0" applyBorder="1" applyFont="1"/>
    <xf borderId="9" fillId="13" fontId="20" numFmtId="0" xfId="0" applyAlignment="1" applyBorder="1" applyFont="1">
      <alignment horizontal="left" shrinkToFit="0" vertical="center" wrapText="1"/>
    </xf>
    <xf borderId="4" fillId="6" fontId="34" numFmtId="9" xfId="0" applyAlignment="1" applyBorder="1" applyFont="1" applyNumberFormat="1">
      <alignment horizontal="center" vertical="top"/>
    </xf>
    <xf borderId="9" fillId="7" fontId="23" numFmtId="0" xfId="0" applyAlignment="1" applyBorder="1" applyFont="1">
      <alignment horizontal="left" shrinkToFit="0" vertical="center" wrapText="1"/>
    </xf>
    <xf borderId="5" fillId="6" fontId="42" numFmtId="9" xfId="0" applyAlignment="1" applyBorder="1" applyFont="1" applyNumberFormat="1">
      <alignment vertical="center"/>
    </xf>
    <xf borderId="33" fillId="0" fontId="32" numFmtId="0" xfId="0" applyAlignment="1" applyBorder="1" applyFont="1">
      <alignment horizontal="left" vertical="center"/>
    </xf>
    <xf borderId="8" fillId="0" fontId="33" numFmtId="0" xfId="0" applyAlignment="1" applyBorder="1" applyFont="1">
      <alignment vertical="center"/>
    </xf>
    <xf borderId="30" fillId="0" fontId="33" numFmtId="0" xfId="0" applyAlignment="1" applyBorder="1" applyFont="1">
      <alignment vertical="center"/>
    </xf>
    <xf borderId="0" fillId="0" fontId="43" numFmtId="0" xfId="0" applyFont="1"/>
    <xf borderId="0" fillId="0" fontId="32" numFmtId="0" xfId="0" applyAlignment="1" applyFont="1">
      <alignment horizontal="left" shrinkToFit="0" vertical="top" wrapText="1"/>
    </xf>
    <xf borderId="0" fillId="0" fontId="39" numFmtId="0" xfId="0" applyAlignment="1" applyFont="1">
      <alignment horizontal="left" vertical="top"/>
    </xf>
    <xf borderId="0" fillId="0" fontId="1" numFmtId="0" xfId="0" applyAlignment="1" applyFont="1">
      <alignment vertical="top"/>
    </xf>
    <xf borderId="0" fillId="0" fontId="44" numFmtId="0" xfId="0" applyAlignment="1" applyFont="1">
      <alignment horizontal="left" shrinkToFit="0" vertical="top" wrapText="1"/>
    </xf>
    <xf borderId="0" fillId="0" fontId="17" numFmtId="0" xfId="0" applyAlignment="1" applyFont="1">
      <alignment vertical="top"/>
    </xf>
    <xf borderId="0" fillId="0" fontId="45" numFmtId="0" xfId="0" applyAlignment="1" applyFont="1">
      <alignment vertical="center"/>
    </xf>
    <xf borderId="0" fillId="0" fontId="46" numFmtId="0" xfId="0" applyAlignment="1" applyFont="1">
      <alignment vertical="center"/>
    </xf>
    <xf borderId="0" fillId="0" fontId="46" numFmtId="0" xfId="0" applyFont="1"/>
    <xf borderId="0" fillId="0" fontId="47" numFmtId="0" xfId="0" applyAlignment="1" applyFont="1">
      <alignment vertical="center"/>
    </xf>
    <xf borderId="30" fillId="0" fontId="48" numFmtId="0" xfId="0" applyAlignment="1" applyBorder="1" applyFont="1">
      <alignment vertical="center"/>
    </xf>
    <xf borderId="30" fillId="0" fontId="49" numFmtId="0" xfId="0" applyAlignment="1" applyBorder="1" applyFont="1">
      <alignment vertical="center"/>
    </xf>
    <xf borderId="41" fillId="5" fontId="23" numFmtId="1" xfId="0" applyAlignment="1" applyBorder="1" applyFont="1" applyNumberFormat="1">
      <alignment horizontal="left" shrinkToFit="0" vertical="center" wrapText="1"/>
    </xf>
    <xf borderId="43" fillId="0" fontId="8" numFmtId="0" xfId="0" applyBorder="1" applyFont="1"/>
    <xf borderId="41" fillId="5" fontId="23" numFmtId="0" xfId="0" applyAlignment="1" applyBorder="1" applyFont="1">
      <alignment horizontal="left" shrinkToFit="0" vertical="center" wrapText="1"/>
    </xf>
    <xf borderId="30" fillId="0" fontId="50" numFmtId="0" xfId="0" applyAlignment="1" applyBorder="1" applyFont="1">
      <alignment vertical="center"/>
    </xf>
    <xf borderId="32" fillId="0" fontId="51" numFmtId="0" xfId="0" applyAlignment="1" applyBorder="1" applyFont="1">
      <alignment horizontal="center"/>
    </xf>
    <xf borderId="33" fillId="15" fontId="52" numFmtId="0" xfId="0" applyAlignment="1" applyBorder="1" applyFill="1" applyFont="1">
      <alignment horizontal="left" shrinkToFit="0" vertical="center" wrapText="1"/>
    </xf>
    <xf borderId="5" fillId="6" fontId="53" numFmtId="9" xfId="0" applyAlignment="1" applyBorder="1" applyFont="1" applyNumberFormat="1">
      <alignment horizontal="center" vertical="top"/>
    </xf>
    <xf borderId="4" fillId="13" fontId="28" numFmtId="0" xfId="0" applyAlignment="1" applyBorder="1" applyFont="1">
      <alignment horizontal="left" shrinkToFit="0" vertical="center" wrapText="1"/>
    </xf>
    <xf borderId="16" fillId="11" fontId="28" numFmtId="9" xfId="0" applyAlignment="1" applyBorder="1" applyFont="1" applyNumberFormat="1">
      <alignment horizontal="center" shrinkToFit="0" vertical="center" wrapText="1"/>
    </xf>
    <xf borderId="41" fillId="5" fontId="54" numFmtId="0" xfId="0" applyAlignment="1" applyBorder="1" applyFont="1">
      <alignment horizontal="left" shrinkToFit="0" vertical="center" wrapText="1"/>
    </xf>
    <xf borderId="17" fillId="12" fontId="28" numFmtId="9" xfId="0" applyAlignment="1" applyBorder="1" applyFont="1" applyNumberFormat="1">
      <alignment horizontal="center" shrinkToFit="0" vertical="center" wrapText="1"/>
    </xf>
    <xf borderId="9" fillId="5" fontId="54" numFmtId="0" xfId="0" applyAlignment="1" applyBorder="1" applyFont="1">
      <alignment horizontal="left" shrinkToFit="0" vertical="center" wrapText="1"/>
    </xf>
    <xf borderId="40" fillId="5" fontId="55" numFmtId="1" xfId="0" applyAlignment="1" applyBorder="1" applyFont="1" applyNumberFormat="1">
      <alignment horizontal="left" shrinkToFit="0" vertical="center" wrapText="1"/>
    </xf>
    <xf borderId="0" fillId="0" fontId="56" numFmtId="0" xfId="0" applyAlignment="1" applyFont="1">
      <alignment vertical="center"/>
    </xf>
    <xf borderId="9" fillId="8" fontId="20" numFmtId="0" xfId="0" applyAlignment="1" applyBorder="1" applyFont="1">
      <alignment horizontal="left" shrinkToFit="0" vertical="center" wrapText="1"/>
    </xf>
    <xf borderId="9" fillId="6" fontId="34" numFmtId="9" xfId="0" applyAlignment="1" applyBorder="1" applyFont="1" applyNumberFormat="1">
      <alignment horizontal="center" vertical="top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3" numFmtId="0" xfId="0" applyFont="1"/>
    <xf borderId="0" fillId="0" fontId="57" numFmtId="0" xfId="0" applyFont="1"/>
    <xf borderId="0" fillId="0" fontId="58" numFmtId="0" xfId="0" applyFont="1"/>
    <xf borderId="0" fillId="0" fontId="59" numFmtId="0" xfId="0" applyFont="1"/>
    <xf borderId="0" fillId="0" fontId="1" numFmtId="0" xfId="0" applyAlignment="1" applyFont="1">
      <alignment shrinkToFit="0" wrapText="1"/>
    </xf>
    <xf borderId="0" fillId="0" fontId="60" numFmtId="0" xfId="0" applyFont="1"/>
  </cellXfs>
  <cellStyles count="1">
    <cellStyle xfId="0" name="Normal" builtinId="0"/>
  </cellStyles>
  <dxfs count="13">
    <dxf>
      <font>
        <color rgb="FF330000"/>
      </font>
      <fill>
        <patternFill patternType="solid">
          <fgColor rgb="FFFF6666"/>
          <bgColor rgb="FFFF6666"/>
        </patternFill>
      </fill>
      <border/>
    </dxf>
    <dxf>
      <font>
        <color rgb="FF663300"/>
      </font>
      <fill>
        <patternFill patternType="solid">
          <fgColor rgb="FFFF9966"/>
          <bgColor rgb="FFFF9966"/>
        </patternFill>
      </fill>
      <border/>
    </dxf>
    <dxf>
      <font>
        <color rgb="FF003300"/>
      </font>
      <fill>
        <patternFill patternType="solid">
          <fgColor rgb="FF99CC99"/>
          <bgColor rgb="FF99CC99"/>
        </patternFill>
      </fill>
      <border/>
    </dxf>
    <dxf>
      <font>
        <color rgb="FF003333"/>
      </font>
      <fill>
        <patternFill patternType="solid">
          <fgColor rgb="FF99CCCC"/>
          <bgColor rgb="FF99CCC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b/>
        <color theme="0"/>
      </font>
      <fill>
        <patternFill patternType="solid">
          <fgColor rgb="FF339933"/>
          <bgColor rgb="FF339933"/>
        </patternFill>
      </fill>
      <border/>
    </dxf>
    <dxf>
      <font>
        <b/>
        <color theme="0"/>
      </font>
      <fill>
        <patternFill patternType="solid">
          <fgColor rgb="FF66CC99"/>
          <bgColor rgb="FF66CC99"/>
        </patternFill>
      </fill>
      <border/>
    </dxf>
    <dxf>
      <font>
        <b/>
        <color rgb="FF595959"/>
      </font>
      <fill>
        <patternFill patternType="solid">
          <fgColor rgb="FFFFCC00"/>
          <bgColor rgb="FFFFCC00"/>
        </patternFill>
      </fill>
      <border/>
    </dxf>
    <dxf>
      <font>
        <b/>
        <color theme="0"/>
      </font>
      <fill>
        <patternFill patternType="solid">
          <fgColor rgb="FFFF3333"/>
          <bgColor rgb="FFFF3333"/>
        </patternFill>
      </fill>
      <border/>
    </dxf>
    <dxf>
      <font>
        <b/>
        <color theme="0"/>
      </font>
      <fill>
        <patternFill patternType="solid">
          <fgColor rgb="FFFF9999"/>
          <bgColor rgb="FFFF9999"/>
        </patternFill>
      </fill>
      <border/>
    </dxf>
    <dxf>
      <font>
        <b/>
        <color rgb="FF595959"/>
        <name val="Calibri"/>
      </font>
      <fill>
        <patternFill patternType="solid">
          <fgColor rgb="FFFFCC00"/>
          <bgColor rgb="FFFFCC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'Gráficos'!$C$19:$C$22</c:f>
            </c:strRef>
          </c:cat>
          <c:val>
            <c:numRef>
              <c:f>'Gráficos'!$D$19:$D$22</c:f>
              <c:numCache/>
            </c:numRef>
          </c:val>
          <c:smooth val="1"/>
        </c:ser>
        <c:axId val="533699872"/>
        <c:axId val="221663112"/>
      </c:radarChart>
      <c:catAx>
        <c:axId val="533699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663112"/>
      </c:catAx>
      <c:valAx>
        <c:axId val="221663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699872"/>
      </c:valAx>
    </c:plotArea>
    <c:plotVisOnly val="1"/>
  </c:chart>
  <c:spPr>
    <a:solidFill>
      <a:srgbClr val="ECF0F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006100"/>
            </a:solidFill>
            <a:ln cmpd="sng">
              <a:solidFill>
                <a:srgbClr val="000000"/>
              </a:solidFill>
            </a:ln>
          </c:spPr>
          <c:dPt>
            <c:idx val="4"/>
            <c:spPr>
              <a:solidFill>
                <a:srgbClr val="9C0006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GPA!$R$7:$R$11</c:f>
            </c:strRef>
          </c:cat>
          <c:val>
            <c:numRef>
              <c:f>GPA!$S$7:$S$11</c:f>
              <c:numCache/>
            </c:numRef>
          </c:val>
        </c:ser>
        <c:axId val="1965672465"/>
        <c:axId val="1503528117"/>
      </c:barChart>
      <c:catAx>
        <c:axId val="1965672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503528117"/>
      </c:catAx>
      <c:valAx>
        <c:axId val="150352811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65672465"/>
      </c:valAx>
      <c:spPr>
        <a:solidFill>
          <a:srgbClr val="EAEAEA"/>
        </a:solidFill>
      </c:spPr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No prazo</c:v>
          </c:tx>
          <c:spPr>
            <a:solidFill>
              <a:srgbClr val="0061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GPA!$S$3</c:f>
              <c:numCache/>
            </c:numRef>
          </c:val>
        </c:ser>
        <c:ser>
          <c:idx val="1"/>
          <c:order val="1"/>
          <c:tx>
            <c:v>Atrasado</c:v>
          </c:tx>
          <c:spPr>
            <a:solidFill>
              <a:srgbClr val="9C000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GPA!$S$4</c:f>
              <c:numCache/>
            </c:numRef>
          </c:val>
        </c:ser>
        <c:axId val="40846449"/>
        <c:axId val="67541147"/>
      </c:barChart>
      <c:catAx>
        <c:axId val="40846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7541147"/>
      </c:catAx>
      <c:valAx>
        <c:axId val="675411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0846449"/>
      </c:valAx>
      <c:spPr>
        <a:solidFill>
          <a:srgbClr val="EAEAEA"/>
        </a:solidFill>
      </c:spPr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GPA!$K$7:$K$11</c:f>
            </c:strRef>
          </c:cat>
          <c:val>
            <c:numRef>
              <c:f>GPA!$L$7:$L$11</c:f>
              <c:numCache/>
            </c:numRef>
          </c:val>
        </c:ser>
        <c:ser>
          <c:idx val="1"/>
          <c:order val="1"/>
          <c:cat>
            <c:strRef>
              <c:f>GPA!$K$7:$K$11</c:f>
            </c:strRef>
          </c:cat>
          <c:val>
            <c:numRef>
              <c:f>GPA!$M$7:$M$11</c:f>
              <c:numCache/>
            </c:numRef>
          </c:val>
        </c:ser>
        <c:axId val="1662505439"/>
        <c:axId val="737803780"/>
      </c:barChart>
      <c:catAx>
        <c:axId val="1662505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737803780"/>
      </c:catAx>
      <c:valAx>
        <c:axId val="73780378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62505439"/>
      </c:valAx>
      <c:spPr>
        <a:solidFill>
          <a:srgbClr val="EAEAEA"/>
        </a:solidFill>
      </c:spPr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'Gráficos'!$C$19:$C$22</c:f>
            </c:strRef>
          </c:cat>
          <c:val>
            <c:numRef>
              <c:f>'Gráficos'!$D$19:$D$22</c:f>
              <c:numCache/>
            </c:numRef>
          </c:val>
          <c:smooth val="1"/>
        </c:ser>
        <c:axId val="1009339089"/>
        <c:axId val="949714230"/>
      </c:radarChart>
      <c:catAx>
        <c:axId val="1009339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714230"/>
      </c:catAx>
      <c:valAx>
        <c:axId val="949714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339089"/>
      </c:valAx>
    </c:plotArea>
    <c:plotVisOnly val="1"/>
  </c:chart>
  <c:spPr>
    <a:solidFill>
      <a:srgbClr val="ECF0F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006100"/>
            </a:solidFill>
            <a:ln cmpd="sng">
              <a:solidFill>
                <a:srgbClr val="000000"/>
              </a:solidFill>
            </a:ln>
          </c:spPr>
          <c:dPt>
            <c:idx val="4"/>
            <c:spPr>
              <a:solidFill>
                <a:srgbClr val="9C0006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GPA!$R$7:$R$11</c:f>
            </c:strRef>
          </c:cat>
          <c:val>
            <c:numRef>
              <c:f>GPA!$S$7:$S$11</c:f>
              <c:numCache/>
            </c:numRef>
          </c:val>
        </c:ser>
        <c:axId val="615433421"/>
        <c:axId val="2021559098"/>
      </c:barChart>
      <c:catAx>
        <c:axId val="615433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2021559098"/>
      </c:catAx>
      <c:valAx>
        <c:axId val="202155909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15433421"/>
      </c:valAx>
      <c:spPr>
        <a:solidFill>
          <a:srgbClr val="EAEAEA"/>
        </a:solidFill>
      </c:spPr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No prazo</c:v>
          </c:tx>
          <c:spPr>
            <a:solidFill>
              <a:srgbClr val="0061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GPA!$S$3</c:f>
              <c:numCache/>
            </c:numRef>
          </c:val>
        </c:ser>
        <c:ser>
          <c:idx val="1"/>
          <c:order val="1"/>
          <c:tx>
            <c:v>Atrasado</c:v>
          </c:tx>
          <c:spPr>
            <a:solidFill>
              <a:srgbClr val="9C000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GPA!$S$4</c:f>
              <c:numCache/>
            </c:numRef>
          </c:val>
        </c:ser>
        <c:axId val="868428585"/>
        <c:axId val="452756633"/>
      </c:barChart>
      <c:catAx>
        <c:axId val="868428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52756633"/>
      </c:catAx>
      <c:valAx>
        <c:axId val="45275663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68428585"/>
      </c:valAx>
      <c:spPr>
        <a:solidFill>
          <a:srgbClr val="EAEAEA"/>
        </a:solidFill>
      </c:spPr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GPA!$K$7:$K$11</c:f>
            </c:strRef>
          </c:cat>
          <c:val>
            <c:numRef>
              <c:f>GPA!$L$7:$L$11</c:f>
              <c:numCache/>
            </c:numRef>
          </c:val>
        </c:ser>
        <c:ser>
          <c:idx val="1"/>
          <c:order val="1"/>
          <c:cat>
            <c:strRef>
              <c:f>GPA!$K$7:$K$11</c:f>
            </c:strRef>
          </c:cat>
          <c:val>
            <c:numRef>
              <c:f>GPA!$M$7:$M$11</c:f>
              <c:numCache/>
            </c:numRef>
          </c:val>
        </c:ser>
        <c:axId val="911070703"/>
        <c:axId val="541106727"/>
      </c:barChart>
      <c:catAx>
        <c:axId val="911070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541106727"/>
      </c:catAx>
      <c:valAx>
        <c:axId val="54110672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11070703"/>
      </c:valAx>
      <c:spPr>
        <a:solidFill>
          <a:srgbClr val="EAEAEA"/>
        </a:solidFill>
      </c:spPr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In&#237;cio!A1" TargetMode="External"/><Relationship Id="rId2" Type="http://schemas.openxmlformats.org/officeDocument/2006/relationships/hyperlink" Target="#Gr&#225;ficos!A1" TargetMode="External"/><Relationship Id="rId3" Type="http://schemas.openxmlformats.org/officeDocument/2006/relationships/hyperlink" Target="#GPA!A1" TargetMode="External"/><Relationship Id="rId4" Type="http://schemas.openxmlformats.org/officeDocument/2006/relationships/hyperlink" Target="#Imprimir!A1" TargetMode="External"/><Relationship Id="rId10" Type="http://schemas.openxmlformats.org/officeDocument/2006/relationships/hyperlink" Target="#Objetivos!A1" TargetMode="External"/><Relationship Id="rId9" Type="http://schemas.openxmlformats.org/officeDocument/2006/relationships/hyperlink" Target="#Cruzamento!A1" TargetMode="External"/><Relationship Id="rId5" Type="http://schemas.openxmlformats.org/officeDocument/2006/relationships/hyperlink" Target="#For&#231;as!A1" TargetMode="External"/><Relationship Id="rId6" Type="http://schemas.openxmlformats.org/officeDocument/2006/relationships/hyperlink" Target="#Oportunidades!A1" TargetMode="External"/><Relationship Id="rId7" Type="http://schemas.openxmlformats.org/officeDocument/2006/relationships/hyperlink" Target="#'Matriz%20SWOT'!A1" TargetMode="External"/><Relationship Id="rId8" Type="http://schemas.openxmlformats.org/officeDocument/2006/relationships/hyperlink" Target="#'Cruzamento%20-%20FxO'!A1" TargetMode="Externa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hyperlink" Target="#'Cruzamento%20-%20FxO'!A1" TargetMode="External"/><Relationship Id="rId10" Type="http://schemas.openxmlformats.org/officeDocument/2006/relationships/hyperlink" Target="#'Matriz%20SWOT'!A1" TargetMode="External"/><Relationship Id="rId13" Type="http://schemas.openxmlformats.org/officeDocument/2006/relationships/hyperlink" Target="#Objetivos!A1" TargetMode="External"/><Relationship Id="rId12" Type="http://schemas.openxmlformats.org/officeDocument/2006/relationships/hyperlink" Target="#Cruzamento!A1" TargetMode="External"/><Relationship Id="rId1" Type="http://schemas.openxmlformats.org/officeDocument/2006/relationships/hyperlink" Target="#For&#231;as!A1" TargetMode="External"/><Relationship Id="rId2" Type="http://schemas.openxmlformats.org/officeDocument/2006/relationships/hyperlink" Target="#Fraquezas!A1" TargetMode="External"/><Relationship Id="rId3" Type="http://schemas.openxmlformats.org/officeDocument/2006/relationships/hyperlink" Target="#In&#237;cio!A1" TargetMode="External"/><Relationship Id="rId4" Type="http://schemas.openxmlformats.org/officeDocument/2006/relationships/hyperlink" Target="#In&#237;cio!A1" TargetMode="External"/><Relationship Id="rId9" Type="http://schemas.openxmlformats.org/officeDocument/2006/relationships/hyperlink" Target="#Oportunidades!A1" TargetMode="External"/><Relationship Id="rId5" Type="http://schemas.openxmlformats.org/officeDocument/2006/relationships/hyperlink" Target="#Gr&#225;ficos!A1" TargetMode="External"/><Relationship Id="rId6" Type="http://schemas.openxmlformats.org/officeDocument/2006/relationships/hyperlink" Target="#GPA!A1" TargetMode="External"/><Relationship Id="rId7" Type="http://schemas.openxmlformats.org/officeDocument/2006/relationships/hyperlink" Target="#Imprimir!A1" TargetMode="External"/><Relationship Id="rId8" Type="http://schemas.openxmlformats.org/officeDocument/2006/relationships/hyperlink" Target="#For&#231;as!A1" TargetMode="External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hyperlink" Target="#In&#237;cio!A1" TargetMode="External"/><Relationship Id="rId10" Type="http://schemas.openxmlformats.org/officeDocument/2006/relationships/hyperlink" Target="#'Cruzamento%20-%20FxO'!A1" TargetMode="External"/><Relationship Id="rId13" Type="http://schemas.openxmlformats.org/officeDocument/2006/relationships/hyperlink" Target="#Objetivos!A1" TargetMode="External"/><Relationship Id="rId12" Type="http://schemas.openxmlformats.org/officeDocument/2006/relationships/hyperlink" Target="#Cruzamento!A1" TargetMode="External"/><Relationship Id="rId1" Type="http://schemas.openxmlformats.org/officeDocument/2006/relationships/hyperlink" Target="#For&#231;as!A1" TargetMode="External"/><Relationship Id="rId2" Type="http://schemas.openxmlformats.org/officeDocument/2006/relationships/hyperlink" Target="#Fraquezas!A1" TargetMode="External"/><Relationship Id="rId3" Type="http://schemas.openxmlformats.org/officeDocument/2006/relationships/hyperlink" Target="#In&#237;cio!A1" TargetMode="External"/><Relationship Id="rId4" Type="http://schemas.openxmlformats.org/officeDocument/2006/relationships/hyperlink" Target="#Gr&#225;ficos!A1" TargetMode="External"/><Relationship Id="rId9" Type="http://schemas.openxmlformats.org/officeDocument/2006/relationships/hyperlink" Target="#'Matriz%20SWOT'!A1" TargetMode="External"/><Relationship Id="rId5" Type="http://schemas.openxmlformats.org/officeDocument/2006/relationships/hyperlink" Target="#GPA!A1" TargetMode="External"/><Relationship Id="rId6" Type="http://schemas.openxmlformats.org/officeDocument/2006/relationships/hyperlink" Target="#Imprimir!A1" TargetMode="External"/><Relationship Id="rId7" Type="http://schemas.openxmlformats.org/officeDocument/2006/relationships/hyperlink" Target="#For&#231;as!A1" TargetMode="External"/><Relationship Id="rId8" Type="http://schemas.openxmlformats.org/officeDocument/2006/relationships/hyperlink" Target="#Oportunidades!A1" TargetMode="External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hyperlink" Target="#&#193;reas!A1" TargetMode="External"/><Relationship Id="rId10" Type="http://schemas.openxmlformats.org/officeDocument/2006/relationships/hyperlink" Target="#'Cruzamento%20-%20FxO'!A1" TargetMode="External"/><Relationship Id="rId13" Type="http://schemas.openxmlformats.org/officeDocument/2006/relationships/hyperlink" Target="#Objetivos!A1" TargetMode="External"/><Relationship Id="rId12" Type="http://schemas.openxmlformats.org/officeDocument/2006/relationships/hyperlink" Target="#Cruzamento!A1" TargetMode="External"/><Relationship Id="rId1" Type="http://schemas.openxmlformats.org/officeDocument/2006/relationships/hyperlink" Target="#Oportunidades!A1" TargetMode="External"/><Relationship Id="rId2" Type="http://schemas.openxmlformats.org/officeDocument/2006/relationships/hyperlink" Target="#Amea&#231;as!A1" TargetMode="External"/><Relationship Id="rId3" Type="http://schemas.openxmlformats.org/officeDocument/2006/relationships/hyperlink" Target="#In&#237;cio!A1" TargetMode="External"/><Relationship Id="rId4" Type="http://schemas.openxmlformats.org/officeDocument/2006/relationships/hyperlink" Target="#Gr&#225;ficos!A1" TargetMode="External"/><Relationship Id="rId9" Type="http://schemas.openxmlformats.org/officeDocument/2006/relationships/hyperlink" Target="#'Matriz%20SWOT'!A1" TargetMode="External"/><Relationship Id="rId5" Type="http://schemas.openxmlformats.org/officeDocument/2006/relationships/hyperlink" Target="#GPA!A1" TargetMode="External"/><Relationship Id="rId6" Type="http://schemas.openxmlformats.org/officeDocument/2006/relationships/hyperlink" Target="#Imprimir!A1" TargetMode="External"/><Relationship Id="rId7" Type="http://schemas.openxmlformats.org/officeDocument/2006/relationships/hyperlink" Target="#For&#231;as!A1" TargetMode="External"/><Relationship Id="rId8" Type="http://schemas.openxmlformats.org/officeDocument/2006/relationships/hyperlink" Target="#Oportunidades!A1" TargetMode="External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hyperlink" Target="#&#193;reas!A1" TargetMode="External"/><Relationship Id="rId10" Type="http://schemas.openxmlformats.org/officeDocument/2006/relationships/hyperlink" Target="#'Cruzamento%20-%20FxO'!A1" TargetMode="External"/><Relationship Id="rId13" Type="http://schemas.openxmlformats.org/officeDocument/2006/relationships/hyperlink" Target="#Objetivos!A1" TargetMode="External"/><Relationship Id="rId12" Type="http://schemas.openxmlformats.org/officeDocument/2006/relationships/hyperlink" Target="#Cruzamento!A1" TargetMode="External"/><Relationship Id="rId1" Type="http://schemas.openxmlformats.org/officeDocument/2006/relationships/hyperlink" Target="#Oportunidades!A1" TargetMode="External"/><Relationship Id="rId2" Type="http://schemas.openxmlformats.org/officeDocument/2006/relationships/hyperlink" Target="#Amea&#231;as!A1" TargetMode="External"/><Relationship Id="rId3" Type="http://schemas.openxmlformats.org/officeDocument/2006/relationships/hyperlink" Target="#In&#237;cio!A1" TargetMode="External"/><Relationship Id="rId4" Type="http://schemas.openxmlformats.org/officeDocument/2006/relationships/hyperlink" Target="#Gr&#225;ficos!A1" TargetMode="External"/><Relationship Id="rId9" Type="http://schemas.openxmlformats.org/officeDocument/2006/relationships/hyperlink" Target="#'Matriz%20SWOT'!A1" TargetMode="External"/><Relationship Id="rId5" Type="http://schemas.openxmlformats.org/officeDocument/2006/relationships/hyperlink" Target="#GPA!A1" TargetMode="External"/><Relationship Id="rId6" Type="http://schemas.openxmlformats.org/officeDocument/2006/relationships/hyperlink" Target="#Imprimir!A1" TargetMode="External"/><Relationship Id="rId7" Type="http://schemas.openxmlformats.org/officeDocument/2006/relationships/hyperlink" Target="#For&#231;as!A1" TargetMode="External"/><Relationship Id="rId8" Type="http://schemas.openxmlformats.org/officeDocument/2006/relationships/hyperlink" Target="#Oportunidades!A1" TargetMode="External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hyperlink" Target="#Objetivos!A1" TargetMode="External"/><Relationship Id="rId10" Type="http://schemas.openxmlformats.org/officeDocument/2006/relationships/hyperlink" Target="#Cruzamento!A1" TargetMode="External"/><Relationship Id="rId1" Type="http://schemas.openxmlformats.org/officeDocument/2006/relationships/hyperlink" Target="#In&#237;cio!A1" TargetMode="External"/><Relationship Id="rId2" Type="http://schemas.openxmlformats.org/officeDocument/2006/relationships/hyperlink" Target="#Gr&#225;ficos!A1" TargetMode="External"/><Relationship Id="rId3" Type="http://schemas.openxmlformats.org/officeDocument/2006/relationships/hyperlink" Target="#GPA!A1" TargetMode="External"/><Relationship Id="rId4" Type="http://schemas.openxmlformats.org/officeDocument/2006/relationships/hyperlink" Target="#Imprimir!A1" TargetMode="External"/><Relationship Id="rId9" Type="http://schemas.openxmlformats.org/officeDocument/2006/relationships/hyperlink" Target="#In&#237;cio!A1" TargetMode="External"/><Relationship Id="rId5" Type="http://schemas.openxmlformats.org/officeDocument/2006/relationships/hyperlink" Target="#For&#231;as!A1" TargetMode="External"/><Relationship Id="rId6" Type="http://schemas.openxmlformats.org/officeDocument/2006/relationships/hyperlink" Target="#Oportunidades!A1" TargetMode="External"/><Relationship Id="rId7" Type="http://schemas.openxmlformats.org/officeDocument/2006/relationships/hyperlink" Target="#'Matriz%20SWOT'!A1" TargetMode="External"/><Relationship Id="rId8" Type="http://schemas.openxmlformats.org/officeDocument/2006/relationships/hyperlink" Target="#'Cruzamento%20-%20FxO'!A1" TargetMode="External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hyperlink" Target="#Objetivos!A1" TargetMode="External"/><Relationship Id="rId10" Type="http://schemas.openxmlformats.org/officeDocument/2006/relationships/hyperlink" Target="#Cruzamento!A1" TargetMode="External"/><Relationship Id="rId1" Type="http://schemas.openxmlformats.org/officeDocument/2006/relationships/hyperlink" Target="#In&#237;cio!A1" TargetMode="External"/><Relationship Id="rId2" Type="http://schemas.openxmlformats.org/officeDocument/2006/relationships/hyperlink" Target="#Gr&#225;ficos!A1" TargetMode="External"/><Relationship Id="rId3" Type="http://schemas.openxmlformats.org/officeDocument/2006/relationships/hyperlink" Target="#GPA!A1" TargetMode="External"/><Relationship Id="rId4" Type="http://schemas.openxmlformats.org/officeDocument/2006/relationships/hyperlink" Target="#Imprimir!A1" TargetMode="External"/><Relationship Id="rId9" Type="http://schemas.openxmlformats.org/officeDocument/2006/relationships/hyperlink" Target="#&#193;reas!A1" TargetMode="External"/><Relationship Id="rId5" Type="http://schemas.openxmlformats.org/officeDocument/2006/relationships/hyperlink" Target="#For&#231;as!A1" TargetMode="External"/><Relationship Id="rId6" Type="http://schemas.openxmlformats.org/officeDocument/2006/relationships/hyperlink" Target="#Oportunidades!A1" TargetMode="External"/><Relationship Id="rId7" Type="http://schemas.openxmlformats.org/officeDocument/2006/relationships/hyperlink" Target="#'Matriz%20SWOT'!A1" TargetMode="External"/><Relationship Id="rId8" Type="http://schemas.openxmlformats.org/officeDocument/2006/relationships/hyperlink" Target="#'Cruzamento%20-%20FxO'!A1" TargetMode="External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hyperlink" Target="#Objetivos!A1" TargetMode="External"/><Relationship Id="rId10" Type="http://schemas.openxmlformats.org/officeDocument/2006/relationships/hyperlink" Target="#Cruzamento!A1" TargetMode="External"/><Relationship Id="rId1" Type="http://schemas.openxmlformats.org/officeDocument/2006/relationships/hyperlink" Target="#In&#237;cio!A1" TargetMode="External"/><Relationship Id="rId2" Type="http://schemas.openxmlformats.org/officeDocument/2006/relationships/hyperlink" Target="#Gr&#225;ficos!A1" TargetMode="External"/><Relationship Id="rId3" Type="http://schemas.openxmlformats.org/officeDocument/2006/relationships/hyperlink" Target="#GPA!A1" TargetMode="External"/><Relationship Id="rId4" Type="http://schemas.openxmlformats.org/officeDocument/2006/relationships/hyperlink" Target="#Imprimir!A1" TargetMode="External"/><Relationship Id="rId9" Type="http://schemas.openxmlformats.org/officeDocument/2006/relationships/hyperlink" Target="#In&#237;cio!A1" TargetMode="External"/><Relationship Id="rId5" Type="http://schemas.openxmlformats.org/officeDocument/2006/relationships/hyperlink" Target="#For&#231;as!A1" TargetMode="External"/><Relationship Id="rId6" Type="http://schemas.openxmlformats.org/officeDocument/2006/relationships/hyperlink" Target="#Oportunidades!A1" TargetMode="External"/><Relationship Id="rId7" Type="http://schemas.openxmlformats.org/officeDocument/2006/relationships/hyperlink" Target="#'Matriz%20SWOT'!A1" TargetMode="External"/><Relationship Id="rId8" Type="http://schemas.openxmlformats.org/officeDocument/2006/relationships/hyperlink" Target="#'Cruzamento%20-%20FxO'!A1" TargetMode="External"/></Relationships>
</file>

<file path=xl/drawings/_rels/drawing9.xml.rels><?xml version="1.0" encoding="UTF-8" standalone="yes"?><Relationships xmlns="http://schemas.openxmlformats.org/package/2006/relationships"><Relationship Id="rId11" Type="http://schemas.openxmlformats.org/officeDocument/2006/relationships/hyperlink" Target="#Cruzamento!A1" TargetMode="External"/><Relationship Id="rId10" Type="http://schemas.openxmlformats.org/officeDocument/2006/relationships/hyperlink" Target="#&#193;reas!A1" TargetMode="External"/><Relationship Id="rId13" Type="http://schemas.openxmlformats.org/officeDocument/2006/relationships/image" Target="../media/image1.png"/><Relationship Id="rId12" Type="http://schemas.openxmlformats.org/officeDocument/2006/relationships/hyperlink" Target="#Objetivos!A1" TargetMode="External"/><Relationship Id="rId1" Type="http://schemas.openxmlformats.org/officeDocument/2006/relationships/chart" Target="../charts/chart1.xml"/><Relationship Id="rId2" Type="http://schemas.openxmlformats.org/officeDocument/2006/relationships/hyperlink" Target="#In&#237;cio!A1" TargetMode="External"/><Relationship Id="rId3" Type="http://schemas.openxmlformats.org/officeDocument/2006/relationships/hyperlink" Target="#Gr&#225;ficos!A1" TargetMode="External"/><Relationship Id="rId4" Type="http://schemas.openxmlformats.org/officeDocument/2006/relationships/hyperlink" Target="#GPA!A1" TargetMode="External"/><Relationship Id="rId9" Type="http://schemas.openxmlformats.org/officeDocument/2006/relationships/hyperlink" Target="#'Cruzamento%20-%20FxO'!A1" TargetMode="External"/><Relationship Id="rId5" Type="http://schemas.openxmlformats.org/officeDocument/2006/relationships/hyperlink" Target="#Imprimir!A1" TargetMode="External"/><Relationship Id="rId6" Type="http://schemas.openxmlformats.org/officeDocument/2006/relationships/hyperlink" Target="#For&#231;as!A1" TargetMode="External"/><Relationship Id="rId7" Type="http://schemas.openxmlformats.org/officeDocument/2006/relationships/hyperlink" Target="#Oportunidades!A1" TargetMode="External"/><Relationship Id="rId8" Type="http://schemas.openxmlformats.org/officeDocument/2006/relationships/hyperlink" Target="#'Matriz%20SWOT'!A1" TargetMode="External"/></Relationships>
</file>

<file path=xl/drawings/_rels/drawing10.xml.rels><?xml version="1.0" encoding="UTF-8" standalone="yes"?><Relationships xmlns="http://schemas.openxmlformats.org/package/2006/relationships"><Relationship Id="rId11" Type="http://schemas.openxmlformats.org/officeDocument/2006/relationships/hyperlink" Target="#'Matriz%20SWOT'!A1" TargetMode="External"/><Relationship Id="rId10" Type="http://schemas.openxmlformats.org/officeDocument/2006/relationships/hyperlink" Target="#Oportunidades!A1" TargetMode="External"/><Relationship Id="rId13" Type="http://schemas.openxmlformats.org/officeDocument/2006/relationships/hyperlink" Target="#In&#237;cio!A1" TargetMode="External"/><Relationship Id="rId12" Type="http://schemas.openxmlformats.org/officeDocument/2006/relationships/hyperlink" Target="#'Cruzamento%20-%20FxO'!A1" TargetMode="External"/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hyperlink" Target="#GPA!A1" TargetMode="External"/><Relationship Id="rId9" Type="http://schemas.openxmlformats.org/officeDocument/2006/relationships/hyperlink" Target="#For&#231;as!A1" TargetMode="External"/><Relationship Id="rId15" Type="http://schemas.openxmlformats.org/officeDocument/2006/relationships/hyperlink" Target="#Objetivos!A1" TargetMode="External"/><Relationship Id="rId14" Type="http://schemas.openxmlformats.org/officeDocument/2006/relationships/hyperlink" Target="#Cruzamento!A1" TargetMode="External"/><Relationship Id="rId5" Type="http://schemas.openxmlformats.org/officeDocument/2006/relationships/hyperlink" Target="#In&#237;cio!A1" TargetMode="External"/><Relationship Id="rId6" Type="http://schemas.openxmlformats.org/officeDocument/2006/relationships/hyperlink" Target="#Gr&#225;ficos!A1" TargetMode="External"/><Relationship Id="rId7" Type="http://schemas.openxmlformats.org/officeDocument/2006/relationships/hyperlink" Target="#GPA!A1" TargetMode="External"/><Relationship Id="rId8" Type="http://schemas.openxmlformats.org/officeDocument/2006/relationships/hyperlink" Target="#Imprimir!A1" TargetMode="External"/></Relationships>
</file>

<file path=xl/drawings/_rels/drawing11.xml.rels><?xml version="1.0" encoding="UTF-8" standalone="yes"?><Relationships xmlns="http://schemas.openxmlformats.org/package/2006/relationships"><Relationship Id="rId11" Type="http://schemas.openxmlformats.org/officeDocument/2006/relationships/hyperlink" Target="#'Matriz%20SWOT'!A1" TargetMode="External"/><Relationship Id="rId10" Type="http://schemas.openxmlformats.org/officeDocument/2006/relationships/hyperlink" Target="#Oportunidades!A1" TargetMode="External"/><Relationship Id="rId13" Type="http://schemas.openxmlformats.org/officeDocument/2006/relationships/hyperlink" Target="#In&#237;cio!A1" TargetMode="External"/><Relationship Id="rId12" Type="http://schemas.openxmlformats.org/officeDocument/2006/relationships/hyperlink" Target="#'Cruzamento%20-%20FxO'!A1" TargetMode="External"/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9" Type="http://schemas.openxmlformats.org/officeDocument/2006/relationships/hyperlink" Target="#For&#231;as!A1" TargetMode="External"/><Relationship Id="rId15" Type="http://schemas.openxmlformats.org/officeDocument/2006/relationships/hyperlink" Target="#Objetivos!A1" TargetMode="External"/><Relationship Id="rId14" Type="http://schemas.openxmlformats.org/officeDocument/2006/relationships/hyperlink" Target="#Cruzamento!A1" TargetMode="External"/><Relationship Id="rId5" Type="http://schemas.openxmlformats.org/officeDocument/2006/relationships/hyperlink" Target="#In&#237;cio!A1" TargetMode="External"/><Relationship Id="rId6" Type="http://schemas.openxmlformats.org/officeDocument/2006/relationships/hyperlink" Target="#Gr&#225;ficos!A1" TargetMode="External"/><Relationship Id="rId7" Type="http://schemas.openxmlformats.org/officeDocument/2006/relationships/hyperlink" Target="#GPA!A1" TargetMode="External"/><Relationship Id="rId8" Type="http://schemas.openxmlformats.org/officeDocument/2006/relationships/hyperlink" Target="#Imprimir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257175</xdr:rowOff>
    </xdr:from>
    <xdr:ext cx="1943100" cy="314325"/>
    <xdr:sp>
      <xdr:nvSpPr>
        <xdr:cNvPr id="3" name="Shape 3">
          <a:hlinkClick r:id="rId1"/>
        </xdr:cNvPr>
        <xdr:cNvSpPr/>
      </xdr:nvSpPr>
      <xdr:spPr>
        <a:xfrm>
          <a:off x="4379213" y="3627600"/>
          <a:ext cx="1933575" cy="3048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38100</xdr:rowOff>
    </xdr:from>
    <xdr:ext cx="1800225" cy="304800"/>
    <xdr:sp>
      <xdr:nvSpPr>
        <xdr:cNvPr id="4" name="Shape 4">
          <a:hlinkClick r:id="rId2"/>
        </xdr:cNvPr>
        <xdr:cNvSpPr/>
      </xdr:nvSpPr>
      <xdr:spPr>
        <a:xfrm>
          <a:off x="4450650" y="3632363"/>
          <a:ext cx="179070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</xdr:row>
      <xdr:rowOff>209550</xdr:rowOff>
    </xdr:from>
    <xdr:ext cx="1866900" cy="323850"/>
    <xdr:sp>
      <xdr:nvSpPr>
        <xdr:cNvPr id="5" name="Shape 5">
          <a:hlinkClick r:id="rId3"/>
        </xdr:cNvPr>
        <xdr:cNvSpPr/>
      </xdr:nvSpPr>
      <xdr:spPr>
        <a:xfrm>
          <a:off x="4417313" y="3622838"/>
          <a:ext cx="18573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28575</xdr:colOff>
      <xdr:row>2</xdr:row>
      <xdr:rowOff>0</xdr:rowOff>
    </xdr:from>
    <xdr:ext cx="1800225" cy="304800"/>
    <xdr:sp>
      <xdr:nvSpPr>
        <xdr:cNvPr id="6" name="Shape 6"/>
        <xdr:cNvSpPr/>
      </xdr:nvSpPr>
      <xdr:spPr>
        <a:xfrm>
          <a:off x="4450650" y="3632363"/>
          <a:ext cx="1790700" cy="2952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</xdr:row>
      <xdr:rowOff>200025</xdr:rowOff>
    </xdr:from>
    <xdr:ext cx="1800225" cy="323850"/>
    <xdr:sp>
      <xdr:nvSpPr>
        <xdr:cNvPr id="7" name="Shape 7">
          <a:hlinkClick r:id="rId4"/>
        </xdr:cNvPr>
        <xdr:cNvSpPr/>
      </xdr:nvSpPr>
      <xdr:spPr>
        <a:xfrm>
          <a:off x="4450650" y="3622838"/>
          <a:ext cx="1790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0</xdr:rowOff>
    </xdr:from>
    <xdr:ext cx="1943100" cy="304800"/>
    <xdr:sp>
      <xdr:nvSpPr>
        <xdr:cNvPr id="8" name="Shape 8">
          <a:hlinkClick r:id="rId5"/>
        </xdr:cNvPr>
        <xdr:cNvSpPr/>
      </xdr:nvSpPr>
      <xdr:spPr>
        <a:xfrm>
          <a:off x="4379213" y="3632363"/>
          <a:ext cx="19335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1914525" cy="304800"/>
    <xdr:sp>
      <xdr:nvSpPr>
        <xdr:cNvPr id="9" name="Shape 9">
          <a:hlinkClick r:id="rId6"/>
        </xdr:cNvPr>
        <xdr:cNvSpPr/>
      </xdr:nvSpPr>
      <xdr:spPr>
        <a:xfrm>
          <a:off x="4393500" y="3632363"/>
          <a:ext cx="190500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76200</xdr:rowOff>
    </xdr:from>
    <xdr:ext cx="1924050" cy="314325"/>
    <xdr:sp>
      <xdr:nvSpPr>
        <xdr:cNvPr id="10" name="Shape 10">
          <a:hlinkClick r:id="rId7"/>
        </xdr:cNvPr>
        <xdr:cNvSpPr/>
      </xdr:nvSpPr>
      <xdr:spPr>
        <a:xfrm>
          <a:off x="4388738" y="3627600"/>
          <a:ext cx="19145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10</xdr:row>
      <xdr:rowOff>190500</xdr:rowOff>
    </xdr:from>
    <xdr:ext cx="1914525" cy="314325"/>
    <xdr:sp>
      <xdr:nvSpPr>
        <xdr:cNvPr id="11" name="Shape 11">
          <a:hlinkClick r:id="rId8"/>
        </xdr:cNvPr>
        <xdr:cNvSpPr/>
      </xdr:nvSpPr>
      <xdr:spPr>
        <a:xfrm>
          <a:off x="4393500" y="3627600"/>
          <a:ext cx="19050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9525</xdr:rowOff>
    </xdr:from>
    <xdr:ext cx="1847850" cy="314325"/>
    <xdr:sp>
      <xdr:nvSpPr>
        <xdr:cNvPr id="12" name="Shape 12">
          <a:hlinkClick r:id="rId9"/>
        </xdr:cNvPr>
        <xdr:cNvSpPr/>
      </xdr:nvSpPr>
      <xdr:spPr>
        <a:xfrm>
          <a:off x="4426838" y="3627600"/>
          <a:ext cx="18383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333375</xdr:rowOff>
    </xdr:from>
    <xdr:ext cx="1933575" cy="333375"/>
    <xdr:sp>
      <xdr:nvSpPr>
        <xdr:cNvPr id="13" name="Shape 13">
          <a:hlinkClick r:id="rId10"/>
        </xdr:cNvPr>
        <xdr:cNvSpPr/>
      </xdr:nvSpPr>
      <xdr:spPr>
        <a:xfrm>
          <a:off x="4383975" y="3618075"/>
          <a:ext cx="1924050" cy="32385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  <xdr:oneCellAnchor>
    <xdr:from>
      <xdr:col>0</xdr:col>
      <xdr:colOff>66675</xdr:colOff>
      <xdr:row>0</xdr:row>
      <xdr:rowOff>66675</xdr:rowOff>
    </xdr:from>
    <xdr:ext cx="1285875" cy="533400"/>
    <xdr:sp>
      <xdr:nvSpPr>
        <xdr:cNvPr id="14" name="Shape 14"/>
        <xdr:cNvSpPr txBox="1"/>
      </xdr:nvSpPr>
      <xdr:spPr>
        <a:xfrm>
          <a:off x="4707825" y="3518063"/>
          <a:ext cx="1276350" cy="5238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714375</xdr:colOff>
      <xdr:row>0</xdr:row>
      <xdr:rowOff>66675</xdr:rowOff>
    </xdr:from>
    <xdr:ext cx="5619750" cy="619125"/>
    <xdr:sp>
      <xdr:nvSpPr>
        <xdr:cNvPr id="15" name="Shape 15"/>
        <xdr:cNvSpPr txBox="1"/>
      </xdr:nvSpPr>
      <xdr:spPr>
        <a:xfrm>
          <a:off x="2540888" y="3475200"/>
          <a:ext cx="5610225" cy="609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Avalie pontos que são relacionados aos fatores internos de seu negócio ou projeto em desenvolvimento.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Suas fraquezas e suas forças devem ser descritas e pontuadas nesta etapa.</a:t>
          </a:r>
          <a:endParaRPr b="0" sz="105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123825</xdr:rowOff>
    </xdr:from>
    <xdr:ext cx="1952625" cy="371475"/>
    <xdr:sp>
      <xdr:nvSpPr>
        <xdr:cNvPr id="16" name="Shape 16">
          <a:hlinkClick r:id="rId1"/>
        </xdr:cNvPr>
        <xdr:cNvSpPr/>
      </xdr:nvSpPr>
      <xdr:spPr>
        <a:xfrm>
          <a:off x="4374450" y="3599025"/>
          <a:ext cx="1943100" cy="36195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Forças</a:t>
          </a:r>
          <a:endParaRPr sz="1400"/>
        </a:p>
      </xdr:txBody>
    </xdr:sp>
    <xdr:clientData fLocksWithSheet="0"/>
  </xdr:oneCellAnchor>
  <xdr:oneCellAnchor>
    <xdr:from>
      <xdr:col>2</xdr:col>
      <xdr:colOff>1924050</xdr:colOff>
      <xdr:row>1</xdr:row>
      <xdr:rowOff>123825</xdr:rowOff>
    </xdr:from>
    <xdr:ext cx="1962150" cy="371475"/>
    <xdr:sp>
      <xdr:nvSpPr>
        <xdr:cNvPr id="17" name="Shape 17">
          <a:hlinkClick r:id="rId2"/>
        </xdr:cNvPr>
        <xdr:cNvSpPr/>
      </xdr:nvSpPr>
      <xdr:spPr>
        <a:xfrm>
          <a:off x="4369688" y="3599025"/>
          <a:ext cx="1952625" cy="361950"/>
        </a:xfrm>
        <a:prstGeom prst="rect">
          <a:avLst/>
        </a:prstGeom>
        <a:solidFill>
          <a:srgbClr val="14B1E7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Fraquezas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190500</xdr:rowOff>
    </xdr:from>
    <xdr:ext cx="1885950" cy="66675"/>
    <xdr:sp>
      <xdr:nvSpPr>
        <xdr:cNvPr id="18" name="Shape 18">
          <a:hlinkClick r:id="rId3"/>
        </xdr:cNvPr>
        <xdr:cNvSpPr/>
      </xdr:nvSpPr>
      <xdr:spPr>
        <a:xfrm>
          <a:off x="4407788" y="3751425"/>
          <a:ext cx="1876425" cy="57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Início</a:t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4</xdr:row>
      <xdr:rowOff>0</xdr:rowOff>
    </xdr:from>
    <xdr:ext cx="1885950" cy="304800"/>
    <xdr:sp>
      <xdr:nvSpPr>
        <xdr:cNvPr id="19" name="Shape 19">
          <a:hlinkClick r:id="rId4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9525</xdr:rowOff>
    </xdr:from>
    <xdr:ext cx="1800225" cy="314325"/>
    <xdr:sp>
      <xdr:nvSpPr>
        <xdr:cNvPr id="20" name="Shape 20">
          <a:hlinkClick r:id="rId5"/>
        </xdr:cNvPr>
        <xdr:cNvSpPr/>
      </xdr:nvSpPr>
      <xdr:spPr>
        <a:xfrm>
          <a:off x="4450650" y="3627600"/>
          <a:ext cx="17907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342900</xdr:rowOff>
    </xdr:from>
    <xdr:ext cx="1876425" cy="323850"/>
    <xdr:sp>
      <xdr:nvSpPr>
        <xdr:cNvPr id="21" name="Shape 21">
          <a:hlinkClick r:id="rId6"/>
        </xdr:cNvPr>
        <xdr:cNvSpPr/>
      </xdr:nvSpPr>
      <xdr:spPr>
        <a:xfrm>
          <a:off x="4412550" y="3622838"/>
          <a:ext cx="18669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38100</xdr:colOff>
      <xdr:row>1</xdr:row>
      <xdr:rowOff>123825</xdr:rowOff>
    </xdr:from>
    <xdr:ext cx="1800225" cy="304800"/>
    <xdr:sp>
      <xdr:nvSpPr>
        <xdr:cNvPr id="22" name="Shape 22"/>
        <xdr:cNvSpPr/>
      </xdr:nvSpPr>
      <xdr:spPr>
        <a:xfrm>
          <a:off x="4450650" y="3632363"/>
          <a:ext cx="1790700" cy="2952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285750</xdr:rowOff>
    </xdr:from>
    <xdr:ext cx="1800225" cy="323850"/>
    <xdr:sp>
      <xdr:nvSpPr>
        <xdr:cNvPr id="23" name="Shape 23">
          <a:hlinkClick r:id="rId7"/>
        </xdr:cNvPr>
        <xdr:cNvSpPr/>
      </xdr:nvSpPr>
      <xdr:spPr>
        <a:xfrm>
          <a:off x="4450650" y="3622838"/>
          <a:ext cx="1790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361950</xdr:rowOff>
    </xdr:from>
    <xdr:ext cx="1885950" cy="304800"/>
    <xdr:sp>
      <xdr:nvSpPr>
        <xdr:cNvPr id="24" name="Shape 24">
          <a:hlinkClick r:id="rId8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723900</xdr:rowOff>
    </xdr:from>
    <xdr:ext cx="1866900" cy="323850"/>
    <xdr:sp>
      <xdr:nvSpPr>
        <xdr:cNvPr id="25" name="Shape 25">
          <a:hlinkClick r:id="rId9"/>
        </xdr:cNvPr>
        <xdr:cNvSpPr/>
      </xdr:nvSpPr>
      <xdr:spPr>
        <a:xfrm>
          <a:off x="4417313" y="3622838"/>
          <a:ext cx="18573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190500</xdr:rowOff>
    </xdr:from>
    <xdr:ext cx="1876425" cy="323850"/>
    <xdr:sp>
      <xdr:nvSpPr>
        <xdr:cNvPr id="26" name="Shape 26">
          <a:hlinkClick r:id="rId10"/>
        </xdr:cNvPr>
        <xdr:cNvSpPr/>
      </xdr:nvSpPr>
      <xdr:spPr>
        <a:xfrm>
          <a:off x="4412550" y="3622838"/>
          <a:ext cx="18669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7</xdr:row>
      <xdr:rowOff>66675</xdr:rowOff>
    </xdr:from>
    <xdr:ext cx="1866900" cy="323850"/>
    <xdr:sp>
      <xdr:nvSpPr>
        <xdr:cNvPr id="27" name="Shape 27">
          <a:hlinkClick r:id="rId11"/>
        </xdr:cNvPr>
        <xdr:cNvSpPr/>
      </xdr:nvSpPr>
      <xdr:spPr>
        <a:xfrm>
          <a:off x="4417313" y="3622838"/>
          <a:ext cx="18573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114300</xdr:rowOff>
    </xdr:from>
    <xdr:ext cx="1847850" cy="323850"/>
    <xdr:sp>
      <xdr:nvSpPr>
        <xdr:cNvPr id="28" name="Shape 28">
          <a:hlinkClick r:id="rId12"/>
        </xdr:cNvPr>
        <xdr:cNvSpPr/>
      </xdr:nvSpPr>
      <xdr:spPr>
        <a:xfrm>
          <a:off x="4426838" y="3622838"/>
          <a:ext cx="18383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0</xdr:rowOff>
    </xdr:from>
    <xdr:ext cx="1885950" cy="304800"/>
    <xdr:sp>
      <xdr:nvSpPr>
        <xdr:cNvPr id="29" name="Shape 29">
          <a:hlinkClick r:id="rId13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  <xdr:oneCellAnchor>
    <xdr:from>
      <xdr:col>0</xdr:col>
      <xdr:colOff>66675</xdr:colOff>
      <xdr:row>0</xdr:row>
      <xdr:rowOff>0</xdr:rowOff>
    </xdr:from>
    <xdr:ext cx="1285875" cy="533400"/>
    <xdr:sp>
      <xdr:nvSpPr>
        <xdr:cNvPr id="30" name="Shape 30"/>
        <xdr:cNvSpPr txBox="1"/>
      </xdr:nvSpPr>
      <xdr:spPr>
        <a:xfrm>
          <a:off x="4707825" y="3518063"/>
          <a:ext cx="1276350" cy="5238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123825</xdr:rowOff>
    </xdr:from>
    <xdr:ext cx="1952625" cy="371475"/>
    <xdr:sp>
      <xdr:nvSpPr>
        <xdr:cNvPr id="31" name="Shape 31">
          <a:hlinkClick r:id="rId1"/>
        </xdr:cNvPr>
        <xdr:cNvSpPr/>
      </xdr:nvSpPr>
      <xdr:spPr>
        <a:xfrm>
          <a:off x="4374450" y="3599025"/>
          <a:ext cx="1943100" cy="36195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Forças</a:t>
          </a:r>
          <a:endParaRPr sz="1400"/>
        </a:p>
      </xdr:txBody>
    </xdr:sp>
    <xdr:clientData fLocksWithSheet="0"/>
  </xdr:oneCellAnchor>
  <xdr:oneCellAnchor>
    <xdr:from>
      <xdr:col>2</xdr:col>
      <xdr:colOff>1924050</xdr:colOff>
      <xdr:row>1</xdr:row>
      <xdr:rowOff>123825</xdr:rowOff>
    </xdr:from>
    <xdr:ext cx="1962150" cy="371475"/>
    <xdr:sp>
      <xdr:nvSpPr>
        <xdr:cNvPr id="32" name="Shape 32">
          <a:hlinkClick r:id="rId2"/>
        </xdr:cNvPr>
        <xdr:cNvSpPr/>
      </xdr:nvSpPr>
      <xdr:spPr>
        <a:xfrm>
          <a:off x="4369688" y="3599025"/>
          <a:ext cx="1952625" cy="361950"/>
        </a:xfrm>
        <a:prstGeom prst="rect">
          <a:avLst/>
        </a:prstGeom>
        <a:solidFill>
          <a:srgbClr val="14B1E7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Fraquezas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38100</xdr:rowOff>
    </xdr:from>
    <xdr:ext cx="1885950" cy="304800"/>
    <xdr:sp>
      <xdr:nvSpPr>
        <xdr:cNvPr id="33" name="Shape 33">
          <a:hlinkClick r:id="rId3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57150</xdr:rowOff>
    </xdr:from>
    <xdr:ext cx="1800225" cy="314325"/>
    <xdr:sp>
      <xdr:nvSpPr>
        <xdr:cNvPr id="34" name="Shape 34">
          <a:hlinkClick r:id="rId4"/>
        </xdr:cNvPr>
        <xdr:cNvSpPr/>
      </xdr:nvSpPr>
      <xdr:spPr>
        <a:xfrm>
          <a:off x="4450650" y="3627600"/>
          <a:ext cx="17907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95250</xdr:rowOff>
    </xdr:from>
    <xdr:ext cx="1876425" cy="314325"/>
    <xdr:sp>
      <xdr:nvSpPr>
        <xdr:cNvPr id="35" name="Shape 35">
          <a:hlinkClick r:id="rId5"/>
        </xdr:cNvPr>
        <xdr:cNvSpPr/>
      </xdr:nvSpPr>
      <xdr:spPr>
        <a:xfrm>
          <a:off x="4412550" y="3627600"/>
          <a:ext cx="18669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171450</xdr:rowOff>
    </xdr:from>
    <xdr:ext cx="1800225" cy="314325"/>
    <xdr:sp>
      <xdr:nvSpPr>
        <xdr:cNvPr id="36" name="Shape 36"/>
        <xdr:cNvSpPr/>
      </xdr:nvSpPr>
      <xdr:spPr>
        <a:xfrm>
          <a:off x="4450650" y="3627600"/>
          <a:ext cx="1790700" cy="3048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47625</xdr:rowOff>
    </xdr:from>
    <xdr:ext cx="1790700" cy="276225"/>
    <xdr:sp>
      <xdr:nvSpPr>
        <xdr:cNvPr id="37" name="Shape 37">
          <a:hlinkClick r:id="rId6"/>
        </xdr:cNvPr>
        <xdr:cNvSpPr/>
      </xdr:nvSpPr>
      <xdr:spPr>
        <a:xfrm flipH="1">
          <a:off x="4455413" y="3646650"/>
          <a:ext cx="178117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38100</xdr:rowOff>
    </xdr:from>
    <xdr:ext cx="1885950" cy="304800"/>
    <xdr:sp>
      <xdr:nvSpPr>
        <xdr:cNvPr id="38" name="Shape 38">
          <a:hlinkClick r:id="rId7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342900</xdr:rowOff>
    </xdr:from>
    <xdr:ext cx="1866900" cy="323850"/>
    <xdr:sp>
      <xdr:nvSpPr>
        <xdr:cNvPr id="39" name="Shape 39">
          <a:hlinkClick r:id="rId8"/>
        </xdr:cNvPr>
        <xdr:cNvSpPr/>
      </xdr:nvSpPr>
      <xdr:spPr>
        <a:xfrm>
          <a:off x="4417313" y="3622838"/>
          <a:ext cx="18573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266700</xdr:rowOff>
    </xdr:from>
    <xdr:ext cx="1866900" cy="323850"/>
    <xdr:sp>
      <xdr:nvSpPr>
        <xdr:cNvPr id="40" name="Shape 40">
          <a:hlinkClick r:id="rId9"/>
        </xdr:cNvPr>
        <xdr:cNvSpPr/>
      </xdr:nvSpPr>
      <xdr:spPr>
        <a:xfrm>
          <a:off x="4417313" y="3622838"/>
          <a:ext cx="18573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47625</xdr:rowOff>
    </xdr:from>
    <xdr:ext cx="1847850" cy="323850"/>
    <xdr:sp>
      <xdr:nvSpPr>
        <xdr:cNvPr id="41" name="Shape 41">
          <a:hlinkClick r:id="rId10"/>
        </xdr:cNvPr>
        <xdr:cNvSpPr/>
      </xdr:nvSpPr>
      <xdr:spPr>
        <a:xfrm>
          <a:off x="4426838" y="3622838"/>
          <a:ext cx="18383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133350</xdr:rowOff>
    </xdr:from>
    <xdr:ext cx="1885950" cy="314325"/>
    <xdr:sp>
      <xdr:nvSpPr>
        <xdr:cNvPr id="42" name="Shape 42">
          <a:hlinkClick r:id="rId11"/>
        </xdr:cNvPr>
        <xdr:cNvSpPr/>
      </xdr:nvSpPr>
      <xdr:spPr>
        <a:xfrm>
          <a:off x="4407788" y="3627600"/>
          <a:ext cx="18764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190500</xdr:rowOff>
    </xdr:from>
    <xdr:ext cx="1847850" cy="323850"/>
    <xdr:sp>
      <xdr:nvSpPr>
        <xdr:cNvPr id="43" name="Shape 43">
          <a:hlinkClick r:id="rId12"/>
        </xdr:cNvPr>
        <xdr:cNvSpPr/>
      </xdr:nvSpPr>
      <xdr:spPr>
        <a:xfrm>
          <a:off x="4426838" y="3622838"/>
          <a:ext cx="18383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0</xdr:rowOff>
    </xdr:from>
    <xdr:ext cx="1885950" cy="304800"/>
    <xdr:sp>
      <xdr:nvSpPr>
        <xdr:cNvPr id="44" name="Shape 44">
          <a:hlinkClick r:id="rId13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  <xdr:oneCellAnchor>
    <xdr:from>
      <xdr:col>3</xdr:col>
      <xdr:colOff>714375</xdr:colOff>
      <xdr:row>0</xdr:row>
      <xdr:rowOff>66675</xdr:rowOff>
    </xdr:from>
    <xdr:ext cx="5619750" cy="619125"/>
    <xdr:sp>
      <xdr:nvSpPr>
        <xdr:cNvPr id="45" name="Shape 45"/>
        <xdr:cNvSpPr txBox="1"/>
      </xdr:nvSpPr>
      <xdr:spPr>
        <a:xfrm>
          <a:off x="2540888" y="3475200"/>
          <a:ext cx="5610225" cy="609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Avalie pontos que são relacionados aos fatores internos de seu negócio ou projeto em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desenvolvimento.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Suas fraquezas e suas forças devem ser descritas e pontuadas nesta etapa.</a:t>
          </a:r>
          <a:endParaRPr b="0" sz="105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0</xdr:col>
      <xdr:colOff>95250</xdr:colOff>
      <xdr:row>0</xdr:row>
      <xdr:rowOff>0</xdr:rowOff>
    </xdr:from>
    <xdr:ext cx="1285875" cy="533400"/>
    <xdr:sp>
      <xdr:nvSpPr>
        <xdr:cNvPr id="46" name="Shape 46"/>
        <xdr:cNvSpPr txBox="1"/>
      </xdr:nvSpPr>
      <xdr:spPr>
        <a:xfrm>
          <a:off x="4707825" y="3518063"/>
          <a:ext cx="1276350" cy="5238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123825</xdr:rowOff>
    </xdr:from>
    <xdr:ext cx="1952625" cy="371475"/>
    <xdr:sp>
      <xdr:nvSpPr>
        <xdr:cNvPr id="47" name="Shape 47">
          <a:hlinkClick r:id="rId1"/>
        </xdr:cNvPr>
        <xdr:cNvSpPr/>
      </xdr:nvSpPr>
      <xdr:spPr>
        <a:xfrm>
          <a:off x="4374450" y="3599025"/>
          <a:ext cx="1943100" cy="36195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Oportunidades</a:t>
          </a:r>
          <a:endParaRPr sz="1400"/>
        </a:p>
      </xdr:txBody>
    </xdr:sp>
    <xdr:clientData fLocksWithSheet="0"/>
  </xdr:oneCellAnchor>
  <xdr:oneCellAnchor>
    <xdr:from>
      <xdr:col>2</xdr:col>
      <xdr:colOff>1924050</xdr:colOff>
      <xdr:row>1</xdr:row>
      <xdr:rowOff>123825</xdr:rowOff>
    </xdr:from>
    <xdr:ext cx="1962150" cy="371475"/>
    <xdr:sp>
      <xdr:nvSpPr>
        <xdr:cNvPr id="48" name="Shape 48">
          <a:hlinkClick r:id="rId2"/>
        </xdr:cNvPr>
        <xdr:cNvSpPr/>
      </xdr:nvSpPr>
      <xdr:spPr>
        <a:xfrm>
          <a:off x="4369688" y="3599025"/>
          <a:ext cx="1952625" cy="361950"/>
        </a:xfrm>
        <a:prstGeom prst="rect">
          <a:avLst/>
        </a:prstGeom>
        <a:solidFill>
          <a:srgbClr val="14B1E7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Ameaças</a:t>
          </a:r>
          <a:endParaRPr sz="1400"/>
        </a:p>
      </xdr:txBody>
    </xdr:sp>
    <xdr:clientData fLocksWithSheet="0"/>
  </xdr:oneCellAnchor>
  <xdr:oneCellAnchor>
    <xdr:from>
      <xdr:col>0</xdr:col>
      <xdr:colOff>9525</xdr:colOff>
      <xdr:row>4</xdr:row>
      <xdr:rowOff>47625</xdr:rowOff>
    </xdr:from>
    <xdr:ext cx="1885950" cy="304800"/>
    <xdr:sp>
      <xdr:nvSpPr>
        <xdr:cNvPr id="49" name="Shape 49">
          <a:hlinkClick r:id="rId3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47625</xdr:rowOff>
    </xdr:from>
    <xdr:ext cx="1800225" cy="314325"/>
    <xdr:sp>
      <xdr:nvSpPr>
        <xdr:cNvPr id="50" name="Shape 50">
          <a:hlinkClick r:id="rId4"/>
        </xdr:cNvPr>
        <xdr:cNvSpPr/>
      </xdr:nvSpPr>
      <xdr:spPr>
        <a:xfrm>
          <a:off x="4450650" y="3627600"/>
          <a:ext cx="17907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0</xdr:rowOff>
    </xdr:from>
    <xdr:ext cx="1876425" cy="314325"/>
    <xdr:sp>
      <xdr:nvSpPr>
        <xdr:cNvPr id="51" name="Shape 51">
          <a:hlinkClick r:id="rId5"/>
        </xdr:cNvPr>
        <xdr:cNvSpPr/>
      </xdr:nvSpPr>
      <xdr:spPr>
        <a:xfrm>
          <a:off x="4412550" y="3627600"/>
          <a:ext cx="18669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276225</xdr:rowOff>
    </xdr:from>
    <xdr:ext cx="1800225" cy="314325"/>
    <xdr:sp>
      <xdr:nvSpPr>
        <xdr:cNvPr id="52" name="Shape 52"/>
        <xdr:cNvSpPr/>
      </xdr:nvSpPr>
      <xdr:spPr>
        <a:xfrm>
          <a:off x="4450650" y="3627600"/>
          <a:ext cx="1790700" cy="3048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314325</xdr:rowOff>
    </xdr:from>
    <xdr:ext cx="1800225" cy="323850"/>
    <xdr:sp>
      <xdr:nvSpPr>
        <xdr:cNvPr id="53" name="Shape 53">
          <a:hlinkClick r:id="rId6"/>
        </xdr:cNvPr>
        <xdr:cNvSpPr/>
      </xdr:nvSpPr>
      <xdr:spPr>
        <a:xfrm>
          <a:off x="4450650" y="3622838"/>
          <a:ext cx="1790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19050</xdr:rowOff>
    </xdr:from>
    <xdr:ext cx="1885950" cy="304800"/>
    <xdr:sp>
      <xdr:nvSpPr>
        <xdr:cNvPr id="54" name="Shape 54">
          <a:hlinkClick r:id="rId7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333375</xdr:rowOff>
    </xdr:from>
    <xdr:ext cx="1866900" cy="95250"/>
    <xdr:sp>
      <xdr:nvSpPr>
        <xdr:cNvPr id="55" name="Shape 55">
          <a:hlinkClick r:id="rId8"/>
        </xdr:cNvPr>
        <xdr:cNvSpPr/>
      </xdr:nvSpPr>
      <xdr:spPr>
        <a:xfrm>
          <a:off x="4417313" y="3737138"/>
          <a:ext cx="1857375" cy="857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228600</xdr:rowOff>
    </xdr:from>
    <xdr:ext cx="1866900" cy="323850"/>
    <xdr:sp>
      <xdr:nvSpPr>
        <xdr:cNvPr id="56" name="Shape 56">
          <a:hlinkClick r:id="rId9"/>
        </xdr:cNvPr>
        <xdr:cNvSpPr/>
      </xdr:nvSpPr>
      <xdr:spPr>
        <a:xfrm>
          <a:off x="4417313" y="3622838"/>
          <a:ext cx="18573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95250</xdr:rowOff>
    </xdr:from>
    <xdr:ext cx="1847850" cy="323850"/>
    <xdr:sp>
      <xdr:nvSpPr>
        <xdr:cNvPr id="57" name="Shape 57">
          <a:hlinkClick r:id="rId10"/>
        </xdr:cNvPr>
        <xdr:cNvSpPr/>
      </xdr:nvSpPr>
      <xdr:spPr>
        <a:xfrm>
          <a:off x="4426838" y="3622838"/>
          <a:ext cx="18383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123825</xdr:rowOff>
    </xdr:from>
    <xdr:ext cx="1885950" cy="314325"/>
    <xdr:sp>
      <xdr:nvSpPr>
        <xdr:cNvPr id="58" name="Shape 58">
          <a:hlinkClick r:id="rId11"/>
        </xdr:cNvPr>
        <xdr:cNvSpPr/>
      </xdr:nvSpPr>
      <xdr:spPr>
        <a:xfrm>
          <a:off x="4407788" y="3627600"/>
          <a:ext cx="18764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152400</xdr:rowOff>
    </xdr:from>
    <xdr:ext cx="1847850" cy="323850"/>
    <xdr:sp>
      <xdr:nvSpPr>
        <xdr:cNvPr id="59" name="Shape 59">
          <a:hlinkClick r:id="rId12"/>
        </xdr:cNvPr>
        <xdr:cNvSpPr/>
      </xdr:nvSpPr>
      <xdr:spPr>
        <a:xfrm>
          <a:off x="4426838" y="3622838"/>
          <a:ext cx="18383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9525</xdr:rowOff>
    </xdr:from>
    <xdr:ext cx="1885950" cy="304800"/>
    <xdr:sp>
      <xdr:nvSpPr>
        <xdr:cNvPr id="60" name="Shape 60">
          <a:hlinkClick r:id="rId13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  <xdr:oneCellAnchor>
    <xdr:from>
      <xdr:col>3</xdr:col>
      <xdr:colOff>695325</xdr:colOff>
      <xdr:row>0</xdr:row>
      <xdr:rowOff>47625</xdr:rowOff>
    </xdr:from>
    <xdr:ext cx="5619750" cy="781050"/>
    <xdr:sp>
      <xdr:nvSpPr>
        <xdr:cNvPr id="61" name="Shape 61"/>
        <xdr:cNvSpPr txBox="1"/>
      </xdr:nvSpPr>
      <xdr:spPr>
        <a:xfrm>
          <a:off x="2540888" y="3394238"/>
          <a:ext cx="5610225" cy="7715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Avalie pontos que são relacionados aos fatores externos de seu negócio ou projeto em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050"/>
            <a:buFont typeface="Arial"/>
            <a:buNone/>
          </a:pPr>
          <a:r>
            <a:t/>
          </a:r>
          <a:endParaRPr b="0" sz="1050">
            <a:solidFill>
              <a:srgbClr val="7F7F7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 desenvolvimento.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Suas oportunidades e suas ameaças devem ser descritas e pontuadas nesta etapa.</a:t>
          </a:r>
          <a:endParaRPr b="0" sz="105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0</xdr:col>
      <xdr:colOff>123825</xdr:colOff>
      <xdr:row>0</xdr:row>
      <xdr:rowOff>57150</xdr:rowOff>
    </xdr:from>
    <xdr:ext cx="1285875" cy="533400"/>
    <xdr:sp>
      <xdr:nvSpPr>
        <xdr:cNvPr id="62" name="Shape 62"/>
        <xdr:cNvSpPr txBox="1"/>
      </xdr:nvSpPr>
      <xdr:spPr>
        <a:xfrm>
          <a:off x="4707825" y="3518063"/>
          <a:ext cx="1276350" cy="5238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123825</xdr:rowOff>
    </xdr:from>
    <xdr:ext cx="1952625" cy="371475"/>
    <xdr:sp>
      <xdr:nvSpPr>
        <xdr:cNvPr id="63" name="Shape 63">
          <a:hlinkClick r:id="rId1"/>
        </xdr:cNvPr>
        <xdr:cNvSpPr/>
      </xdr:nvSpPr>
      <xdr:spPr>
        <a:xfrm>
          <a:off x="4374450" y="3599025"/>
          <a:ext cx="1943100" cy="36195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Oportunidades</a:t>
          </a:r>
          <a:endParaRPr sz="1400"/>
        </a:p>
      </xdr:txBody>
    </xdr:sp>
    <xdr:clientData fLocksWithSheet="0"/>
  </xdr:oneCellAnchor>
  <xdr:oneCellAnchor>
    <xdr:from>
      <xdr:col>2</xdr:col>
      <xdr:colOff>1924050</xdr:colOff>
      <xdr:row>1</xdr:row>
      <xdr:rowOff>123825</xdr:rowOff>
    </xdr:from>
    <xdr:ext cx="1962150" cy="371475"/>
    <xdr:sp>
      <xdr:nvSpPr>
        <xdr:cNvPr id="64" name="Shape 64">
          <a:hlinkClick r:id="rId2"/>
        </xdr:cNvPr>
        <xdr:cNvSpPr/>
      </xdr:nvSpPr>
      <xdr:spPr>
        <a:xfrm>
          <a:off x="4369688" y="3599025"/>
          <a:ext cx="1952625" cy="361950"/>
        </a:xfrm>
        <a:prstGeom prst="rect">
          <a:avLst/>
        </a:prstGeom>
        <a:solidFill>
          <a:srgbClr val="14B1E7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Ameaças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0</xdr:rowOff>
    </xdr:from>
    <xdr:ext cx="1885950" cy="304800"/>
    <xdr:sp>
      <xdr:nvSpPr>
        <xdr:cNvPr id="65" name="Shape 65">
          <a:hlinkClick r:id="rId3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76200</xdr:rowOff>
    </xdr:from>
    <xdr:ext cx="1800225" cy="323850"/>
    <xdr:sp>
      <xdr:nvSpPr>
        <xdr:cNvPr id="66" name="Shape 66">
          <a:hlinkClick r:id="rId4"/>
        </xdr:cNvPr>
        <xdr:cNvSpPr/>
      </xdr:nvSpPr>
      <xdr:spPr>
        <a:xfrm>
          <a:off x="4450650" y="3622838"/>
          <a:ext cx="1790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28575</xdr:rowOff>
    </xdr:from>
    <xdr:ext cx="1876425" cy="314325"/>
    <xdr:sp>
      <xdr:nvSpPr>
        <xdr:cNvPr id="67" name="Shape 67">
          <a:hlinkClick r:id="rId5"/>
        </xdr:cNvPr>
        <xdr:cNvSpPr/>
      </xdr:nvSpPr>
      <xdr:spPr>
        <a:xfrm>
          <a:off x="4412550" y="3627600"/>
          <a:ext cx="18669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28575</xdr:colOff>
      <xdr:row>1</xdr:row>
      <xdr:rowOff>257175</xdr:rowOff>
    </xdr:from>
    <xdr:ext cx="1800225" cy="314325"/>
    <xdr:sp>
      <xdr:nvSpPr>
        <xdr:cNvPr id="68" name="Shape 68"/>
        <xdr:cNvSpPr/>
      </xdr:nvSpPr>
      <xdr:spPr>
        <a:xfrm>
          <a:off x="4450650" y="3627600"/>
          <a:ext cx="1790700" cy="3048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0</xdr:rowOff>
    </xdr:from>
    <xdr:ext cx="1800225" cy="314325"/>
    <xdr:sp>
      <xdr:nvSpPr>
        <xdr:cNvPr id="69" name="Shape 69">
          <a:hlinkClick r:id="rId6"/>
        </xdr:cNvPr>
        <xdr:cNvSpPr/>
      </xdr:nvSpPr>
      <xdr:spPr>
        <a:xfrm>
          <a:off x="4450650" y="3627600"/>
          <a:ext cx="17907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19050</xdr:rowOff>
    </xdr:from>
    <xdr:ext cx="1885950" cy="304800"/>
    <xdr:sp>
      <xdr:nvSpPr>
        <xdr:cNvPr id="70" name="Shape 70">
          <a:hlinkClick r:id="rId7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333375</xdr:rowOff>
    </xdr:from>
    <xdr:ext cx="1866900" cy="323850"/>
    <xdr:sp>
      <xdr:nvSpPr>
        <xdr:cNvPr id="71" name="Shape 71">
          <a:hlinkClick r:id="rId8"/>
        </xdr:cNvPr>
        <xdr:cNvSpPr/>
      </xdr:nvSpPr>
      <xdr:spPr>
        <a:xfrm>
          <a:off x="4417313" y="3622838"/>
          <a:ext cx="1857375" cy="3143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257175</xdr:rowOff>
    </xdr:from>
    <xdr:ext cx="1866900" cy="323850"/>
    <xdr:sp>
      <xdr:nvSpPr>
        <xdr:cNvPr id="72" name="Shape 72">
          <a:hlinkClick r:id="rId9"/>
        </xdr:cNvPr>
        <xdr:cNvSpPr/>
      </xdr:nvSpPr>
      <xdr:spPr>
        <a:xfrm>
          <a:off x="4417313" y="3622838"/>
          <a:ext cx="18573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133350</xdr:rowOff>
    </xdr:from>
    <xdr:ext cx="1847850" cy="323850"/>
    <xdr:sp>
      <xdr:nvSpPr>
        <xdr:cNvPr id="73" name="Shape 73">
          <a:hlinkClick r:id="rId10"/>
        </xdr:cNvPr>
        <xdr:cNvSpPr/>
      </xdr:nvSpPr>
      <xdr:spPr>
        <a:xfrm>
          <a:off x="4426838" y="3622838"/>
          <a:ext cx="18383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123825</xdr:rowOff>
    </xdr:from>
    <xdr:ext cx="1885950" cy="314325"/>
    <xdr:sp>
      <xdr:nvSpPr>
        <xdr:cNvPr id="74" name="Shape 74">
          <a:hlinkClick r:id="rId11"/>
        </xdr:cNvPr>
        <xdr:cNvSpPr/>
      </xdr:nvSpPr>
      <xdr:spPr>
        <a:xfrm>
          <a:off x="4407788" y="3627600"/>
          <a:ext cx="18764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7</xdr:row>
      <xdr:rowOff>180975</xdr:rowOff>
    </xdr:from>
    <xdr:ext cx="1847850" cy="323850"/>
    <xdr:sp>
      <xdr:nvSpPr>
        <xdr:cNvPr id="75" name="Shape 75">
          <a:hlinkClick r:id="rId12"/>
        </xdr:cNvPr>
        <xdr:cNvSpPr/>
      </xdr:nvSpPr>
      <xdr:spPr>
        <a:xfrm>
          <a:off x="4426838" y="3622838"/>
          <a:ext cx="18383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0</xdr:rowOff>
    </xdr:from>
    <xdr:ext cx="1885950" cy="304800"/>
    <xdr:sp>
      <xdr:nvSpPr>
        <xdr:cNvPr id="76" name="Shape 76">
          <a:hlinkClick r:id="rId13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  <xdr:oneCellAnchor>
    <xdr:from>
      <xdr:col>3</xdr:col>
      <xdr:colOff>695325</xdr:colOff>
      <xdr:row>0</xdr:row>
      <xdr:rowOff>47625</xdr:rowOff>
    </xdr:from>
    <xdr:ext cx="5619750" cy="619125"/>
    <xdr:sp>
      <xdr:nvSpPr>
        <xdr:cNvPr id="77" name="Shape 77"/>
        <xdr:cNvSpPr txBox="1"/>
      </xdr:nvSpPr>
      <xdr:spPr>
        <a:xfrm>
          <a:off x="2540888" y="3475200"/>
          <a:ext cx="5610225" cy="609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Avalie pontos que são relacionados aos fatores externos de seu negócio ou projeto em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 desenvolvimento.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b="0"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Suas oportunidades e suas ameaças devem ser descritas e pontuadas nesta etapa.</a:t>
          </a:r>
          <a:endParaRPr b="0" sz="105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0</xdr:col>
      <xdr:colOff>47625</xdr:colOff>
      <xdr:row>0</xdr:row>
      <xdr:rowOff>0</xdr:rowOff>
    </xdr:from>
    <xdr:ext cx="1285875" cy="533400"/>
    <xdr:sp>
      <xdr:nvSpPr>
        <xdr:cNvPr id="78" name="Shape 78"/>
        <xdr:cNvSpPr txBox="1"/>
      </xdr:nvSpPr>
      <xdr:spPr>
        <a:xfrm>
          <a:off x="4707825" y="3518063"/>
          <a:ext cx="1276350" cy="5238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390525</xdr:colOff>
      <xdr:row>0</xdr:row>
      <xdr:rowOff>76200</xdr:rowOff>
    </xdr:from>
    <xdr:ext cx="5143500" cy="457200"/>
    <xdr:sp>
      <xdr:nvSpPr>
        <xdr:cNvPr id="79" name="Shape 79"/>
        <xdr:cNvSpPr txBox="1"/>
      </xdr:nvSpPr>
      <xdr:spPr>
        <a:xfrm>
          <a:off x="2779013" y="3556163"/>
          <a:ext cx="5133975" cy="4476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Veja a sua Matriz SWOT hierarquizada de acordo com a sua pontuação.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Na aba de "Gráficos" e "Alertas e dicas" haverá mais possibilidades de análise dos dados.</a:t>
          </a:r>
          <a:endParaRPr sz="105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4</xdr:row>
      <xdr:rowOff>228600</xdr:rowOff>
    </xdr:from>
    <xdr:ext cx="1885950" cy="314325"/>
    <xdr:sp>
      <xdr:nvSpPr>
        <xdr:cNvPr id="80" name="Shape 80">
          <a:hlinkClick r:id="rId1"/>
        </xdr:cNvPr>
        <xdr:cNvSpPr/>
      </xdr:nvSpPr>
      <xdr:spPr>
        <a:xfrm>
          <a:off x="4407788" y="3627600"/>
          <a:ext cx="18764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38100</xdr:rowOff>
    </xdr:from>
    <xdr:ext cx="1800225" cy="323850"/>
    <xdr:sp>
      <xdr:nvSpPr>
        <xdr:cNvPr id="81" name="Shape 81">
          <a:hlinkClick r:id="rId2"/>
        </xdr:cNvPr>
        <xdr:cNvSpPr/>
      </xdr:nvSpPr>
      <xdr:spPr>
        <a:xfrm>
          <a:off x="4450650" y="3622838"/>
          <a:ext cx="1790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47625</xdr:rowOff>
    </xdr:from>
    <xdr:ext cx="1876425" cy="323850"/>
    <xdr:sp>
      <xdr:nvSpPr>
        <xdr:cNvPr id="82" name="Shape 82">
          <a:hlinkClick r:id="rId3"/>
        </xdr:cNvPr>
        <xdr:cNvSpPr/>
      </xdr:nvSpPr>
      <xdr:spPr>
        <a:xfrm>
          <a:off x="4412550" y="3622838"/>
          <a:ext cx="18669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247650</xdr:rowOff>
    </xdr:from>
    <xdr:ext cx="1800225" cy="323850"/>
    <xdr:sp>
      <xdr:nvSpPr>
        <xdr:cNvPr id="83" name="Shape 83"/>
        <xdr:cNvSpPr/>
      </xdr:nvSpPr>
      <xdr:spPr>
        <a:xfrm>
          <a:off x="4450650" y="3622838"/>
          <a:ext cx="1790700" cy="3143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57150</xdr:rowOff>
    </xdr:from>
    <xdr:ext cx="1800225" cy="323850"/>
    <xdr:sp>
      <xdr:nvSpPr>
        <xdr:cNvPr id="84" name="Shape 84">
          <a:hlinkClick r:id="rId4"/>
        </xdr:cNvPr>
        <xdr:cNvSpPr/>
      </xdr:nvSpPr>
      <xdr:spPr>
        <a:xfrm>
          <a:off x="4450650" y="3622838"/>
          <a:ext cx="1790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171450</xdr:rowOff>
    </xdr:from>
    <xdr:ext cx="1885950" cy="295275"/>
    <xdr:sp>
      <xdr:nvSpPr>
        <xdr:cNvPr id="85" name="Shape 85">
          <a:hlinkClick r:id="rId5"/>
        </xdr:cNvPr>
        <xdr:cNvSpPr/>
      </xdr:nvSpPr>
      <xdr:spPr>
        <a:xfrm>
          <a:off x="4407788" y="3637125"/>
          <a:ext cx="187642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466725</xdr:rowOff>
    </xdr:from>
    <xdr:ext cx="1866900" cy="304800"/>
    <xdr:sp>
      <xdr:nvSpPr>
        <xdr:cNvPr id="86" name="Shape 86">
          <a:hlinkClick r:id="rId6"/>
        </xdr:cNvPr>
        <xdr:cNvSpPr/>
      </xdr:nvSpPr>
      <xdr:spPr>
        <a:xfrm>
          <a:off x="4417313" y="3632363"/>
          <a:ext cx="18573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771525</xdr:rowOff>
    </xdr:from>
    <xdr:ext cx="1866900" cy="304800"/>
    <xdr:sp>
      <xdr:nvSpPr>
        <xdr:cNvPr id="87" name="Shape 87">
          <a:hlinkClick r:id="rId7"/>
        </xdr:cNvPr>
        <xdr:cNvSpPr/>
      </xdr:nvSpPr>
      <xdr:spPr>
        <a:xfrm>
          <a:off x="4417313" y="3632363"/>
          <a:ext cx="1857375" cy="2952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38100</xdr:rowOff>
    </xdr:from>
    <xdr:ext cx="1866900" cy="314325"/>
    <xdr:sp>
      <xdr:nvSpPr>
        <xdr:cNvPr id="88" name="Shape 88">
          <a:hlinkClick r:id="rId8"/>
        </xdr:cNvPr>
        <xdr:cNvSpPr/>
      </xdr:nvSpPr>
      <xdr:spPr>
        <a:xfrm>
          <a:off x="4417313" y="3627600"/>
          <a:ext cx="18573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266700</xdr:rowOff>
    </xdr:from>
    <xdr:ext cx="1885950" cy="314325"/>
    <xdr:sp>
      <xdr:nvSpPr>
        <xdr:cNvPr id="89" name="Shape 89">
          <a:hlinkClick r:id="rId9"/>
        </xdr:cNvPr>
        <xdr:cNvSpPr/>
      </xdr:nvSpPr>
      <xdr:spPr>
        <a:xfrm>
          <a:off x="4407788" y="3627600"/>
          <a:ext cx="18764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1066800</xdr:rowOff>
    </xdr:from>
    <xdr:ext cx="1847850" cy="304800"/>
    <xdr:sp>
      <xdr:nvSpPr>
        <xdr:cNvPr id="90" name="Shape 90">
          <a:hlinkClick r:id="rId10"/>
        </xdr:cNvPr>
        <xdr:cNvSpPr/>
      </xdr:nvSpPr>
      <xdr:spPr>
        <a:xfrm>
          <a:off x="4426838" y="3632363"/>
          <a:ext cx="18383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200025</xdr:rowOff>
    </xdr:from>
    <xdr:ext cx="1885950" cy="314325"/>
    <xdr:sp>
      <xdr:nvSpPr>
        <xdr:cNvPr id="91" name="Shape 91">
          <a:hlinkClick r:id="rId11"/>
        </xdr:cNvPr>
        <xdr:cNvSpPr/>
      </xdr:nvSpPr>
      <xdr:spPr>
        <a:xfrm>
          <a:off x="4407788" y="3627600"/>
          <a:ext cx="1876425" cy="30480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285875" cy="533400"/>
    <xdr:sp>
      <xdr:nvSpPr>
        <xdr:cNvPr id="92" name="Shape 92"/>
        <xdr:cNvSpPr txBox="1"/>
      </xdr:nvSpPr>
      <xdr:spPr>
        <a:xfrm>
          <a:off x="4707825" y="3518063"/>
          <a:ext cx="1276350" cy="5238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781050</xdr:colOff>
      <xdr:row>0</xdr:row>
      <xdr:rowOff>209550</xdr:rowOff>
    </xdr:from>
    <xdr:ext cx="6524625" cy="457200"/>
    <xdr:sp>
      <xdr:nvSpPr>
        <xdr:cNvPr id="93" name="Shape 93"/>
        <xdr:cNvSpPr txBox="1"/>
      </xdr:nvSpPr>
      <xdr:spPr>
        <a:xfrm>
          <a:off x="2088450" y="3556163"/>
          <a:ext cx="6515100" cy="4476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Nesta parte você deve relacionar suas forças e fraquezas as suas oportunidades e ameaças no intuito de criar planos. de ação com a melhor estratégia para cada situação.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123825</xdr:rowOff>
    </xdr:from>
    <xdr:ext cx="1885950" cy="295275"/>
    <xdr:sp>
      <xdr:nvSpPr>
        <xdr:cNvPr id="94" name="Shape 94">
          <a:hlinkClick r:id="rId1"/>
        </xdr:cNvPr>
        <xdr:cNvSpPr/>
      </xdr:nvSpPr>
      <xdr:spPr>
        <a:xfrm>
          <a:off x="4407788" y="3637125"/>
          <a:ext cx="187642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152400</xdr:rowOff>
    </xdr:from>
    <xdr:ext cx="1800225" cy="323850"/>
    <xdr:sp>
      <xdr:nvSpPr>
        <xdr:cNvPr id="95" name="Shape 95">
          <a:hlinkClick r:id="rId2"/>
        </xdr:cNvPr>
        <xdr:cNvSpPr/>
      </xdr:nvSpPr>
      <xdr:spPr>
        <a:xfrm>
          <a:off x="4450650" y="3622838"/>
          <a:ext cx="1790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47625</xdr:rowOff>
    </xdr:from>
    <xdr:ext cx="1876425" cy="314325"/>
    <xdr:sp>
      <xdr:nvSpPr>
        <xdr:cNvPr id="96" name="Shape 96">
          <a:hlinkClick r:id="rId3"/>
        </xdr:cNvPr>
        <xdr:cNvSpPr/>
      </xdr:nvSpPr>
      <xdr:spPr>
        <a:xfrm>
          <a:off x="4412550" y="3627600"/>
          <a:ext cx="18669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38100</xdr:colOff>
      <xdr:row>2</xdr:row>
      <xdr:rowOff>114300</xdr:rowOff>
    </xdr:from>
    <xdr:ext cx="1800225" cy="304800"/>
    <xdr:sp>
      <xdr:nvSpPr>
        <xdr:cNvPr id="97" name="Shape 97"/>
        <xdr:cNvSpPr/>
      </xdr:nvSpPr>
      <xdr:spPr>
        <a:xfrm>
          <a:off x="4450650" y="3632363"/>
          <a:ext cx="1790700" cy="2952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381000</xdr:rowOff>
    </xdr:from>
    <xdr:ext cx="1800225" cy="323850"/>
    <xdr:sp>
      <xdr:nvSpPr>
        <xdr:cNvPr id="98" name="Shape 98">
          <a:hlinkClick r:id="rId4"/>
        </xdr:cNvPr>
        <xdr:cNvSpPr/>
      </xdr:nvSpPr>
      <xdr:spPr>
        <a:xfrm>
          <a:off x="4450650" y="3622838"/>
          <a:ext cx="1790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257175</xdr:rowOff>
    </xdr:from>
    <xdr:ext cx="1885950" cy="314325"/>
    <xdr:sp>
      <xdr:nvSpPr>
        <xdr:cNvPr id="99" name="Shape 99">
          <a:hlinkClick r:id="rId5"/>
        </xdr:cNvPr>
        <xdr:cNvSpPr/>
      </xdr:nvSpPr>
      <xdr:spPr>
        <a:xfrm>
          <a:off x="4407788" y="3627600"/>
          <a:ext cx="18764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190500</xdr:rowOff>
    </xdr:from>
    <xdr:ext cx="1866900" cy="323850"/>
    <xdr:sp>
      <xdr:nvSpPr>
        <xdr:cNvPr id="100" name="Shape 100">
          <a:hlinkClick r:id="rId6"/>
        </xdr:cNvPr>
        <xdr:cNvSpPr/>
      </xdr:nvSpPr>
      <xdr:spPr>
        <a:xfrm>
          <a:off x="4417313" y="3622838"/>
          <a:ext cx="18573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57150</xdr:rowOff>
    </xdr:from>
    <xdr:ext cx="1876425" cy="314325"/>
    <xdr:sp>
      <xdr:nvSpPr>
        <xdr:cNvPr id="101" name="Shape 101">
          <a:hlinkClick r:id="rId7"/>
        </xdr:cNvPr>
        <xdr:cNvSpPr/>
      </xdr:nvSpPr>
      <xdr:spPr>
        <a:xfrm>
          <a:off x="4412550" y="3627600"/>
          <a:ext cx="18669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257175</xdr:rowOff>
    </xdr:from>
    <xdr:ext cx="1866900" cy="323850"/>
    <xdr:sp>
      <xdr:nvSpPr>
        <xdr:cNvPr id="102" name="Shape 102">
          <a:hlinkClick r:id="rId8"/>
        </xdr:cNvPr>
        <xdr:cNvSpPr/>
      </xdr:nvSpPr>
      <xdr:spPr>
        <a:xfrm>
          <a:off x="4417313" y="3622838"/>
          <a:ext cx="18573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1885950" cy="304800"/>
    <xdr:sp>
      <xdr:nvSpPr>
        <xdr:cNvPr id="103" name="Shape 103">
          <a:hlinkClick r:id="rId9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371475</xdr:rowOff>
    </xdr:from>
    <xdr:ext cx="1885950" cy="323850"/>
    <xdr:sp>
      <xdr:nvSpPr>
        <xdr:cNvPr id="104" name="Shape 104">
          <a:hlinkClick r:id="rId10"/>
        </xdr:cNvPr>
        <xdr:cNvSpPr/>
      </xdr:nvSpPr>
      <xdr:spPr>
        <a:xfrm>
          <a:off x="4407788" y="3622838"/>
          <a:ext cx="1876425" cy="3143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28575</xdr:rowOff>
    </xdr:from>
    <xdr:ext cx="1885950" cy="304800"/>
    <xdr:sp>
      <xdr:nvSpPr>
        <xdr:cNvPr id="105" name="Shape 105">
          <a:hlinkClick r:id="rId11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  <xdr:oneCellAnchor>
    <xdr:from>
      <xdr:col>0</xdr:col>
      <xdr:colOff>238125</xdr:colOff>
      <xdr:row>0</xdr:row>
      <xdr:rowOff>123825</xdr:rowOff>
    </xdr:from>
    <xdr:ext cx="1285875" cy="447675"/>
    <xdr:sp>
      <xdr:nvSpPr>
        <xdr:cNvPr id="106" name="Shape 106"/>
        <xdr:cNvSpPr txBox="1"/>
      </xdr:nvSpPr>
      <xdr:spPr>
        <a:xfrm>
          <a:off x="4707825" y="3560925"/>
          <a:ext cx="1276350" cy="4381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logomarca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2971800</xdr:colOff>
      <xdr:row>0</xdr:row>
      <xdr:rowOff>209550</xdr:rowOff>
    </xdr:from>
    <xdr:ext cx="6534150" cy="457200"/>
    <xdr:sp>
      <xdr:nvSpPr>
        <xdr:cNvPr id="107" name="Shape 107"/>
        <xdr:cNvSpPr txBox="1"/>
      </xdr:nvSpPr>
      <xdr:spPr>
        <a:xfrm>
          <a:off x="2083688" y="3556163"/>
          <a:ext cx="6524625" cy="4476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Esta é a parte mais importante da planilha. Aqui você definirá planos de ação para os principais itens da SWOT. Desta forma você agirá sempre no que é mais importante para a sua carreira.</a:t>
          </a:r>
          <a:endParaRPr sz="105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0</xdr:col>
      <xdr:colOff>19050</xdr:colOff>
      <xdr:row>5</xdr:row>
      <xdr:rowOff>28575</xdr:rowOff>
    </xdr:from>
    <xdr:ext cx="1885950" cy="295275"/>
    <xdr:sp>
      <xdr:nvSpPr>
        <xdr:cNvPr id="108" name="Shape 108">
          <a:hlinkClick r:id="rId1"/>
        </xdr:cNvPr>
        <xdr:cNvSpPr/>
      </xdr:nvSpPr>
      <xdr:spPr>
        <a:xfrm>
          <a:off x="4407788" y="3637125"/>
          <a:ext cx="187642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304800</xdr:rowOff>
    </xdr:from>
    <xdr:ext cx="1800225" cy="323850"/>
    <xdr:sp>
      <xdr:nvSpPr>
        <xdr:cNvPr id="109" name="Shape 109">
          <a:hlinkClick r:id="rId2"/>
        </xdr:cNvPr>
        <xdr:cNvSpPr/>
      </xdr:nvSpPr>
      <xdr:spPr>
        <a:xfrm>
          <a:off x="4450650" y="3622838"/>
          <a:ext cx="1790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200025</xdr:rowOff>
    </xdr:from>
    <xdr:ext cx="1876425" cy="323850"/>
    <xdr:sp>
      <xdr:nvSpPr>
        <xdr:cNvPr id="110" name="Shape 110">
          <a:hlinkClick r:id="rId3"/>
        </xdr:cNvPr>
        <xdr:cNvSpPr/>
      </xdr:nvSpPr>
      <xdr:spPr>
        <a:xfrm>
          <a:off x="4412550" y="3622838"/>
          <a:ext cx="18669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19050</xdr:colOff>
      <xdr:row>1</xdr:row>
      <xdr:rowOff>276225</xdr:rowOff>
    </xdr:from>
    <xdr:ext cx="1800225" cy="323850"/>
    <xdr:sp>
      <xdr:nvSpPr>
        <xdr:cNvPr id="111" name="Shape 111"/>
        <xdr:cNvSpPr/>
      </xdr:nvSpPr>
      <xdr:spPr>
        <a:xfrm>
          <a:off x="4450650" y="3622838"/>
          <a:ext cx="1790700" cy="3143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85725</xdr:rowOff>
    </xdr:from>
    <xdr:ext cx="1800225" cy="314325"/>
    <xdr:sp>
      <xdr:nvSpPr>
        <xdr:cNvPr id="112" name="Shape 112">
          <a:hlinkClick r:id="rId4"/>
        </xdr:cNvPr>
        <xdr:cNvSpPr/>
      </xdr:nvSpPr>
      <xdr:spPr>
        <a:xfrm>
          <a:off x="4450650" y="3627600"/>
          <a:ext cx="17907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1885950" cy="304800"/>
    <xdr:sp>
      <xdr:nvSpPr>
        <xdr:cNvPr id="113" name="Shape 113">
          <a:hlinkClick r:id="rId5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276225</xdr:rowOff>
    </xdr:from>
    <xdr:ext cx="1866900" cy="323850"/>
    <xdr:sp>
      <xdr:nvSpPr>
        <xdr:cNvPr id="114" name="Shape 114">
          <a:hlinkClick r:id="rId6"/>
        </xdr:cNvPr>
        <xdr:cNvSpPr/>
      </xdr:nvSpPr>
      <xdr:spPr>
        <a:xfrm>
          <a:off x="4417313" y="3622838"/>
          <a:ext cx="18573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200025</xdr:rowOff>
    </xdr:from>
    <xdr:ext cx="1876425" cy="323850"/>
    <xdr:sp>
      <xdr:nvSpPr>
        <xdr:cNvPr id="115" name="Shape 115">
          <a:hlinkClick r:id="rId7"/>
        </xdr:cNvPr>
        <xdr:cNvSpPr/>
      </xdr:nvSpPr>
      <xdr:spPr>
        <a:xfrm>
          <a:off x="4412550" y="3622838"/>
          <a:ext cx="18669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9</xdr:row>
      <xdr:rowOff>0</xdr:rowOff>
    </xdr:from>
    <xdr:ext cx="1866900" cy="314325"/>
    <xdr:sp>
      <xdr:nvSpPr>
        <xdr:cNvPr id="116" name="Shape 116">
          <a:hlinkClick r:id="rId8"/>
        </xdr:cNvPr>
        <xdr:cNvSpPr/>
      </xdr:nvSpPr>
      <xdr:spPr>
        <a:xfrm>
          <a:off x="4417313" y="3627600"/>
          <a:ext cx="1857375" cy="3048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66675</xdr:rowOff>
    </xdr:from>
    <xdr:ext cx="1885950" cy="304800"/>
    <xdr:sp>
      <xdr:nvSpPr>
        <xdr:cNvPr id="117" name="Shape 117">
          <a:hlinkClick r:id="rId9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76200</xdr:rowOff>
    </xdr:from>
    <xdr:ext cx="1847850" cy="314325"/>
    <xdr:sp>
      <xdr:nvSpPr>
        <xdr:cNvPr id="118" name="Shape 118">
          <a:hlinkClick r:id="rId10"/>
        </xdr:cNvPr>
        <xdr:cNvSpPr/>
      </xdr:nvSpPr>
      <xdr:spPr>
        <a:xfrm>
          <a:off x="4426838" y="3627600"/>
          <a:ext cx="18383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142875</xdr:rowOff>
    </xdr:from>
    <xdr:ext cx="1885950" cy="314325"/>
    <xdr:sp>
      <xdr:nvSpPr>
        <xdr:cNvPr id="119" name="Shape 119">
          <a:hlinkClick r:id="rId11"/>
        </xdr:cNvPr>
        <xdr:cNvSpPr/>
      </xdr:nvSpPr>
      <xdr:spPr>
        <a:xfrm>
          <a:off x="4407788" y="3627600"/>
          <a:ext cx="1876425" cy="30480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17</xdr:row>
      <xdr:rowOff>76200</xdr:rowOff>
    </xdr:from>
    <xdr:ext cx="5734050" cy="25622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352425</xdr:colOff>
      <xdr:row>0</xdr:row>
      <xdr:rowOff>209550</xdr:rowOff>
    </xdr:from>
    <xdr:ext cx="6553200" cy="457200"/>
    <xdr:sp>
      <xdr:nvSpPr>
        <xdr:cNvPr id="120" name="Shape 120"/>
        <xdr:cNvSpPr txBox="1"/>
      </xdr:nvSpPr>
      <xdr:spPr>
        <a:xfrm>
          <a:off x="2074163" y="3556163"/>
          <a:ext cx="6543675" cy="4476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Faça uma comparação gráfica entre suas forças, fraquezas, oportunidades e ameaças.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Os gráficos são formas simples para exibir resultados visuais mais fáceis de serem interpretados.</a:t>
          </a:r>
          <a:endParaRPr sz="105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0</xdr:col>
      <xdr:colOff>19050</xdr:colOff>
      <xdr:row>5</xdr:row>
      <xdr:rowOff>123825</xdr:rowOff>
    </xdr:from>
    <xdr:ext cx="1885950" cy="304800"/>
    <xdr:sp>
      <xdr:nvSpPr>
        <xdr:cNvPr id="121" name="Shape 121">
          <a:hlinkClick r:id="rId2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76200</xdr:rowOff>
    </xdr:from>
    <xdr:ext cx="1866900" cy="314325"/>
    <xdr:sp>
      <xdr:nvSpPr>
        <xdr:cNvPr id="122" name="Shape 122">
          <a:hlinkClick r:id="rId3"/>
        </xdr:cNvPr>
        <xdr:cNvSpPr/>
      </xdr:nvSpPr>
      <xdr:spPr>
        <a:xfrm>
          <a:off x="4417313" y="3627600"/>
          <a:ext cx="1857375" cy="3048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219075</xdr:rowOff>
    </xdr:from>
    <xdr:ext cx="1876425" cy="323850"/>
    <xdr:sp>
      <xdr:nvSpPr>
        <xdr:cNvPr id="123" name="Shape 123">
          <a:hlinkClick r:id="rId4"/>
        </xdr:cNvPr>
        <xdr:cNvSpPr/>
      </xdr:nvSpPr>
      <xdr:spPr>
        <a:xfrm>
          <a:off x="4412550" y="3622838"/>
          <a:ext cx="18669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285750</xdr:rowOff>
    </xdr:from>
    <xdr:ext cx="1800225" cy="323850"/>
    <xdr:sp>
      <xdr:nvSpPr>
        <xdr:cNvPr id="124" name="Shape 124"/>
        <xdr:cNvSpPr/>
      </xdr:nvSpPr>
      <xdr:spPr>
        <a:xfrm>
          <a:off x="4450650" y="3622838"/>
          <a:ext cx="1790700" cy="3143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9525</xdr:rowOff>
    </xdr:from>
    <xdr:ext cx="1800225" cy="304800"/>
    <xdr:sp>
      <xdr:nvSpPr>
        <xdr:cNvPr id="125" name="Shape 125">
          <a:hlinkClick r:id="rId5"/>
        </xdr:cNvPr>
        <xdr:cNvSpPr/>
      </xdr:nvSpPr>
      <xdr:spPr>
        <a:xfrm>
          <a:off x="4450650" y="3632363"/>
          <a:ext cx="179070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1885950" cy="304800"/>
    <xdr:sp>
      <xdr:nvSpPr>
        <xdr:cNvPr id="126" name="Shape 126">
          <a:hlinkClick r:id="rId6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314325</xdr:rowOff>
    </xdr:from>
    <xdr:ext cx="1866900" cy="323850"/>
    <xdr:sp>
      <xdr:nvSpPr>
        <xdr:cNvPr id="127" name="Shape 127">
          <a:hlinkClick r:id="rId7"/>
        </xdr:cNvPr>
        <xdr:cNvSpPr/>
      </xdr:nvSpPr>
      <xdr:spPr>
        <a:xfrm>
          <a:off x="4417313" y="3622838"/>
          <a:ext cx="185737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238125</xdr:rowOff>
    </xdr:from>
    <xdr:ext cx="1876425" cy="314325"/>
    <xdr:sp>
      <xdr:nvSpPr>
        <xdr:cNvPr id="128" name="Shape 128">
          <a:hlinkClick r:id="rId8"/>
        </xdr:cNvPr>
        <xdr:cNvSpPr/>
      </xdr:nvSpPr>
      <xdr:spPr>
        <a:xfrm>
          <a:off x="4412550" y="3627600"/>
          <a:ext cx="18669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257175</xdr:rowOff>
    </xdr:from>
    <xdr:ext cx="1866900" cy="314325"/>
    <xdr:sp>
      <xdr:nvSpPr>
        <xdr:cNvPr id="129" name="Shape 129">
          <a:hlinkClick r:id="rId9"/>
        </xdr:cNvPr>
        <xdr:cNvSpPr/>
      </xdr:nvSpPr>
      <xdr:spPr>
        <a:xfrm>
          <a:off x="4417313" y="3627600"/>
          <a:ext cx="18573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180975</xdr:rowOff>
    </xdr:from>
    <xdr:ext cx="1885950" cy="314325"/>
    <xdr:sp>
      <xdr:nvSpPr>
        <xdr:cNvPr id="130" name="Shape 130">
          <a:hlinkClick r:id="rId10"/>
        </xdr:cNvPr>
        <xdr:cNvSpPr/>
      </xdr:nvSpPr>
      <xdr:spPr>
        <a:xfrm>
          <a:off x="4407788" y="3627600"/>
          <a:ext cx="18764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542925</xdr:rowOff>
    </xdr:from>
    <xdr:ext cx="1847850" cy="314325"/>
    <xdr:sp>
      <xdr:nvSpPr>
        <xdr:cNvPr id="131" name="Shape 131">
          <a:hlinkClick r:id="rId11"/>
        </xdr:cNvPr>
        <xdr:cNvSpPr/>
      </xdr:nvSpPr>
      <xdr:spPr>
        <a:xfrm>
          <a:off x="4426838" y="3627600"/>
          <a:ext cx="18383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209550</xdr:rowOff>
    </xdr:from>
    <xdr:ext cx="1885950" cy="314325"/>
    <xdr:sp>
      <xdr:nvSpPr>
        <xdr:cNvPr id="132" name="Shape 132">
          <a:hlinkClick r:id="rId12"/>
        </xdr:cNvPr>
        <xdr:cNvSpPr/>
      </xdr:nvSpPr>
      <xdr:spPr>
        <a:xfrm>
          <a:off x="4407788" y="3627600"/>
          <a:ext cx="1876425" cy="30480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  <xdr:oneCellAnchor>
    <xdr:from>
      <xdr:col>3</xdr:col>
      <xdr:colOff>1057275</xdr:colOff>
      <xdr:row>4</xdr:row>
      <xdr:rowOff>19050</xdr:rowOff>
    </xdr:from>
    <xdr:ext cx="7600950" cy="1466850"/>
    <xdr:pic>
      <xdr:nvPicPr>
        <xdr:cNvPr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7</xdr:row>
      <xdr:rowOff>0</xdr:rowOff>
    </xdr:from>
    <xdr:ext cx="4676775" cy="29337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1676400</xdr:colOff>
      <xdr:row>7</xdr:row>
      <xdr:rowOff>0</xdr:rowOff>
    </xdr:from>
    <xdr:ext cx="4686300" cy="29337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0</xdr:colOff>
      <xdr:row>14</xdr:row>
      <xdr:rowOff>0</xdr:rowOff>
    </xdr:from>
    <xdr:ext cx="9801225" cy="29622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1028700</xdr:colOff>
      <xdr:row>0</xdr:row>
      <xdr:rowOff>66675</xdr:rowOff>
    </xdr:from>
    <xdr:ext cx="5562600" cy="457200"/>
    <xdr:sp>
      <xdr:nvSpPr>
        <xdr:cNvPr id="133" name="Shape 133"/>
        <xdr:cNvSpPr txBox="1"/>
      </xdr:nvSpPr>
      <xdr:spPr>
        <a:xfrm>
          <a:off x="2569463" y="3556163"/>
          <a:ext cx="5553075" cy="4476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Faça uma comparação gráfica entre suas forças, fraquezas, oportunidades e ameaças.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7F7F7F"/>
            </a:buClr>
            <a:buSzPts val="1050"/>
            <a:buFont typeface="Calibri"/>
            <a:buNone/>
          </a:pPr>
          <a:r>
            <a:rPr lang="en-US" sz="105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Os gráficos são formas simples para exibir resultados visuais mais fáceis de serem interpretados.</a:t>
          </a:r>
          <a:endParaRPr sz="105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123825</xdr:rowOff>
    </xdr:from>
    <xdr:ext cx="1952625" cy="371475"/>
    <xdr:sp>
      <xdr:nvSpPr>
        <xdr:cNvPr id="134" name="Shape 134">
          <a:hlinkClick r:id="rId4"/>
        </xdr:cNvPr>
        <xdr:cNvSpPr/>
      </xdr:nvSpPr>
      <xdr:spPr>
        <a:xfrm>
          <a:off x="4374450" y="3599025"/>
          <a:ext cx="1943100" cy="36195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Gráficos</a:t>
          </a:r>
          <a:endParaRPr sz="1400"/>
        </a:p>
      </xdr:txBody>
    </xdr:sp>
    <xdr:clientData fLocksWithSheet="0"/>
  </xdr:oneCellAnchor>
  <xdr:oneCellAnchor>
    <xdr:from>
      <xdr:col>3</xdr:col>
      <xdr:colOff>209550</xdr:colOff>
      <xdr:row>1</xdr:row>
      <xdr:rowOff>123825</xdr:rowOff>
    </xdr:from>
    <xdr:ext cx="1952625" cy="371475"/>
    <xdr:sp>
      <xdr:nvSpPr>
        <xdr:cNvPr id="135" name="Shape 135"/>
        <xdr:cNvSpPr/>
      </xdr:nvSpPr>
      <xdr:spPr>
        <a:xfrm>
          <a:off x="4374450" y="3599025"/>
          <a:ext cx="1943100" cy="361950"/>
        </a:xfrm>
        <a:prstGeom prst="rect">
          <a:avLst/>
        </a:prstGeom>
        <a:solidFill>
          <a:srgbClr val="14B1E7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Análise por Área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104775</xdr:rowOff>
    </xdr:from>
    <xdr:ext cx="1885950" cy="304800"/>
    <xdr:sp>
      <xdr:nvSpPr>
        <xdr:cNvPr id="136" name="Shape 136">
          <a:hlinkClick r:id="rId5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0</xdr:rowOff>
    </xdr:from>
    <xdr:ext cx="1800225" cy="314325"/>
    <xdr:sp>
      <xdr:nvSpPr>
        <xdr:cNvPr id="137" name="Shape 137">
          <a:hlinkClick r:id="rId6"/>
        </xdr:cNvPr>
        <xdr:cNvSpPr/>
      </xdr:nvSpPr>
      <xdr:spPr>
        <a:xfrm>
          <a:off x="4450650" y="3627600"/>
          <a:ext cx="17907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333375</xdr:rowOff>
    </xdr:from>
    <xdr:ext cx="1866900" cy="314325"/>
    <xdr:sp>
      <xdr:nvSpPr>
        <xdr:cNvPr id="138" name="Shape 138">
          <a:hlinkClick r:id="rId7"/>
        </xdr:cNvPr>
        <xdr:cNvSpPr/>
      </xdr:nvSpPr>
      <xdr:spPr>
        <a:xfrm>
          <a:off x="4417313" y="3627600"/>
          <a:ext cx="1857375" cy="3048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400"/>
        </a:p>
      </xdr:txBody>
    </xdr:sp>
    <xdr:clientData fLocksWithSheet="0"/>
  </xdr:oneCellAnchor>
  <xdr:oneCellAnchor>
    <xdr:from>
      <xdr:col>0</xdr:col>
      <xdr:colOff>9525</xdr:colOff>
      <xdr:row>1</xdr:row>
      <xdr:rowOff>361950</xdr:rowOff>
    </xdr:from>
    <xdr:ext cx="1800225" cy="323850"/>
    <xdr:sp>
      <xdr:nvSpPr>
        <xdr:cNvPr id="139" name="Shape 139"/>
        <xdr:cNvSpPr/>
      </xdr:nvSpPr>
      <xdr:spPr>
        <a:xfrm>
          <a:off x="4450650" y="3622838"/>
          <a:ext cx="1790700" cy="3143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657225</xdr:rowOff>
    </xdr:from>
    <xdr:ext cx="1800225" cy="323850"/>
    <xdr:sp>
      <xdr:nvSpPr>
        <xdr:cNvPr id="140" name="Shape 140">
          <a:hlinkClick r:id="rId8"/>
        </xdr:cNvPr>
        <xdr:cNvSpPr/>
      </xdr:nvSpPr>
      <xdr:spPr>
        <a:xfrm>
          <a:off x="4450650" y="3622838"/>
          <a:ext cx="1790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457200</xdr:rowOff>
    </xdr:from>
    <xdr:ext cx="1885950" cy="304800"/>
    <xdr:sp>
      <xdr:nvSpPr>
        <xdr:cNvPr id="141" name="Shape 141">
          <a:hlinkClick r:id="rId9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1866900" cy="314325"/>
    <xdr:sp>
      <xdr:nvSpPr>
        <xdr:cNvPr id="142" name="Shape 142">
          <a:hlinkClick r:id="rId10"/>
        </xdr:cNvPr>
        <xdr:cNvSpPr/>
      </xdr:nvSpPr>
      <xdr:spPr>
        <a:xfrm>
          <a:off x="4417313" y="3627600"/>
          <a:ext cx="18573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276225</xdr:rowOff>
    </xdr:from>
    <xdr:ext cx="1876425" cy="323850"/>
    <xdr:sp>
      <xdr:nvSpPr>
        <xdr:cNvPr id="143" name="Shape 143">
          <a:hlinkClick r:id="rId11"/>
        </xdr:cNvPr>
        <xdr:cNvSpPr/>
      </xdr:nvSpPr>
      <xdr:spPr>
        <a:xfrm>
          <a:off x="4412550" y="3622838"/>
          <a:ext cx="18669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438150</xdr:rowOff>
    </xdr:from>
    <xdr:ext cx="1866900" cy="314325"/>
    <xdr:sp>
      <xdr:nvSpPr>
        <xdr:cNvPr id="144" name="Shape 144">
          <a:hlinkClick r:id="rId12"/>
        </xdr:cNvPr>
        <xdr:cNvSpPr/>
      </xdr:nvSpPr>
      <xdr:spPr>
        <a:xfrm>
          <a:off x="4417313" y="3627600"/>
          <a:ext cx="18573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171450</xdr:rowOff>
    </xdr:from>
    <xdr:ext cx="1885950" cy="304800"/>
    <xdr:sp>
      <xdr:nvSpPr>
        <xdr:cNvPr id="145" name="Shape 145">
          <a:hlinkClick r:id="rId13"/>
        </xdr:cNvPr>
        <xdr:cNvSpPr/>
      </xdr:nvSpPr>
      <xdr:spPr>
        <a:xfrm>
          <a:off x="4407788" y="3632363"/>
          <a:ext cx="18764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114300</xdr:rowOff>
    </xdr:from>
    <xdr:ext cx="1847850" cy="314325"/>
    <xdr:sp>
      <xdr:nvSpPr>
        <xdr:cNvPr id="146" name="Shape 146">
          <a:hlinkClick r:id="rId14"/>
        </xdr:cNvPr>
        <xdr:cNvSpPr/>
      </xdr:nvSpPr>
      <xdr:spPr>
        <a:xfrm>
          <a:off x="4426838" y="3627600"/>
          <a:ext cx="18383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104775</xdr:rowOff>
    </xdr:from>
    <xdr:ext cx="1885950" cy="314325"/>
    <xdr:sp>
      <xdr:nvSpPr>
        <xdr:cNvPr id="147" name="Shape 147">
          <a:hlinkClick r:id="rId15"/>
        </xdr:cNvPr>
        <xdr:cNvSpPr/>
      </xdr:nvSpPr>
      <xdr:spPr>
        <a:xfrm>
          <a:off x="4407788" y="3627600"/>
          <a:ext cx="1876425" cy="304800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41</xdr:row>
      <xdr:rowOff>0</xdr:rowOff>
    </xdr:from>
    <xdr:ext cx="7553325" cy="30480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76200</xdr:colOff>
      <xdr:row>51</xdr:row>
      <xdr:rowOff>38100</xdr:rowOff>
    </xdr:from>
    <xdr:ext cx="7505700" cy="29146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28575</xdr:colOff>
      <xdr:row>51</xdr:row>
      <xdr:rowOff>38100</xdr:rowOff>
    </xdr:from>
    <xdr:ext cx="7534275" cy="29146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76200</xdr:colOff>
      <xdr:row>60</xdr:row>
      <xdr:rowOff>38100</xdr:rowOff>
    </xdr:from>
    <xdr:ext cx="15525750" cy="40005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466725</xdr:colOff>
      <xdr:row>0</xdr:row>
      <xdr:rowOff>171450</xdr:rowOff>
    </xdr:from>
    <xdr:ext cx="6096000" cy="457200"/>
    <xdr:sp>
      <xdr:nvSpPr>
        <xdr:cNvPr id="148" name="Shape 148"/>
        <xdr:cNvSpPr txBox="1"/>
      </xdr:nvSpPr>
      <xdr:spPr>
        <a:xfrm>
          <a:off x="2302763" y="3556163"/>
          <a:ext cx="6086475" cy="4476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050"/>
            <a:buFont typeface="Calibri"/>
            <a:buNone/>
          </a:pPr>
          <a:r>
            <a:rPr lang="en-US" sz="105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Imprima o relatório da sua análise SWOT. Apenas o que importa, com formatação econômica para gastar menos tinta e ter melhor aproveitamento do papel</a:t>
          </a:r>
          <a:endParaRPr sz="1050">
            <a:solidFill>
              <a:srgbClr val="595959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3</xdr:row>
      <xdr:rowOff>95250</xdr:rowOff>
    </xdr:from>
    <xdr:ext cx="1943100" cy="304800"/>
    <xdr:sp>
      <xdr:nvSpPr>
        <xdr:cNvPr id="149" name="Shape 149">
          <a:hlinkClick r:id="rId5"/>
        </xdr:cNvPr>
        <xdr:cNvSpPr/>
      </xdr:nvSpPr>
      <xdr:spPr>
        <a:xfrm>
          <a:off x="4379213" y="3632363"/>
          <a:ext cx="19335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1. Início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314325</xdr:rowOff>
    </xdr:from>
    <xdr:ext cx="1800225" cy="323850"/>
    <xdr:sp>
      <xdr:nvSpPr>
        <xdr:cNvPr id="150" name="Shape 150">
          <a:hlinkClick r:id="rId6"/>
        </xdr:cNvPr>
        <xdr:cNvSpPr/>
      </xdr:nvSpPr>
      <xdr:spPr>
        <a:xfrm>
          <a:off x="4450650" y="3622838"/>
          <a:ext cx="17907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7. Resultados SWOT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161925</xdr:rowOff>
    </xdr:from>
    <xdr:ext cx="1924050" cy="314325"/>
    <xdr:sp>
      <xdr:nvSpPr>
        <xdr:cNvPr id="151" name="Shape 151">
          <a:hlinkClick r:id="rId7"/>
        </xdr:cNvPr>
        <xdr:cNvSpPr/>
      </xdr:nvSpPr>
      <xdr:spPr>
        <a:xfrm>
          <a:off x="4388738" y="3627600"/>
          <a:ext cx="19145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8. Resultados planos de ação</a:t>
          </a:r>
          <a:endParaRPr sz="1400"/>
        </a:p>
      </xdr:txBody>
    </xdr:sp>
    <xdr:clientData fLocksWithSheet="0"/>
  </xdr:oneCellAnchor>
  <xdr:oneCellAnchor>
    <xdr:from>
      <xdr:col>0</xdr:col>
      <xdr:colOff>38100</xdr:colOff>
      <xdr:row>1</xdr:row>
      <xdr:rowOff>304800</xdr:rowOff>
    </xdr:from>
    <xdr:ext cx="1857375" cy="323850"/>
    <xdr:sp>
      <xdr:nvSpPr>
        <xdr:cNvPr id="152" name="Shape 152"/>
        <xdr:cNvSpPr/>
      </xdr:nvSpPr>
      <xdr:spPr>
        <a:xfrm>
          <a:off x="4422075" y="3622838"/>
          <a:ext cx="1847850" cy="3143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Menu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485775</xdr:rowOff>
    </xdr:from>
    <xdr:ext cx="1914525" cy="314325"/>
    <xdr:sp>
      <xdr:nvSpPr>
        <xdr:cNvPr id="153" name="Shape 153">
          <a:hlinkClick r:id="rId8"/>
        </xdr:cNvPr>
        <xdr:cNvSpPr/>
      </xdr:nvSpPr>
      <xdr:spPr>
        <a:xfrm>
          <a:off x="4393500" y="3627600"/>
          <a:ext cx="1905000" cy="3048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100"/>
            <a:buFont typeface="Calibri"/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9. Relatório de Impressão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428625</xdr:rowOff>
    </xdr:from>
    <xdr:ext cx="1943100" cy="314325"/>
    <xdr:sp>
      <xdr:nvSpPr>
        <xdr:cNvPr id="154" name="Shape 154">
          <a:hlinkClick r:id="rId9"/>
        </xdr:cNvPr>
        <xdr:cNvSpPr/>
      </xdr:nvSpPr>
      <xdr:spPr>
        <a:xfrm>
          <a:off x="4379213" y="3627600"/>
          <a:ext cx="19335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2. Fatores internos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104775</xdr:rowOff>
    </xdr:from>
    <xdr:ext cx="1914525" cy="314325"/>
    <xdr:sp>
      <xdr:nvSpPr>
        <xdr:cNvPr id="155" name="Shape 155">
          <a:hlinkClick r:id="rId10"/>
        </xdr:cNvPr>
        <xdr:cNvSpPr/>
      </xdr:nvSpPr>
      <xdr:spPr>
        <a:xfrm>
          <a:off x="4393500" y="3627600"/>
          <a:ext cx="19050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Fatores externos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409575</xdr:rowOff>
    </xdr:from>
    <xdr:ext cx="1914525" cy="314325"/>
    <xdr:sp>
      <xdr:nvSpPr>
        <xdr:cNvPr id="156" name="Shape 156">
          <a:hlinkClick r:id="rId11"/>
        </xdr:cNvPr>
        <xdr:cNvSpPr/>
      </xdr:nvSpPr>
      <xdr:spPr>
        <a:xfrm>
          <a:off x="4393500" y="3627600"/>
          <a:ext cx="190500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4. Matriz SWOT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7</xdr:row>
      <xdr:rowOff>0</xdr:rowOff>
    </xdr:from>
    <xdr:ext cx="1905000" cy="314325"/>
    <xdr:sp>
      <xdr:nvSpPr>
        <xdr:cNvPr id="157" name="Shape 157">
          <a:hlinkClick r:id="rId12"/>
        </xdr:cNvPr>
        <xdr:cNvSpPr/>
      </xdr:nvSpPr>
      <xdr:spPr>
        <a:xfrm>
          <a:off x="4398263" y="3627600"/>
          <a:ext cx="18954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6. Planos de ação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142875</xdr:rowOff>
    </xdr:from>
    <xdr:ext cx="1943100" cy="304800"/>
    <xdr:sp>
      <xdr:nvSpPr>
        <xdr:cNvPr id="158" name="Shape 158">
          <a:hlinkClick r:id="rId13"/>
        </xdr:cNvPr>
        <xdr:cNvSpPr/>
      </xdr:nvSpPr>
      <xdr:spPr>
        <a:xfrm>
          <a:off x="4379213" y="3632363"/>
          <a:ext cx="193357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4</xdr:row>
      <xdr:rowOff>723900</xdr:rowOff>
    </xdr:from>
    <xdr:ext cx="1847850" cy="323850"/>
    <xdr:sp>
      <xdr:nvSpPr>
        <xdr:cNvPr id="159" name="Shape 159">
          <a:hlinkClick r:id="rId14"/>
        </xdr:cNvPr>
        <xdr:cNvSpPr/>
      </xdr:nvSpPr>
      <xdr:spPr>
        <a:xfrm>
          <a:off x="4426838" y="3622838"/>
          <a:ext cx="18383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5. Cruzamentos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133350</xdr:rowOff>
    </xdr:from>
    <xdr:ext cx="2343150" cy="457200"/>
    <xdr:sp>
      <xdr:nvSpPr>
        <xdr:cNvPr id="160" name="Shape 160">
          <a:hlinkClick r:id="rId15"/>
        </xdr:cNvPr>
        <xdr:cNvSpPr/>
      </xdr:nvSpPr>
      <xdr:spPr>
        <a:xfrm>
          <a:off x="4179188" y="3556163"/>
          <a:ext cx="2333625" cy="447675"/>
        </a:xfrm>
        <a:prstGeom prst="rect">
          <a:avLst/>
        </a:prstGeom>
        <a:solidFill>
          <a:srgbClr val="0F44CA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Objetivos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1.0"/>
    <col customWidth="1" min="2" max="2" width="3.71"/>
    <col customWidth="1" min="3" max="3" width="10.0"/>
    <col customWidth="1" min="4" max="4" width="3.29"/>
    <col customWidth="1" min="5" max="8" width="11.43"/>
    <col customWidth="1" min="9" max="12" width="8.71"/>
    <col customWidth="1" min="13" max="13" width="31.29"/>
    <col customWidth="1" min="14" max="25" width="8.71"/>
  </cols>
  <sheetData>
    <row r="1" ht="33.75" customHeight="1">
      <c r="A1" s="1"/>
      <c r="C1" s="2" t="s">
        <v>0</v>
      </c>
    </row>
    <row r="2" ht="14.25" customHeight="1">
      <c r="A2" s="3"/>
    </row>
    <row r="3" ht="37.5" customHeight="1">
      <c r="A3" s="1"/>
      <c r="C3" s="4" t="s">
        <v>1</v>
      </c>
    </row>
    <row r="4" ht="33.75" customHeight="1">
      <c r="A4" s="1"/>
      <c r="B4" s="5" t="s">
        <v>2</v>
      </c>
    </row>
    <row r="5" ht="12.75" customHeight="1">
      <c r="A5" s="1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29.25" customHeight="1">
      <c r="A6" s="1"/>
      <c r="C6" s="7" t="s">
        <v>3</v>
      </c>
      <c r="D6" s="8"/>
      <c r="E6" s="9" t="s">
        <v>4</v>
      </c>
      <c r="I6" s="6"/>
      <c r="J6" s="6"/>
      <c r="K6" s="6"/>
      <c r="L6" s="6"/>
      <c r="M6" s="6"/>
    </row>
    <row r="7" ht="16.5" customHeight="1">
      <c r="A7" s="1"/>
      <c r="C7" s="10" t="s">
        <v>5</v>
      </c>
    </row>
    <row r="8" ht="20.25" customHeight="1">
      <c r="A8" s="1"/>
    </row>
    <row r="9" ht="12.75" customHeight="1">
      <c r="A9" s="1"/>
    </row>
    <row r="10" ht="12.75" customHeight="1">
      <c r="A10" s="1"/>
    </row>
    <row r="11" ht="25.5" customHeight="1">
      <c r="A11" s="1"/>
      <c r="C11" s="7" t="s">
        <v>6</v>
      </c>
      <c r="D11" s="8"/>
      <c r="E11" s="9" t="s">
        <v>7</v>
      </c>
      <c r="I11" s="11"/>
      <c r="L11" s="12"/>
    </row>
    <row r="12" ht="15.0" customHeight="1">
      <c r="A12" s="1"/>
      <c r="C12" s="10" t="s">
        <v>8</v>
      </c>
    </row>
    <row r="13" ht="15.0" customHeight="1">
      <c r="A13" s="1"/>
    </row>
    <row r="14" ht="30.0" customHeight="1">
      <c r="A14" s="13"/>
      <c r="B14" s="14"/>
      <c r="C14" s="15" t="s">
        <v>9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ht="31.5" customHeight="1">
      <c r="A15" s="13"/>
      <c r="B15" s="14"/>
      <c r="C15" s="15" t="s">
        <v>10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ht="7.5" customHeight="1">
      <c r="A16" s="1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ht="7.5" customHeight="1">
      <c r="A17" s="1"/>
      <c r="C17" s="17"/>
    </row>
    <row r="18" ht="7.5" customHeight="1">
      <c r="A18" s="1"/>
    </row>
    <row r="19" ht="7.5" customHeight="1">
      <c r="A19" s="1"/>
    </row>
    <row r="20" ht="25.5" customHeight="1">
      <c r="A20" s="1"/>
      <c r="C20" s="7" t="s">
        <v>11</v>
      </c>
      <c r="D20" s="8"/>
      <c r="E20" s="9" t="s">
        <v>12</v>
      </c>
    </row>
    <row r="21" ht="15.0" customHeight="1">
      <c r="A21" s="1"/>
      <c r="C21" s="10" t="s">
        <v>13</v>
      </c>
    </row>
    <row r="22" ht="15.0" customHeight="1">
      <c r="A22" s="1"/>
    </row>
    <row r="23" ht="28.5" customHeight="1">
      <c r="A23" s="13"/>
      <c r="B23" s="14"/>
      <c r="C23" s="6" t="s">
        <v>14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ht="46.5" customHeight="1">
      <c r="A24" s="13"/>
      <c r="B24" s="14"/>
      <c r="C24" s="15" t="s">
        <v>15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ht="7.5" customHeight="1">
      <c r="A25" s="1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ht="7.5" customHeight="1">
      <c r="A26" s="1"/>
      <c r="C26" s="16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ht="7.5" customHeight="1">
      <c r="A27" s="1"/>
    </row>
    <row r="28" ht="7.5" customHeight="1">
      <c r="A28" s="1"/>
    </row>
    <row r="29" ht="25.5" customHeight="1">
      <c r="A29" s="1"/>
      <c r="C29" s="7" t="s">
        <v>16</v>
      </c>
      <c r="D29" s="8"/>
      <c r="E29" s="9" t="s">
        <v>17</v>
      </c>
    </row>
    <row r="30" ht="40.5" customHeight="1">
      <c r="A30" s="1"/>
      <c r="C30" s="10" t="s">
        <v>18</v>
      </c>
    </row>
    <row r="31" ht="40.5" customHeight="1">
      <c r="A31" s="1"/>
    </row>
    <row r="32" ht="2.25" customHeight="1">
      <c r="A32" s="1"/>
      <c r="C32" s="17"/>
    </row>
    <row r="33" ht="2.25" customHeight="1">
      <c r="A33" s="1"/>
    </row>
    <row r="34" ht="2.25" customHeight="1">
      <c r="A34" s="1"/>
    </row>
    <row r="35" ht="2.25" customHeight="1">
      <c r="A35" s="1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ht="2.25" customHeight="1">
      <c r="A36" s="1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ht="25.5" customHeight="1">
      <c r="A37" s="1"/>
      <c r="C37" s="7" t="s">
        <v>19</v>
      </c>
      <c r="D37" s="8"/>
      <c r="E37" s="9" t="s">
        <v>20</v>
      </c>
    </row>
    <row r="38" ht="18.75" customHeight="1">
      <c r="A38" s="1"/>
      <c r="C38" s="18"/>
      <c r="D38" s="18"/>
      <c r="E38" s="9"/>
      <c r="F38" s="9"/>
      <c r="G38" s="9"/>
      <c r="H38" s="9"/>
      <c r="I38" s="9"/>
      <c r="J38" s="9"/>
      <c r="K38" s="9"/>
      <c r="L38" s="9"/>
      <c r="M38" s="9"/>
    </row>
    <row r="39" ht="30.0" customHeight="1">
      <c r="A39" s="1"/>
      <c r="C39" s="19" t="s">
        <v>21</v>
      </c>
    </row>
    <row r="40" ht="15.0" customHeight="1">
      <c r="A40" s="1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ht="15.0" customHeight="1">
      <c r="A41" s="1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ht="25.5" customHeight="1">
      <c r="A42" s="1"/>
      <c r="C42" s="7" t="s">
        <v>22</v>
      </c>
      <c r="D42" s="8"/>
      <c r="E42" s="9" t="s">
        <v>23</v>
      </c>
    </row>
    <row r="43" ht="28.5" customHeight="1">
      <c r="A43" s="1"/>
      <c r="C43" s="10" t="s">
        <v>24</v>
      </c>
    </row>
    <row r="44" ht="22.5" customHeight="1">
      <c r="A44" s="1"/>
    </row>
    <row r="45" ht="15.0" customHeight="1">
      <c r="A45" s="1"/>
    </row>
    <row r="46" ht="15.0" customHeight="1">
      <c r="A46" s="1"/>
    </row>
    <row r="47" ht="25.5" customHeight="1">
      <c r="A47" s="1"/>
      <c r="C47" s="7" t="s">
        <v>25</v>
      </c>
      <c r="D47" s="8"/>
      <c r="E47" s="9" t="s">
        <v>26</v>
      </c>
    </row>
    <row r="48" ht="16.5" customHeight="1">
      <c r="A48" s="1"/>
      <c r="C48" s="10" t="s">
        <v>27</v>
      </c>
    </row>
    <row r="49" ht="16.5" customHeight="1">
      <c r="A49" s="1"/>
    </row>
    <row r="50" ht="15.0" customHeight="1">
      <c r="A50" s="1"/>
    </row>
    <row r="51" ht="15.0" customHeight="1">
      <c r="A51" s="1"/>
    </row>
    <row r="52" ht="25.5" customHeight="1">
      <c r="A52" s="1"/>
      <c r="C52" s="7" t="s">
        <v>28</v>
      </c>
      <c r="D52" s="8"/>
      <c r="E52" s="9" t="s">
        <v>29</v>
      </c>
    </row>
    <row r="53" ht="16.5" customHeight="1">
      <c r="A53" s="1"/>
      <c r="C53" s="10" t="s">
        <v>30</v>
      </c>
    </row>
    <row r="54" ht="16.5" customHeight="1">
      <c r="A54" s="1"/>
    </row>
    <row r="55" ht="21.75" customHeight="1">
      <c r="A55" s="13"/>
      <c r="B55" s="14"/>
      <c r="C55" s="15" t="s">
        <v>31</v>
      </c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ht="21.75" customHeight="1">
      <c r="A56" s="13"/>
      <c r="B56" s="14"/>
      <c r="C56" s="21" t="s">
        <v>32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ht="21.75" customHeight="1">
      <c r="A57" s="13"/>
      <c r="B57" s="14"/>
      <c r="C57" s="22"/>
      <c r="D57" s="6"/>
      <c r="E57" s="6"/>
      <c r="F57" s="6"/>
      <c r="G57" s="6"/>
      <c r="H57" s="6"/>
      <c r="I57" s="6"/>
      <c r="J57" s="6"/>
      <c r="K57" s="6"/>
      <c r="L57" s="6"/>
      <c r="M57" s="6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ht="15.0" customHeight="1">
      <c r="A58" s="1"/>
    </row>
    <row r="59" ht="25.5" customHeight="1">
      <c r="A59" s="1"/>
      <c r="C59" s="7" t="s">
        <v>33</v>
      </c>
      <c r="D59" s="8"/>
      <c r="E59" s="9" t="s">
        <v>34</v>
      </c>
    </row>
    <row r="60" ht="30.0" customHeight="1">
      <c r="A60" s="1"/>
      <c r="C60" s="10" t="s">
        <v>35</v>
      </c>
    </row>
    <row r="61" ht="30.0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C1:M2"/>
    <mergeCell ref="C3:O3"/>
    <mergeCell ref="B4:M4"/>
    <mergeCell ref="C6:D6"/>
    <mergeCell ref="E6:H6"/>
    <mergeCell ref="C7:M9"/>
    <mergeCell ref="C11:D11"/>
    <mergeCell ref="E11:H11"/>
    <mergeCell ref="I11:K11"/>
    <mergeCell ref="C12:M13"/>
    <mergeCell ref="C14:M14"/>
    <mergeCell ref="C15:M15"/>
    <mergeCell ref="C17:M18"/>
    <mergeCell ref="C20:D20"/>
    <mergeCell ref="C29:D29"/>
    <mergeCell ref="C37:D37"/>
    <mergeCell ref="C42:D42"/>
    <mergeCell ref="C47:D47"/>
    <mergeCell ref="C52:D52"/>
    <mergeCell ref="C59:D59"/>
    <mergeCell ref="E20:M20"/>
    <mergeCell ref="C21:M22"/>
    <mergeCell ref="C23:M23"/>
    <mergeCell ref="C24:M24"/>
    <mergeCell ref="E29:M29"/>
    <mergeCell ref="C30:M31"/>
    <mergeCell ref="C32:M34"/>
    <mergeCell ref="C53:M54"/>
    <mergeCell ref="C55:M55"/>
    <mergeCell ref="E59:M59"/>
    <mergeCell ref="C60:M61"/>
    <mergeCell ref="E37:M37"/>
    <mergeCell ref="C39:M39"/>
    <mergeCell ref="E42:M42"/>
    <mergeCell ref="C43:M44"/>
    <mergeCell ref="E47:M47"/>
    <mergeCell ref="C48:M50"/>
    <mergeCell ref="E52:M52"/>
  </mergeCells>
  <printOptions horizontalCentered="1"/>
  <pageMargins bottom="0.7480314960629921" footer="0.0" header="0.0" left="0.2362204724409449" right="0.2362204724409449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7.71"/>
    <col customWidth="1" min="2" max="2" width="4.29"/>
    <col customWidth="1" min="3" max="3" width="50.71"/>
    <col customWidth="1" min="4" max="6" width="25.71"/>
    <col customWidth="1" min="7" max="7" width="15.71"/>
    <col customWidth="1" min="8" max="8" width="10.43"/>
    <col customWidth="1" min="9" max="9" width="20.43"/>
    <col customWidth="1" min="10" max="17" width="8.71"/>
    <col customWidth="1" min="18" max="18" width="9.29"/>
    <col customWidth="1" hidden="1" min="19" max="46" width="9.29"/>
  </cols>
  <sheetData>
    <row r="1" ht="33.75" customHeight="1">
      <c r="A1" s="1"/>
      <c r="B1" s="23"/>
      <c r="C1" s="24" t="s">
        <v>36</v>
      </c>
      <c r="D1" s="25"/>
      <c r="E1" s="25"/>
      <c r="F1" s="25"/>
      <c r="G1" s="25"/>
      <c r="H1" s="26"/>
      <c r="I1" s="26"/>
      <c r="J1" s="26"/>
      <c r="K1" s="26"/>
      <c r="L1" s="26"/>
      <c r="M1" s="23"/>
      <c r="N1" s="23"/>
      <c r="O1" s="23"/>
      <c r="P1" s="23"/>
      <c r="Q1" s="23"/>
      <c r="R1" s="23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</row>
    <row r="2" ht="37.5" customHeight="1">
      <c r="A2" s="1"/>
      <c r="B2" s="23"/>
      <c r="C2" s="28"/>
      <c r="D2" s="29"/>
      <c r="E2" s="29"/>
      <c r="F2" s="29"/>
      <c r="G2" s="29"/>
      <c r="H2" s="30"/>
      <c r="I2" s="30"/>
      <c r="J2" s="30"/>
      <c r="K2" s="30"/>
      <c r="L2" s="30"/>
      <c r="M2" s="23"/>
      <c r="N2" s="23"/>
      <c r="O2" s="23"/>
      <c r="P2" s="23"/>
      <c r="Q2" s="23"/>
      <c r="R2" s="2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</row>
    <row r="3" ht="18.75" customHeight="1">
      <c r="A3" s="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</row>
    <row r="4" ht="29.25" customHeight="1">
      <c r="A4" s="33"/>
      <c r="B4" s="34"/>
      <c r="C4" s="35" t="s">
        <v>37</v>
      </c>
      <c r="D4" s="36" t="s">
        <v>38</v>
      </c>
      <c r="E4" s="36" t="s">
        <v>39</v>
      </c>
      <c r="F4" s="36" t="s">
        <v>40</v>
      </c>
      <c r="G4" s="37" t="s">
        <v>41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8">
        <v>1.0</v>
      </c>
      <c r="T4" s="38">
        <v>1.0</v>
      </c>
      <c r="U4" s="38">
        <v>1.0</v>
      </c>
      <c r="V4" s="38">
        <v>1.0</v>
      </c>
      <c r="W4" s="38">
        <v>2.0</v>
      </c>
      <c r="X4" s="38">
        <v>2.0</v>
      </c>
      <c r="Y4" s="38">
        <v>2.0</v>
      </c>
      <c r="Z4" s="38">
        <v>2.0</v>
      </c>
      <c r="AA4" s="38">
        <v>2.0</v>
      </c>
      <c r="AB4" s="38">
        <v>2.0</v>
      </c>
      <c r="AC4" s="38">
        <v>2.0</v>
      </c>
      <c r="AD4" s="38">
        <v>2.0</v>
      </c>
      <c r="AE4" s="38">
        <v>2.0</v>
      </c>
      <c r="AF4" s="38">
        <v>2.0</v>
      </c>
      <c r="AG4" s="38">
        <v>2.0</v>
      </c>
      <c r="AH4" s="38">
        <v>2.0</v>
      </c>
      <c r="AI4" s="38">
        <v>3.0</v>
      </c>
      <c r="AJ4" s="38">
        <v>3.0</v>
      </c>
      <c r="AK4" s="38">
        <v>3.0</v>
      </c>
      <c r="AL4" s="38">
        <v>3.0</v>
      </c>
      <c r="AM4" s="38">
        <v>3.0</v>
      </c>
      <c r="AN4" s="38">
        <v>3.0</v>
      </c>
      <c r="AO4" s="38">
        <v>3.0</v>
      </c>
      <c r="AP4" s="38">
        <v>3.0</v>
      </c>
      <c r="AQ4" s="38">
        <v>3.0</v>
      </c>
      <c r="AR4" s="38">
        <v>3.0</v>
      </c>
      <c r="AS4" s="38">
        <v>3.0</v>
      </c>
      <c r="AT4" s="38">
        <v>3.0</v>
      </c>
    </row>
    <row r="5" ht="66.0" customHeight="1">
      <c r="A5" s="1"/>
      <c r="C5" s="39" t="s">
        <v>42</v>
      </c>
      <c r="D5" s="40" t="s">
        <v>43</v>
      </c>
      <c r="E5" s="41" t="s">
        <v>44</v>
      </c>
      <c r="F5" s="42" t="s">
        <v>45</v>
      </c>
      <c r="G5" s="42" t="s">
        <v>46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</row>
    <row r="6" ht="30.0" customHeight="1">
      <c r="A6" s="1"/>
      <c r="C6" s="43"/>
      <c r="D6" s="44"/>
      <c r="E6" s="44"/>
      <c r="F6" s="45"/>
      <c r="G6" s="46" t="str">
        <f t="shared" ref="G6:G25" si="1">IF(ISERROR(VLOOKUP(D6,$I$8:$J$12,2,FALSE)*VLOOKUP(E6,$I$16:$J$20,2,FALSE)*VLOOKUP(F6,$I$24:$J$28,2,FALSE)),"",VLOOKUP(D6,$I$8:$J$12,2,FALSE)*VLOOKUP(E6,$I$16:$J$20,2,FALSE)*VLOOKUP(F6,$I$24:$J$28,2,FALSE))</f>
        <v/>
      </c>
      <c r="H6" s="31"/>
      <c r="I6" s="32" t="s">
        <v>38</v>
      </c>
      <c r="J6" s="32"/>
      <c r="K6" s="32"/>
      <c r="L6" s="32">
        <v>2.0E-4</v>
      </c>
      <c r="M6" s="47" t="str">
        <f t="shared" ref="M6:M25" si="2">IF(G6="","",G6+L6)</f>
        <v/>
      </c>
      <c r="N6" s="48" t="str">
        <f t="shared" ref="N6:N25" si="3">IF(C6=0,"",C6)</f>
        <v/>
      </c>
      <c r="O6" s="47" t="str">
        <f t="shared" ref="O6:O25" si="4">G6</f>
        <v/>
      </c>
      <c r="P6" s="49"/>
      <c r="Q6" s="31"/>
      <c r="R6" s="31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</row>
    <row r="7" ht="30.0" customHeight="1">
      <c r="A7" s="1"/>
      <c r="C7" s="43"/>
      <c r="D7" s="44"/>
      <c r="E7" s="44"/>
      <c r="F7" s="45"/>
      <c r="G7" s="46" t="str">
        <f t="shared" si="1"/>
        <v/>
      </c>
      <c r="H7" s="50"/>
      <c r="I7" s="51"/>
      <c r="J7" s="32"/>
      <c r="K7" s="32"/>
      <c r="L7" s="32">
        <v>1.9E-4</v>
      </c>
      <c r="M7" s="47" t="str">
        <f t="shared" si="2"/>
        <v/>
      </c>
      <c r="N7" s="48" t="str">
        <f t="shared" si="3"/>
        <v/>
      </c>
      <c r="O7" s="47" t="str">
        <f t="shared" si="4"/>
        <v/>
      </c>
      <c r="P7" s="49"/>
      <c r="Q7" s="31"/>
      <c r="R7" s="31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</row>
    <row r="8" ht="30.0" customHeight="1">
      <c r="A8" s="1"/>
      <c r="C8" s="43"/>
      <c r="D8" s="44"/>
      <c r="E8" s="44"/>
      <c r="F8" s="45"/>
      <c r="G8" s="46" t="str">
        <f t="shared" si="1"/>
        <v/>
      </c>
      <c r="H8" s="52"/>
      <c r="I8" s="32" t="s">
        <v>47</v>
      </c>
      <c r="J8" s="51">
        <v>1.0</v>
      </c>
      <c r="K8" s="32"/>
      <c r="L8" s="32">
        <v>1.8E-4</v>
      </c>
      <c r="M8" s="47" t="str">
        <f t="shared" si="2"/>
        <v/>
      </c>
      <c r="N8" s="48" t="str">
        <f t="shared" si="3"/>
        <v/>
      </c>
      <c r="O8" s="47" t="str">
        <f t="shared" si="4"/>
        <v/>
      </c>
      <c r="P8" s="49"/>
      <c r="Q8" s="31"/>
      <c r="R8" s="31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</row>
    <row r="9" ht="30.0" customHeight="1">
      <c r="A9" s="1"/>
      <c r="C9" s="43"/>
      <c r="D9" s="44"/>
      <c r="E9" s="44"/>
      <c r="F9" s="45"/>
      <c r="G9" s="46" t="str">
        <f t="shared" si="1"/>
        <v/>
      </c>
      <c r="H9" s="31"/>
      <c r="I9" s="32" t="s">
        <v>48</v>
      </c>
      <c r="J9" s="51">
        <v>2.0</v>
      </c>
      <c r="K9" s="32"/>
      <c r="L9" s="32">
        <v>1.7E-4</v>
      </c>
      <c r="M9" s="47" t="str">
        <f t="shared" si="2"/>
        <v/>
      </c>
      <c r="N9" s="48" t="str">
        <f t="shared" si="3"/>
        <v/>
      </c>
      <c r="O9" s="47" t="str">
        <f t="shared" si="4"/>
        <v/>
      </c>
      <c r="P9" s="49"/>
      <c r="Q9" s="31"/>
      <c r="R9" s="31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</row>
    <row r="10" ht="30.0" customHeight="1">
      <c r="A10" s="1"/>
      <c r="C10" s="43"/>
      <c r="D10" s="44"/>
      <c r="E10" s="44"/>
      <c r="F10" s="45"/>
      <c r="G10" s="46" t="str">
        <f t="shared" si="1"/>
        <v/>
      </c>
      <c r="H10" s="31"/>
      <c r="I10" s="32" t="s">
        <v>49</v>
      </c>
      <c r="J10" s="51">
        <v>3.0</v>
      </c>
      <c r="K10" s="32"/>
      <c r="L10" s="32">
        <v>1.6E-4</v>
      </c>
      <c r="M10" s="32" t="str">
        <f t="shared" si="2"/>
        <v/>
      </c>
      <c r="N10" s="32" t="str">
        <f t="shared" si="3"/>
        <v/>
      </c>
      <c r="O10" s="47" t="str">
        <f t="shared" si="4"/>
        <v/>
      </c>
      <c r="P10" s="49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</row>
    <row r="11" ht="30.0" customHeight="1">
      <c r="A11" s="1"/>
      <c r="C11" s="43"/>
      <c r="D11" s="44"/>
      <c r="E11" s="44"/>
      <c r="F11" s="45"/>
      <c r="G11" s="46" t="str">
        <f t="shared" si="1"/>
        <v/>
      </c>
      <c r="H11" s="31"/>
      <c r="I11" s="32" t="s">
        <v>50</v>
      </c>
      <c r="J11" s="51">
        <v>4.0</v>
      </c>
      <c r="K11" s="32"/>
      <c r="L11" s="32">
        <v>1.5E-4</v>
      </c>
      <c r="M11" s="32" t="str">
        <f t="shared" si="2"/>
        <v/>
      </c>
      <c r="N11" s="32" t="str">
        <f t="shared" si="3"/>
        <v/>
      </c>
      <c r="O11" s="47" t="str">
        <f t="shared" si="4"/>
        <v/>
      </c>
      <c r="P11" s="49"/>
      <c r="Q11" s="31"/>
      <c r="R11" s="31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</row>
    <row r="12" ht="30.0" customHeight="1">
      <c r="A12" s="1"/>
      <c r="C12" s="43"/>
      <c r="D12" s="44"/>
      <c r="E12" s="44"/>
      <c r="F12" s="45"/>
      <c r="G12" s="46" t="str">
        <f t="shared" si="1"/>
        <v/>
      </c>
      <c r="H12" s="31"/>
      <c r="I12" s="32" t="s">
        <v>51</v>
      </c>
      <c r="J12" s="51">
        <v>5.0</v>
      </c>
      <c r="K12" s="32"/>
      <c r="L12" s="32">
        <v>1.4E-4</v>
      </c>
      <c r="M12" s="32" t="str">
        <f t="shared" si="2"/>
        <v/>
      </c>
      <c r="N12" s="32" t="str">
        <f t="shared" si="3"/>
        <v/>
      </c>
      <c r="O12" s="47" t="str">
        <f t="shared" si="4"/>
        <v/>
      </c>
      <c r="P12" s="49"/>
      <c r="Q12" s="31"/>
      <c r="R12" s="31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</row>
    <row r="13" ht="30.0" customHeight="1">
      <c r="A13" s="1"/>
      <c r="C13" s="43"/>
      <c r="D13" s="44"/>
      <c r="E13" s="44"/>
      <c r="F13" s="45"/>
      <c r="G13" s="46" t="str">
        <f t="shared" si="1"/>
        <v/>
      </c>
      <c r="H13" s="31"/>
      <c r="I13" s="32"/>
      <c r="J13" s="32"/>
      <c r="K13" s="32"/>
      <c r="L13" s="32">
        <v>1.3E-4</v>
      </c>
      <c r="M13" s="32" t="str">
        <f t="shared" si="2"/>
        <v/>
      </c>
      <c r="N13" s="32" t="str">
        <f t="shared" si="3"/>
        <v/>
      </c>
      <c r="O13" s="47" t="str">
        <f t="shared" si="4"/>
        <v/>
      </c>
      <c r="P13" s="49"/>
      <c r="Q13" s="31"/>
      <c r="R13" s="31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</row>
    <row r="14" ht="30.0" customHeight="1">
      <c r="A14" s="1"/>
      <c r="C14" s="43"/>
      <c r="D14" s="44"/>
      <c r="E14" s="44"/>
      <c r="F14" s="45"/>
      <c r="G14" s="46" t="str">
        <f t="shared" si="1"/>
        <v/>
      </c>
      <c r="H14" s="31"/>
      <c r="I14" s="32" t="s">
        <v>39</v>
      </c>
      <c r="J14" s="32"/>
      <c r="K14" s="32"/>
      <c r="L14" s="32">
        <v>1.2E-4</v>
      </c>
      <c r="M14" s="32" t="str">
        <f t="shared" si="2"/>
        <v/>
      </c>
      <c r="N14" s="32" t="str">
        <f t="shared" si="3"/>
        <v/>
      </c>
      <c r="O14" s="47" t="str">
        <f t="shared" si="4"/>
        <v/>
      </c>
      <c r="P14" s="49"/>
      <c r="Q14" s="31"/>
      <c r="R14" s="31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</row>
    <row r="15" ht="30.0" customHeight="1">
      <c r="A15" s="1"/>
      <c r="C15" s="43"/>
      <c r="D15" s="44"/>
      <c r="E15" s="44"/>
      <c r="F15" s="45"/>
      <c r="G15" s="46" t="str">
        <f t="shared" si="1"/>
        <v/>
      </c>
      <c r="H15" s="31"/>
      <c r="I15" s="51"/>
      <c r="J15" s="32"/>
      <c r="K15" s="32"/>
      <c r="L15" s="32">
        <v>1.1E-4</v>
      </c>
      <c r="M15" s="32" t="str">
        <f t="shared" si="2"/>
        <v/>
      </c>
      <c r="N15" s="32" t="str">
        <f t="shared" si="3"/>
        <v/>
      </c>
      <c r="O15" s="47" t="str">
        <f t="shared" si="4"/>
        <v/>
      </c>
      <c r="P15" s="49"/>
      <c r="Q15" s="31"/>
      <c r="R15" s="31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</row>
    <row r="16" ht="30.0" customHeight="1">
      <c r="A16" s="1"/>
      <c r="B16" s="31"/>
      <c r="C16" s="43"/>
      <c r="D16" s="44"/>
      <c r="E16" s="44"/>
      <c r="F16" s="45"/>
      <c r="G16" s="46" t="str">
        <f t="shared" si="1"/>
        <v/>
      </c>
      <c r="H16" s="31"/>
      <c r="I16" s="32" t="s">
        <v>52</v>
      </c>
      <c r="J16" s="51">
        <v>5.0</v>
      </c>
      <c r="K16" s="32"/>
      <c r="L16" s="32">
        <v>1.0E-4</v>
      </c>
      <c r="M16" s="32" t="str">
        <f t="shared" si="2"/>
        <v/>
      </c>
      <c r="N16" s="32" t="str">
        <f t="shared" si="3"/>
        <v/>
      </c>
      <c r="O16" s="47" t="str">
        <f t="shared" si="4"/>
        <v/>
      </c>
      <c r="P16" s="49"/>
      <c r="Q16" s="31"/>
      <c r="R16" s="31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</row>
    <row r="17" ht="30.0" customHeight="1">
      <c r="A17" s="1"/>
      <c r="B17" s="31"/>
      <c r="C17" s="43"/>
      <c r="D17" s="44"/>
      <c r="E17" s="44"/>
      <c r="F17" s="45"/>
      <c r="G17" s="46" t="str">
        <f t="shared" si="1"/>
        <v/>
      </c>
      <c r="H17" s="31"/>
      <c r="I17" s="32" t="s">
        <v>53</v>
      </c>
      <c r="J17" s="51">
        <v>4.0</v>
      </c>
      <c r="K17" s="32"/>
      <c r="L17" s="32">
        <v>9.0E-5</v>
      </c>
      <c r="M17" s="32" t="str">
        <f t="shared" si="2"/>
        <v/>
      </c>
      <c r="N17" s="32" t="str">
        <f t="shared" si="3"/>
        <v/>
      </c>
      <c r="O17" s="47" t="str">
        <f t="shared" si="4"/>
        <v/>
      </c>
      <c r="P17" s="49"/>
      <c r="Q17" s="31"/>
      <c r="R17" s="31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</row>
    <row r="18" ht="30.0" customHeight="1">
      <c r="A18" s="1"/>
      <c r="B18" s="31"/>
      <c r="C18" s="43"/>
      <c r="D18" s="44"/>
      <c r="E18" s="44"/>
      <c r="F18" s="45"/>
      <c r="G18" s="46" t="str">
        <f t="shared" si="1"/>
        <v/>
      </c>
      <c r="H18" s="31"/>
      <c r="I18" s="32" t="s">
        <v>54</v>
      </c>
      <c r="J18" s="51">
        <v>3.0</v>
      </c>
      <c r="K18" s="32"/>
      <c r="L18" s="32">
        <v>8.0E-5</v>
      </c>
      <c r="M18" s="32" t="str">
        <f t="shared" si="2"/>
        <v/>
      </c>
      <c r="N18" s="32" t="str">
        <f t="shared" si="3"/>
        <v/>
      </c>
      <c r="O18" s="47" t="str">
        <f t="shared" si="4"/>
        <v/>
      </c>
      <c r="P18" s="49"/>
      <c r="Q18" s="31"/>
      <c r="R18" s="31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</row>
    <row r="19" ht="30.0" customHeight="1">
      <c r="A19" s="1"/>
      <c r="B19" s="31"/>
      <c r="C19" s="43"/>
      <c r="D19" s="44"/>
      <c r="E19" s="44"/>
      <c r="F19" s="45"/>
      <c r="G19" s="46" t="str">
        <f t="shared" si="1"/>
        <v/>
      </c>
      <c r="H19" s="31"/>
      <c r="I19" s="32" t="s">
        <v>55</v>
      </c>
      <c r="J19" s="51">
        <v>2.0</v>
      </c>
      <c r="K19" s="32"/>
      <c r="L19" s="32">
        <v>7.0E-5</v>
      </c>
      <c r="M19" s="32" t="str">
        <f t="shared" si="2"/>
        <v/>
      </c>
      <c r="N19" s="32" t="str">
        <f t="shared" si="3"/>
        <v/>
      </c>
      <c r="O19" s="47" t="str">
        <f t="shared" si="4"/>
        <v/>
      </c>
      <c r="P19" s="49"/>
      <c r="Q19" s="31"/>
      <c r="R19" s="31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</row>
    <row r="20" ht="30.0" customHeight="1">
      <c r="A20" s="1"/>
      <c r="B20" s="31"/>
      <c r="C20" s="43"/>
      <c r="D20" s="44"/>
      <c r="E20" s="44"/>
      <c r="F20" s="45"/>
      <c r="G20" s="46" t="str">
        <f t="shared" si="1"/>
        <v/>
      </c>
      <c r="H20" s="31"/>
      <c r="I20" s="32" t="s">
        <v>56</v>
      </c>
      <c r="J20" s="51">
        <v>1.0</v>
      </c>
      <c r="K20" s="32"/>
      <c r="L20" s="32">
        <v>6.0E-5</v>
      </c>
      <c r="M20" s="32" t="str">
        <f t="shared" si="2"/>
        <v/>
      </c>
      <c r="N20" s="32" t="str">
        <f t="shared" si="3"/>
        <v/>
      </c>
      <c r="O20" s="47" t="str">
        <f t="shared" si="4"/>
        <v/>
      </c>
      <c r="P20" s="49"/>
      <c r="Q20" s="31"/>
      <c r="R20" s="31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</row>
    <row r="21" ht="30.0" customHeight="1">
      <c r="A21" s="1"/>
      <c r="B21" s="31"/>
      <c r="C21" s="43"/>
      <c r="D21" s="44"/>
      <c r="E21" s="44"/>
      <c r="F21" s="45"/>
      <c r="G21" s="46" t="str">
        <f t="shared" si="1"/>
        <v/>
      </c>
      <c r="H21" s="31"/>
      <c r="I21" s="32"/>
      <c r="J21" s="32"/>
      <c r="K21" s="32"/>
      <c r="L21" s="32">
        <v>5.0E-5</v>
      </c>
      <c r="M21" s="32" t="str">
        <f t="shared" si="2"/>
        <v/>
      </c>
      <c r="N21" s="32" t="str">
        <f t="shared" si="3"/>
        <v/>
      </c>
      <c r="O21" s="47" t="str">
        <f t="shared" si="4"/>
        <v/>
      </c>
      <c r="P21" s="49"/>
      <c r="Q21" s="31"/>
      <c r="R21" s="31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</row>
    <row r="22" ht="30.0" customHeight="1">
      <c r="A22" s="1"/>
      <c r="B22" s="31"/>
      <c r="C22" s="43"/>
      <c r="D22" s="44"/>
      <c r="E22" s="44"/>
      <c r="F22" s="45"/>
      <c r="G22" s="46" t="str">
        <f t="shared" si="1"/>
        <v/>
      </c>
      <c r="H22" s="31"/>
      <c r="I22" s="32" t="s">
        <v>40</v>
      </c>
      <c r="J22" s="32"/>
      <c r="K22" s="32"/>
      <c r="L22" s="32">
        <v>4.0E-5</v>
      </c>
      <c r="M22" s="32" t="str">
        <f t="shared" si="2"/>
        <v/>
      </c>
      <c r="N22" s="32" t="str">
        <f t="shared" si="3"/>
        <v/>
      </c>
      <c r="O22" s="47" t="str">
        <f t="shared" si="4"/>
        <v/>
      </c>
      <c r="P22" s="49"/>
      <c r="Q22" s="31"/>
      <c r="R22" s="31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</row>
    <row r="23" ht="30.0" customHeight="1">
      <c r="A23" s="1"/>
      <c r="B23" s="31"/>
      <c r="C23" s="43"/>
      <c r="D23" s="44"/>
      <c r="E23" s="44"/>
      <c r="F23" s="45"/>
      <c r="G23" s="46" t="str">
        <f t="shared" si="1"/>
        <v/>
      </c>
      <c r="H23" s="31"/>
      <c r="I23" s="51"/>
      <c r="J23" s="32"/>
      <c r="K23" s="32"/>
      <c r="L23" s="32">
        <v>3.0E-5</v>
      </c>
      <c r="M23" s="32" t="str">
        <f t="shared" si="2"/>
        <v/>
      </c>
      <c r="N23" s="32" t="str">
        <f t="shared" si="3"/>
        <v/>
      </c>
      <c r="O23" s="47" t="str">
        <f t="shared" si="4"/>
        <v/>
      </c>
      <c r="P23" s="49"/>
      <c r="Q23" s="31"/>
      <c r="R23" s="31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</row>
    <row r="24" ht="30.0" customHeight="1">
      <c r="A24" s="1"/>
      <c r="B24" s="31"/>
      <c r="C24" s="43"/>
      <c r="D24" s="44"/>
      <c r="E24" s="44"/>
      <c r="F24" s="45"/>
      <c r="G24" s="46" t="str">
        <f t="shared" si="1"/>
        <v/>
      </c>
      <c r="H24" s="31"/>
      <c r="I24" s="32" t="s">
        <v>57</v>
      </c>
      <c r="J24" s="51">
        <v>5.0</v>
      </c>
      <c r="K24" s="32"/>
      <c r="L24" s="32">
        <v>2.0E-5</v>
      </c>
      <c r="M24" s="32" t="str">
        <f t="shared" si="2"/>
        <v/>
      </c>
      <c r="N24" s="32" t="str">
        <f t="shared" si="3"/>
        <v/>
      </c>
      <c r="O24" s="47" t="str">
        <f t="shared" si="4"/>
        <v/>
      </c>
      <c r="P24" s="49"/>
      <c r="Q24" s="31"/>
      <c r="R24" s="31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</row>
    <row r="25" ht="30.0" customHeight="1">
      <c r="A25" s="1"/>
      <c r="B25" s="31"/>
      <c r="C25" s="43"/>
      <c r="D25" s="44"/>
      <c r="E25" s="44"/>
      <c r="F25" s="45"/>
      <c r="G25" s="46" t="str">
        <f t="shared" si="1"/>
        <v/>
      </c>
      <c r="H25" s="31"/>
      <c r="I25" s="32" t="s">
        <v>58</v>
      </c>
      <c r="J25" s="51">
        <v>4.0</v>
      </c>
      <c r="K25" s="32"/>
      <c r="L25" s="32">
        <v>1.0E-5</v>
      </c>
      <c r="M25" s="32" t="str">
        <f t="shared" si="2"/>
        <v/>
      </c>
      <c r="N25" s="32" t="str">
        <f t="shared" si="3"/>
        <v/>
      </c>
      <c r="O25" s="47" t="str">
        <f t="shared" si="4"/>
        <v/>
      </c>
      <c r="P25" s="49"/>
      <c r="Q25" s="31"/>
      <c r="R25" s="31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</row>
    <row r="26" ht="30.0" customHeight="1">
      <c r="A26" s="1"/>
      <c r="B26" s="31"/>
      <c r="C26" s="53" t="s">
        <v>59</v>
      </c>
      <c r="D26" s="54"/>
      <c r="E26" s="54"/>
      <c r="F26" s="55" t="s">
        <v>60</v>
      </c>
      <c r="G26" s="56">
        <f>SUM(G6:G25)</f>
        <v>0</v>
      </c>
      <c r="H26" s="31"/>
      <c r="I26" s="32" t="s">
        <v>61</v>
      </c>
      <c r="J26" s="51">
        <v>3.0</v>
      </c>
      <c r="K26" s="32"/>
      <c r="L26" s="32"/>
      <c r="M26" s="32"/>
      <c r="N26" s="32"/>
      <c r="O26" s="47"/>
      <c r="P26" s="49"/>
      <c r="Q26" s="31"/>
      <c r="R26" s="31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</row>
    <row r="27" ht="30.0" customHeight="1">
      <c r="A27" s="1"/>
      <c r="B27" s="31"/>
      <c r="H27" s="31"/>
      <c r="I27" s="32" t="s">
        <v>62</v>
      </c>
      <c r="J27" s="51">
        <v>2.0</v>
      </c>
      <c r="K27" s="32"/>
      <c r="L27" s="32"/>
      <c r="M27" s="32"/>
      <c r="N27" s="32"/>
      <c r="O27" s="47"/>
      <c r="P27" s="49"/>
      <c r="Q27" s="31"/>
      <c r="R27" s="31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</row>
    <row r="28" ht="30.0" customHeight="1">
      <c r="A28" s="1"/>
      <c r="B28" s="31"/>
      <c r="H28" s="31"/>
      <c r="I28" s="32" t="s">
        <v>63</v>
      </c>
      <c r="J28" s="51">
        <v>1.0</v>
      </c>
      <c r="K28" s="32"/>
      <c r="L28" s="32"/>
      <c r="M28" s="32"/>
      <c r="N28" s="32"/>
      <c r="O28" s="47"/>
      <c r="P28" s="49"/>
      <c r="Q28" s="31"/>
      <c r="R28" s="31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</row>
    <row r="29" ht="30.0" customHeight="1">
      <c r="A29" s="1"/>
      <c r="B29" s="31"/>
      <c r="H29" s="31"/>
      <c r="I29" s="31"/>
      <c r="J29" s="31"/>
      <c r="K29" s="31"/>
      <c r="L29" s="31"/>
      <c r="M29" s="31"/>
      <c r="N29" s="31"/>
      <c r="O29" s="57"/>
      <c r="P29" s="49"/>
      <c r="Q29" s="31"/>
      <c r="R29" s="31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</row>
    <row r="30" ht="30.0" customHeight="1">
      <c r="A30" s="1"/>
      <c r="B30" s="31"/>
      <c r="H30" s="31"/>
      <c r="I30" s="31"/>
      <c r="J30" s="31"/>
      <c r="K30" s="31"/>
      <c r="L30" s="31"/>
      <c r="M30" s="31"/>
      <c r="N30" s="31"/>
      <c r="O30" s="57"/>
      <c r="P30" s="49"/>
      <c r="Q30" s="31"/>
      <c r="R30" s="31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</row>
    <row r="31" ht="30.0" customHeight="1">
      <c r="A31" s="1"/>
      <c r="B31" s="31"/>
      <c r="H31" s="31"/>
      <c r="I31" s="31"/>
      <c r="J31" s="31"/>
      <c r="K31" s="31"/>
      <c r="L31" s="31"/>
      <c r="M31" s="31"/>
      <c r="N31" s="31"/>
      <c r="O31" s="57"/>
      <c r="P31" s="49"/>
      <c r="Q31" s="31"/>
      <c r="R31" s="31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</row>
    <row r="32" ht="30.0" customHeight="1">
      <c r="A32" s="1"/>
      <c r="B32" s="31"/>
      <c r="H32" s="31"/>
      <c r="I32" s="31"/>
      <c r="J32" s="31"/>
      <c r="K32" s="31"/>
      <c r="L32" s="31"/>
      <c r="M32" s="31"/>
      <c r="N32" s="31"/>
      <c r="O32" s="57"/>
      <c r="P32" s="49"/>
      <c r="Q32" s="31"/>
      <c r="R32" s="31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</row>
    <row r="33" ht="30.0" customHeight="1">
      <c r="A33" s="1"/>
      <c r="B33" s="31"/>
      <c r="H33" s="31"/>
      <c r="I33" s="31"/>
      <c r="J33" s="31"/>
      <c r="K33" s="31"/>
      <c r="L33" s="31"/>
      <c r="M33" s="31"/>
      <c r="N33" s="31"/>
      <c r="O33" s="57"/>
      <c r="P33" s="49"/>
      <c r="Q33" s="31"/>
      <c r="R33" s="31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</row>
    <row r="34" ht="30.0" customHeight="1">
      <c r="A34" s="1"/>
      <c r="B34" s="31"/>
      <c r="H34" s="31"/>
      <c r="I34" s="31"/>
      <c r="J34" s="31"/>
      <c r="K34" s="31"/>
      <c r="L34" s="31"/>
      <c r="M34" s="31"/>
      <c r="N34" s="31"/>
      <c r="O34" s="57"/>
      <c r="P34" s="49"/>
      <c r="Q34" s="31"/>
      <c r="R34" s="31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</row>
    <row r="35" ht="30.0" customHeight="1">
      <c r="A35" s="1"/>
      <c r="B35" s="31"/>
      <c r="H35" s="31"/>
      <c r="I35" s="31"/>
      <c r="J35" s="31"/>
      <c r="K35" s="31"/>
      <c r="L35" s="31"/>
      <c r="M35" s="31"/>
      <c r="N35" s="31"/>
      <c r="O35" s="57"/>
      <c r="P35" s="49"/>
      <c r="Q35" s="31"/>
      <c r="R35" s="31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</row>
    <row r="36" ht="30.0" customHeight="1">
      <c r="A36" s="1"/>
      <c r="B36" s="31"/>
      <c r="H36" s="31"/>
      <c r="I36" s="31"/>
      <c r="J36" s="31"/>
      <c r="K36" s="31"/>
      <c r="L36" s="31"/>
      <c r="M36" s="31"/>
      <c r="N36" s="31"/>
      <c r="O36" s="57"/>
      <c r="P36" s="49"/>
      <c r="Q36" s="31"/>
      <c r="R36" s="31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</row>
    <row r="37" ht="30.0" customHeight="1">
      <c r="A37" s="1"/>
      <c r="B37" s="31"/>
      <c r="H37" s="31"/>
      <c r="I37" s="31"/>
      <c r="J37" s="31"/>
      <c r="K37" s="31"/>
      <c r="L37" s="31"/>
      <c r="M37" s="31"/>
      <c r="N37" s="31"/>
      <c r="O37" s="57"/>
      <c r="P37" s="49"/>
      <c r="Q37" s="31"/>
      <c r="R37" s="31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</row>
    <row r="38" ht="30.0" customHeight="1">
      <c r="A38" s="1"/>
      <c r="B38" s="31"/>
      <c r="H38" s="31"/>
      <c r="I38" s="31"/>
      <c r="J38" s="31"/>
      <c r="K38" s="31"/>
      <c r="L38" s="31"/>
      <c r="M38" s="31"/>
      <c r="N38" s="31"/>
      <c r="O38" s="57"/>
      <c r="P38" s="49"/>
      <c r="Q38" s="31"/>
      <c r="R38" s="31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</row>
    <row r="39" ht="30.0" customHeight="1">
      <c r="A39" s="1"/>
      <c r="B39" s="31"/>
      <c r="H39" s="31"/>
      <c r="I39" s="31"/>
      <c r="J39" s="31"/>
      <c r="K39" s="31"/>
      <c r="L39" s="31"/>
      <c r="M39" s="31"/>
      <c r="N39" s="31"/>
      <c r="O39" s="57"/>
      <c r="P39" s="49"/>
      <c r="Q39" s="31"/>
      <c r="R39" s="31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</row>
    <row r="40" ht="30.0" customHeight="1">
      <c r="A40" s="1"/>
      <c r="B40" s="31"/>
      <c r="H40" s="31"/>
      <c r="I40" s="31"/>
      <c r="J40" s="31"/>
      <c r="K40" s="31"/>
      <c r="L40" s="31"/>
      <c r="M40" s="31"/>
      <c r="N40" s="31"/>
      <c r="O40" s="57"/>
      <c r="P40" s="49"/>
      <c r="Q40" s="31"/>
      <c r="R40" s="31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</row>
    <row r="41" ht="30.0" customHeight="1">
      <c r="A41" s="1"/>
      <c r="B41" s="31"/>
      <c r="H41" s="31"/>
      <c r="I41" s="31"/>
      <c r="J41" s="31"/>
      <c r="K41" s="31"/>
      <c r="L41" s="31"/>
      <c r="M41" s="31"/>
      <c r="N41" s="31"/>
      <c r="O41" s="57"/>
      <c r="P41" s="49"/>
      <c r="Q41" s="31"/>
      <c r="R41" s="31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</row>
    <row r="42" ht="30.0" customHeight="1">
      <c r="A42" s="1"/>
      <c r="B42" s="31"/>
      <c r="H42" s="31"/>
      <c r="I42" s="31"/>
      <c r="J42" s="31"/>
      <c r="K42" s="31"/>
      <c r="L42" s="31"/>
      <c r="M42" s="31"/>
      <c r="N42" s="31"/>
      <c r="O42" s="57"/>
      <c r="P42" s="49"/>
      <c r="Q42" s="31"/>
      <c r="R42" s="31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</row>
    <row r="43" ht="30.0" customHeight="1">
      <c r="A43" s="1"/>
      <c r="B43" s="31"/>
      <c r="H43" s="31"/>
      <c r="I43" s="31"/>
      <c r="J43" s="31"/>
      <c r="K43" s="31"/>
      <c r="L43" s="31"/>
      <c r="M43" s="31"/>
      <c r="N43" s="31"/>
      <c r="O43" s="57"/>
      <c r="P43" s="49"/>
      <c r="Q43" s="31"/>
      <c r="R43" s="31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</row>
    <row r="44" ht="30.0" customHeight="1">
      <c r="A44" s="1"/>
      <c r="B44" s="31"/>
      <c r="H44" s="31"/>
      <c r="I44" s="31"/>
      <c r="J44" s="31"/>
      <c r="K44" s="31"/>
      <c r="L44" s="31"/>
      <c r="M44" s="31"/>
      <c r="N44" s="31"/>
      <c r="O44" s="57"/>
      <c r="P44" s="49"/>
      <c r="Q44" s="31"/>
      <c r="R44" s="31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</row>
    <row r="45" ht="30.0" customHeight="1">
      <c r="A45" s="1"/>
      <c r="B45" s="31"/>
      <c r="H45" s="31"/>
      <c r="I45" s="31"/>
      <c r="J45" s="31"/>
      <c r="K45" s="31"/>
      <c r="L45" s="31"/>
      <c r="M45" s="31"/>
      <c r="N45" s="31"/>
      <c r="O45" s="57"/>
      <c r="P45" s="49"/>
      <c r="Q45" s="31"/>
      <c r="R45" s="31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</row>
    <row r="46" ht="37.5" customHeight="1">
      <c r="A46" s="1"/>
      <c r="B46" s="31"/>
      <c r="H46" s="31"/>
      <c r="I46" s="31"/>
      <c r="J46" s="31"/>
      <c r="K46" s="31"/>
      <c r="L46" s="31"/>
      <c r="M46" s="31"/>
      <c r="N46" s="49"/>
      <c r="O46" s="31"/>
      <c r="P46" s="31"/>
      <c r="Q46" s="31"/>
      <c r="R46" s="31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</row>
    <row r="47" ht="30.0" customHeight="1">
      <c r="A47" s="1"/>
      <c r="B47" s="31"/>
      <c r="H47" s="31"/>
      <c r="I47" s="31"/>
      <c r="J47" s="31"/>
      <c r="K47" s="31"/>
      <c r="L47" s="31"/>
      <c r="M47" s="31"/>
      <c r="N47" s="49"/>
      <c r="O47" s="31"/>
      <c r="P47" s="31"/>
      <c r="Q47" s="31"/>
      <c r="R47" s="31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</row>
    <row r="48" ht="30.0" customHeight="1">
      <c r="A48" s="1"/>
      <c r="B48" s="31"/>
      <c r="H48" s="31"/>
      <c r="I48" s="31"/>
      <c r="J48" s="31"/>
      <c r="K48" s="31"/>
      <c r="L48" s="31"/>
      <c r="M48" s="31"/>
      <c r="N48" s="49"/>
      <c r="O48" s="31"/>
      <c r="P48" s="31"/>
      <c r="Q48" s="31"/>
      <c r="R48" s="31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</row>
    <row r="49" ht="30.0" customHeight="1">
      <c r="A49" s="1"/>
      <c r="B49" s="31"/>
      <c r="D49" s="58"/>
      <c r="E49" s="58"/>
      <c r="H49" s="31"/>
      <c r="I49" s="31"/>
      <c r="J49" s="31"/>
      <c r="K49" s="31"/>
      <c r="L49" s="31"/>
      <c r="M49" s="31"/>
      <c r="N49" s="49"/>
      <c r="O49" s="31"/>
      <c r="P49" s="31"/>
      <c r="Q49" s="31"/>
      <c r="R49" s="31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</row>
    <row r="50" ht="30.0" hidden="1" customHeight="1">
      <c r="A50" s="1"/>
      <c r="B50" s="31"/>
      <c r="D50" s="58"/>
      <c r="E50" s="58"/>
      <c r="H50" s="31"/>
      <c r="I50" s="31"/>
      <c r="J50" s="31"/>
      <c r="K50" s="31"/>
      <c r="L50" s="31"/>
      <c r="M50" s="31"/>
      <c r="N50" s="49"/>
      <c r="O50" s="31"/>
      <c r="P50" s="31"/>
      <c r="Q50" s="31"/>
      <c r="R50" s="31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</row>
    <row r="51" ht="30.0" hidden="1" customHeight="1">
      <c r="A51" s="1"/>
      <c r="B51" s="31"/>
      <c r="D51" s="58"/>
      <c r="E51" s="58"/>
      <c r="H51" s="31"/>
      <c r="I51" s="31"/>
      <c r="J51" s="31"/>
      <c r="K51" s="31"/>
      <c r="L51" s="31"/>
      <c r="M51" s="31"/>
      <c r="N51" s="49"/>
      <c r="O51" s="31"/>
      <c r="P51" s="31"/>
      <c r="Q51" s="31"/>
      <c r="R51" s="31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</row>
    <row r="52" ht="30.0" hidden="1" customHeight="1">
      <c r="A52" s="1"/>
      <c r="B52" s="31"/>
      <c r="D52" s="58"/>
      <c r="E52" s="58"/>
      <c r="H52" s="31"/>
      <c r="I52" s="31"/>
      <c r="J52" s="31"/>
      <c r="K52" s="31"/>
      <c r="L52" s="31"/>
      <c r="M52" s="31"/>
      <c r="N52" s="49"/>
      <c r="O52" s="31"/>
      <c r="P52" s="31"/>
      <c r="Q52" s="31"/>
      <c r="R52" s="31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</row>
    <row r="53" ht="30.0" hidden="1" customHeight="1">
      <c r="A53" s="1"/>
      <c r="B53" s="31"/>
      <c r="D53" s="58"/>
      <c r="E53" s="58"/>
      <c r="H53" s="31"/>
      <c r="I53" s="31"/>
      <c r="J53" s="31"/>
      <c r="K53" s="31"/>
      <c r="L53" s="31"/>
      <c r="M53" s="31"/>
      <c r="N53" s="49"/>
      <c r="O53" s="31"/>
      <c r="P53" s="31"/>
      <c r="Q53" s="31"/>
      <c r="R53" s="31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</row>
    <row r="54" ht="30.0" hidden="1" customHeight="1">
      <c r="A54" s="1"/>
      <c r="B54" s="31"/>
      <c r="D54" s="58"/>
      <c r="E54" s="58"/>
      <c r="H54" s="31"/>
      <c r="I54" s="31"/>
      <c r="J54" s="31"/>
      <c r="K54" s="31"/>
      <c r="L54" s="31"/>
      <c r="M54" s="31"/>
      <c r="N54" s="49"/>
      <c r="O54" s="31"/>
      <c r="P54" s="31"/>
      <c r="Q54" s="31"/>
      <c r="R54" s="31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</row>
    <row r="55" ht="30.0" hidden="1" customHeight="1">
      <c r="A55" s="1"/>
      <c r="D55" s="58"/>
      <c r="E55" s="58"/>
      <c r="H55" s="31"/>
      <c r="I55" s="31"/>
      <c r="J55" s="31"/>
      <c r="K55" s="31"/>
      <c r="L55" s="31"/>
      <c r="M55" s="31"/>
      <c r="N55" s="49"/>
      <c r="O55" s="31"/>
      <c r="P55" s="31"/>
      <c r="Q55" s="31"/>
      <c r="R55" s="31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</row>
    <row r="56" ht="30.0" hidden="1" customHeight="1">
      <c r="A56" s="1"/>
      <c r="D56" s="58"/>
      <c r="E56" s="58"/>
      <c r="H56" s="31"/>
      <c r="I56" s="31"/>
      <c r="J56" s="31"/>
      <c r="K56" s="31"/>
      <c r="L56" s="31"/>
      <c r="M56" s="31"/>
      <c r="N56" s="49"/>
      <c r="O56" s="31"/>
      <c r="P56" s="31"/>
      <c r="Q56" s="31"/>
      <c r="R56" s="31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</row>
    <row r="57" ht="30.0" hidden="1" customHeight="1">
      <c r="A57" s="1"/>
      <c r="D57" s="58"/>
      <c r="E57" s="58"/>
      <c r="H57" s="31"/>
      <c r="I57" s="31"/>
      <c r="J57" s="31"/>
      <c r="K57" s="31"/>
      <c r="L57" s="31"/>
      <c r="M57" s="31"/>
      <c r="N57" s="49"/>
      <c r="O57" s="31"/>
      <c r="P57" s="31"/>
      <c r="Q57" s="31"/>
      <c r="R57" s="31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</row>
    <row r="58" ht="30.0" hidden="1" customHeight="1">
      <c r="A58" s="1"/>
      <c r="D58" s="58"/>
      <c r="E58" s="58"/>
      <c r="H58" s="31"/>
      <c r="I58" s="31"/>
      <c r="J58" s="31"/>
      <c r="K58" s="31"/>
      <c r="L58" s="31"/>
      <c r="M58" s="31"/>
      <c r="N58" s="49"/>
      <c r="O58" s="31"/>
      <c r="P58" s="31"/>
      <c r="Q58" s="31"/>
      <c r="R58" s="31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</row>
    <row r="59" ht="30.0" hidden="1" customHeight="1">
      <c r="A59" s="1"/>
      <c r="D59" s="58"/>
      <c r="E59" s="58"/>
      <c r="H59" s="31"/>
      <c r="I59" s="31"/>
      <c r="J59" s="31"/>
      <c r="K59" s="31"/>
      <c r="L59" s="31"/>
      <c r="M59" s="31"/>
      <c r="N59" s="49"/>
      <c r="O59" s="31"/>
      <c r="P59" s="31"/>
      <c r="Q59" s="31"/>
      <c r="R59" s="31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</row>
    <row r="60" ht="30.0" hidden="1" customHeight="1">
      <c r="A60" s="1"/>
      <c r="D60" s="58"/>
      <c r="E60" s="58"/>
      <c r="H60" s="31"/>
      <c r="I60" s="31"/>
      <c r="J60" s="31"/>
      <c r="K60" s="31"/>
      <c r="L60" s="31"/>
      <c r="M60" s="31"/>
      <c r="N60" s="49"/>
      <c r="O60" s="31"/>
      <c r="P60" s="31"/>
      <c r="Q60" s="31"/>
      <c r="R60" s="31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</row>
    <row r="61" ht="30.0" hidden="1" customHeight="1">
      <c r="A61" s="1"/>
      <c r="D61" s="58"/>
      <c r="E61" s="58"/>
      <c r="H61" s="31"/>
      <c r="I61" s="31"/>
      <c r="J61" s="31"/>
      <c r="K61" s="31"/>
      <c r="L61" s="31"/>
      <c r="M61" s="31"/>
      <c r="N61" s="49"/>
      <c r="O61" s="31"/>
      <c r="P61" s="31"/>
      <c r="Q61" s="31"/>
      <c r="R61" s="31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</row>
    <row r="62" ht="30.0" hidden="1" customHeight="1">
      <c r="A62" s="1"/>
      <c r="D62" s="58"/>
      <c r="E62" s="58"/>
      <c r="H62" s="31"/>
      <c r="I62" s="31"/>
      <c r="J62" s="31"/>
      <c r="K62" s="31"/>
      <c r="L62" s="31"/>
      <c r="M62" s="31"/>
      <c r="N62" s="49"/>
      <c r="O62" s="31"/>
      <c r="P62" s="31"/>
      <c r="Q62" s="31"/>
      <c r="R62" s="31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</row>
    <row r="63" ht="30.0" hidden="1" customHeight="1">
      <c r="A63" s="1"/>
      <c r="D63" s="58"/>
      <c r="E63" s="58"/>
      <c r="H63" s="31"/>
      <c r="I63" s="31"/>
      <c r="J63" s="31"/>
      <c r="K63" s="31"/>
      <c r="L63" s="31"/>
      <c r="M63" s="31"/>
      <c r="N63" s="49"/>
      <c r="O63" s="31"/>
      <c r="P63" s="31"/>
      <c r="Q63" s="31"/>
      <c r="R63" s="31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</row>
    <row r="64" ht="30.0" hidden="1" customHeight="1">
      <c r="A64" s="1"/>
      <c r="D64" s="58"/>
      <c r="E64" s="58"/>
      <c r="H64" s="31"/>
      <c r="I64" s="31"/>
      <c r="J64" s="31"/>
      <c r="K64" s="31"/>
      <c r="L64" s="31"/>
      <c r="M64" s="31"/>
      <c r="N64" s="49"/>
      <c r="O64" s="31"/>
      <c r="P64" s="31"/>
      <c r="Q64" s="31"/>
      <c r="R64" s="31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</row>
    <row r="65" ht="14.25" customHeight="1">
      <c r="A65" s="1"/>
      <c r="D65" s="58"/>
      <c r="E65" s="58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</row>
    <row r="66" ht="14.25" customHeight="1">
      <c r="A66" s="1"/>
      <c r="D66" s="58"/>
      <c r="E66" s="58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</row>
    <row r="67" ht="14.25" customHeight="1">
      <c r="A67" s="1"/>
      <c r="D67" s="58"/>
      <c r="E67" s="58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</row>
    <row r="68" ht="14.25" customHeight="1">
      <c r="A68" s="1"/>
      <c r="D68" s="58"/>
      <c r="E68" s="58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</row>
    <row r="69" ht="14.25" customHeight="1">
      <c r="A69" s="1"/>
      <c r="D69" s="58"/>
      <c r="E69" s="58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</row>
    <row r="70" ht="14.25" customHeight="1">
      <c r="A70" s="1"/>
      <c r="D70" s="58"/>
      <c r="E70" s="58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</row>
    <row r="71" ht="14.25" customHeight="1">
      <c r="A71" s="1"/>
      <c r="D71" s="58"/>
      <c r="E71" s="58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</row>
    <row r="72" ht="14.25" customHeight="1">
      <c r="A72" s="1"/>
      <c r="D72" s="58"/>
      <c r="E72" s="58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</row>
    <row r="73" ht="14.25" customHeight="1">
      <c r="A73" s="1"/>
      <c r="D73" s="58"/>
      <c r="E73" s="58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</row>
    <row r="74" ht="14.25" customHeight="1">
      <c r="A74" s="1"/>
      <c r="D74" s="58"/>
      <c r="E74" s="58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</row>
    <row r="75" ht="14.25" customHeight="1">
      <c r="A75" s="1"/>
      <c r="D75" s="58"/>
      <c r="E75" s="58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</row>
    <row r="76" ht="14.25" customHeight="1">
      <c r="A76" s="1"/>
      <c r="D76" s="58"/>
      <c r="E76" s="58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</row>
    <row r="77" ht="14.25" customHeight="1">
      <c r="A77" s="1"/>
      <c r="D77" s="58"/>
      <c r="E77" s="58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</row>
    <row r="78" ht="14.25" customHeight="1">
      <c r="A78" s="1"/>
      <c r="D78" s="58"/>
      <c r="E78" s="58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</row>
    <row r="79" ht="14.25" customHeight="1">
      <c r="A79" s="1"/>
      <c r="D79" s="58"/>
      <c r="E79" s="58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</row>
    <row r="80" ht="14.25" customHeight="1">
      <c r="A80" s="1"/>
      <c r="D80" s="58"/>
      <c r="E80" s="58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</row>
    <row r="81" ht="14.25" customHeight="1">
      <c r="A81" s="1"/>
      <c r="D81" s="58"/>
      <c r="E81" s="58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</row>
    <row r="82" ht="14.25" customHeight="1">
      <c r="A82" s="1"/>
      <c r="D82" s="58"/>
      <c r="E82" s="58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</row>
    <row r="83" ht="14.25" customHeight="1">
      <c r="A83" s="1"/>
      <c r="D83" s="58"/>
      <c r="E83" s="58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</row>
    <row r="84" ht="14.25" customHeight="1">
      <c r="A84" s="1"/>
      <c r="D84" s="58"/>
      <c r="E84" s="58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</row>
    <row r="85" ht="14.25" customHeight="1">
      <c r="A85" s="1"/>
      <c r="D85" s="58"/>
      <c r="E85" s="58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</row>
    <row r="86" ht="14.25" customHeight="1">
      <c r="A86" s="1"/>
      <c r="D86" s="58"/>
      <c r="E86" s="58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</row>
    <row r="87" ht="14.25" customHeight="1">
      <c r="A87" s="1"/>
      <c r="D87" s="58"/>
      <c r="E87" s="58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</row>
    <row r="88" ht="14.25" customHeight="1">
      <c r="A88" s="1"/>
      <c r="D88" s="58"/>
      <c r="E88" s="58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</row>
    <row r="89" ht="14.25" customHeight="1">
      <c r="A89" s="1"/>
      <c r="D89" s="58"/>
      <c r="E89" s="58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</row>
    <row r="90" ht="14.25" customHeight="1">
      <c r="A90" s="1"/>
      <c r="D90" s="58"/>
      <c r="E90" s="58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</row>
    <row r="91" ht="14.25" customHeight="1">
      <c r="A91" s="1"/>
      <c r="D91" s="58"/>
      <c r="E91" s="58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</row>
    <row r="92" ht="14.25" customHeight="1">
      <c r="A92" s="1"/>
      <c r="D92" s="58"/>
      <c r="E92" s="58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</row>
    <row r="93" ht="14.25" customHeight="1">
      <c r="A93" s="1"/>
      <c r="D93" s="58"/>
      <c r="E93" s="58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</row>
    <row r="94" ht="14.25" customHeight="1">
      <c r="A94" s="1"/>
      <c r="D94" s="58"/>
      <c r="E94" s="58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</row>
    <row r="95" ht="14.25" customHeight="1">
      <c r="A95" s="1"/>
      <c r="D95" s="58"/>
      <c r="E95" s="58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</row>
    <row r="96" ht="14.25" customHeight="1">
      <c r="A96" s="1"/>
      <c r="D96" s="58"/>
      <c r="E96" s="58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</row>
    <row r="97" ht="14.25" customHeight="1">
      <c r="A97" s="1"/>
      <c r="D97" s="58"/>
      <c r="E97" s="58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</row>
    <row r="98" ht="14.25" customHeight="1">
      <c r="A98" s="1"/>
      <c r="D98" s="58"/>
      <c r="E98" s="58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</row>
    <row r="99" ht="14.25" customHeight="1">
      <c r="A99" s="1"/>
      <c r="D99" s="58"/>
      <c r="E99" s="58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</row>
    <row r="100" ht="14.25" customHeight="1">
      <c r="A100" s="1"/>
      <c r="D100" s="58"/>
      <c r="E100" s="58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</row>
    <row r="101" ht="14.25" customHeight="1">
      <c r="A101" s="1"/>
      <c r="D101" s="58"/>
      <c r="E101" s="58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</row>
    <row r="102" ht="14.25" customHeight="1">
      <c r="A102" s="1"/>
      <c r="D102" s="58"/>
      <c r="E102" s="58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</row>
    <row r="103" ht="14.25" customHeight="1">
      <c r="A103" s="1"/>
      <c r="D103" s="58"/>
      <c r="E103" s="58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</row>
    <row r="104" ht="14.25" customHeight="1">
      <c r="A104" s="1"/>
      <c r="D104" s="58"/>
      <c r="E104" s="58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</row>
    <row r="105" ht="14.25" customHeight="1">
      <c r="A105" s="1"/>
      <c r="D105" s="58"/>
      <c r="E105" s="58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</row>
    <row r="106" ht="14.25" customHeight="1">
      <c r="A106" s="1"/>
      <c r="D106" s="58"/>
      <c r="E106" s="58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</row>
    <row r="107" ht="14.25" customHeight="1">
      <c r="A107" s="1"/>
      <c r="D107" s="58"/>
      <c r="E107" s="58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</row>
    <row r="108" ht="14.25" customHeight="1">
      <c r="A108" s="1"/>
      <c r="D108" s="58"/>
      <c r="E108" s="58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</row>
    <row r="109" ht="14.25" customHeight="1">
      <c r="A109" s="1"/>
      <c r="D109" s="58"/>
      <c r="E109" s="58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</row>
    <row r="110" ht="14.25" customHeight="1">
      <c r="A110" s="1"/>
      <c r="D110" s="58"/>
      <c r="E110" s="58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</row>
    <row r="111" ht="14.25" customHeight="1">
      <c r="A111" s="1"/>
      <c r="D111" s="58"/>
      <c r="E111" s="58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</row>
    <row r="112" ht="14.25" customHeight="1">
      <c r="A112" s="1"/>
      <c r="D112" s="58"/>
      <c r="E112" s="58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</row>
    <row r="113" ht="14.25" customHeight="1">
      <c r="A113" s="1"/>
      <c r="D113" s="58"/>
      <c r="E113" s="58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</row>
    <row r="114" ht="14.25" customHeight="1">
      <c r="A114" s="1"/>
      <c r="D114" s="58"/>
      <c r="E114" s="58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</row>
    <row r="115" ht="14.25" customHeight="1">
      <c r="A115" s="1"/>
      <c r="D115" s="58"/>
      <c r="E115" s="58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</row>
    <row r="116" ht="14.25" customHeight="1">
      <c r="A116" s="1"/>
      <c r="D116" s="58"/>
      <c r="E116" s="58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</row>
    <row r="117" ht="14.25" customHeight="1">
      <c r="A117" s="1"/>
      <c r="D117" s="58"/>
      <c r="E117" s="58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</row>
    <row r="118" ht="14.25" customHeight="1">
      <c r="A118" s="1"/>
      <c r="D118" s="58"/>
      <c r="E118" s="58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</row>
    <row r="119" ht="14.25" customHeight="1">
      <c r="A119" s="1"/>
      <c r="D119" s="58"/>
      <c r="E119" s="58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</row>
    <row r="120" ht="14.25" customHeight="1">
      <c r="A120" s="1"/>
      <c r="D120" s="58"/>
      <c r="E120" s="58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</row>
    <row r="121" ht="14.25" customHeight="1">
      <c r="A121" s="1"/>
      <c r="D121" s="58"/>
      <c r="E121" s="58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</row>
    <row r="122" ht="14.25" customHeight="1">
      <c r="A122" s="1"/>
      <c r="D122" s="58"/>
      <c r="E122" s="58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</row>
    <row r="123" ht="14.25" customHeight="1">
      <c r="A123" s="1"/>
      <c r="D123" s="58"/>
      <c r="E123" s="58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</row>
    <row r="124" ht="14.25" customHeight="1">
      <c r="A124" s="1"/>
      <c r="D124" s="58"/>
      <c r="E124" s="58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</row>
    <row r="125" ht="14.25" customHeight="1">
      <c r="A125" s="1"/>
      <c r="D125" s="58"/>
      <c r="E125" s="58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</row>
    <row r="126" ht="14.25" customHeight="1">
      <c r="A126" s="1"/>
      <c r="D126" s="58"/>
      <c r="E126" s="58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</row>
    <row r="127" ht="14.25" customHeight="1">
      <c r="A127" s="1"/>
      <c r="D127" s="58"/>
      <c r="E127" s="58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</row>
    <row r="128" ht="14.25" customHeight="1">
      <c r="A128" s="1"/>
      <c r="D128" s="58"/>
      <c r="E128" s="58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</row>
    <row r="129" ht="14.25" customHeight="1">
      <c r="A129" s="1"/>
      <c r="D129" s="58"/>
      <c r="E129" s="58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</row>
    <row r="130" ht="14.25" customHeight="1">
      <c r="A130" s="1"/>
      <c r="D130" s="58"/>
      <c r="E130" s="58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</row>
    <row r="131" ht="14.25" customHeight="1">
      <c r="A131" s="1"/>
      <c r="D131" s="58"/>
      <c r="E131" s="58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</row>
    <row r="132" ht="14.25" customHeight="1">
      <c r="A132" s="1"/>
      <c r="D132" s="58"/>
      <c r="E132" s="58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</row>
    <row r="133" ht="14.25" customHeight="1">
      <c r="A133" s="1"/>
      <c r="D133" s="58"/>
      <c r="E133" s="58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</row>
    <row r="134" ht="14.25" customHeight="1">
      <c r="A134" s="1"/>
      <c r="D134" s="58"/>
      <c r="E134" s="58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</row>
    <row r="135" ht="14.25" customHeight="1">
      <c r="A135" s="1"/>
      <c r="D135" s="58"/>
      <c r="E135" s="58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</row>
    <row r="136" ht="14.25" customHeight="1">
      <c r="A136" s="1"/>
      <c r="D136" s="58"/>
      <c r="E136" s="58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</row>
    <row r="137" ht="14.25" customHeight="1">
      <c r="A137" s="1"/>
      <c r="D137" s="58"/>
      <c r="E137" s="58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</row>
    <row r="138" ht="14.25" customHeight="1">
      <c r="A138" s="1"/>
      <c r="D138" s="58"/>
      <c r="E138" s="58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</row>
    <row r="139" ht="14.25" customHeight="1">
      <c r="A139" s="1"/>
      <c r="D139" s="58"/>
      <c r="E139" s="58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</row>
    <row r="140" ht="14.25" customHeight="1">
      <c r="A140" s="1"/>
      <c r="D140" s="58"/>
      <c r="E140" s="58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</row>
    <row r="141" ht="14.25" customHeight="1">
      <c r="A141" s="1"/>
      <c r="D141" s="58"/>
      <c r="E141" s="58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</row>
    <row r="142" ht="14.25" customHeight="1">
      <c r="A142" s="1"/>
      <c r="D142" s="58"/>
      <c r="E142" s="58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</row>
    <row r="143" ht="14.25" customHeight="1">
      <c r="A143" s="1"/>
      <c r="D143" s="58"/>
      <c r="E143" s="58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</row>
    <row r="144" ht="14.25" customHeight="1">
      <c r="A144" s="1"/>
      <c r="D144" s="58"/>
      <c r="E144" s="58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</row>
    <row r="145" ht="14.25" customHeight="1">
      <c r="A145" s="1"/>
      <c r="D145" s="58"/>
      <c r="E145" s="58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</row>
    <row r="146" ht="14.25" customHeight="1">
      <c r="A146" s="1"/>
      <c r="D146" s="58"/>
      <c r="E146" s="58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</row>
    <row r="147" ht="14.25" customHeight="1">
      <c r="A147" s="1"/>
      <c r="D147" s="58"/>
      <c r="E147" s="58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</row>
    <row r="148" ht="14.25" customHeight="1">
      <c r="A148" s="1"/>
      <c r="D148" s="58"/>
      <c r="E148" s="58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</row>
    <row r="149" ht="14.25" customHeight="1">
      <c r="A149" s="1"/>
      <c r="D149" s="58"/>
      <c r="E149" s="58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</row>
    <row r="150" ht="14.25" customHeight="1">
      <c r="A150" s="1"/>
      <c r="D150" s="58"/>
      <c r="E150" s="58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</row>
    <row r="151" ht="14.25" customHeight="1">
      <c r="A151" s="1"/>
      <c r="D151" s="58"/>
      <c r="E151" s="58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</row>
    <row r="152" ht="14.25" customHeight="1">
      <c r="A152" s="1"/>
      <c r="D152" s="58"/>
      <c r="E152" s="58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</row>
    <row r="153" ht="14.25" customHeight="1">
      <c r="A153" s="1"/>
      <c r="D153" s="58"/>
      <c r="E153" s="58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</row>
    <row r="154" ht="14.25" customHeight="1">
      <c r="A154" s="1"/>
      <c r="D154" s="58"/>
      <c r="E154" s="58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</row>
    <row r="155" ht="14.25" customHeight="1">
      <c r="A155" s="1"/>
      <c r="D155" s="58"/>
      <c r="E155" s="58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</row>
    <row r="156" ht="14.25" customHeight="1">
      <c r="A156" s="1"/>
      <c r="D156" s="58"/>
      <c r="E156" s="58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</row>
    <row r="157" ht="14.25" customHeight="1">
      <c r="A157" s="1"/>
      <c r="D157" s="58"/>
      <c r="E157" s="58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</row>
    <row r="158" ht="14.25" customHeight="1">
      <c r="A158" s="1"/>
      <c r="D158" s="58"/>
      <c r="E158" s="58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</row>
    <row r="159" ht="14.25" customHeight="1">
      <c r="A159" s="1"/>
      <c r="D159" s="58"/>
      <c r="E159" s="58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</row>
    <row r="160" ht="14.25" customHeight="1">
      <c r="A160" s="1"/>
      <c r="D160" s="58"/>
      <c r="E160" s="58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</row>
    <row r="161" ht="14.25" customHeight="1">
      <c r="A161" s="1"/>
      <c r="D161" s="58"/>
      <c r="E161" s="58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</row>
    <row r="162" ht="14.25" customHeight="1">
      <c r="A162" s="1"/>
      <c r="D162" s="58"/>
      <c r="E162" s="58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</row>
    <row r="163" ht="14.25" customHeight="1">
      <c r="A163" s="1"/>
      <c r="D163" s="58"/>
      <c r="E163" s="58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</row>
    <row r="164" ht="14.25" customHeight="1">
      <c r="A164" s="1"/>
      <c r="D164" s="58"/>
      <c r="E164" s="58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</row>
    <row r="165" ht="14.25" customHeight="1">
      <c r="A165" s="1"/>
      <c r="D165" s="58"/>
      <c r="E165" s="58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</row>
    <row r="166" ht="14.25" customHeight="1">
      <c r="A166" s="1"/>
      <c r="D166" s="58"/>
      <c r="E166" s="58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</row>
    <row r="167" ht="14.25" customHeight="1">
      <c r="A167" s="1"/>
      <c r="D167" s="58"/>
      <c r="E167" s="58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</row>
    <row r="168" ht="14.25" customHeight="1">
      <c r="A168" s="1"/>
      <c r="D168" s="58"/>
      <c r="E168" s="58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</row>
    <row r="169" ht="14.25" customHeight="1">
      <c r="A169" s="1"/>
      <c r="D169" s="58"/>
      <c r="E169" s="58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</row>
    <row r="170" ht="14.25" customHeight="1">
      <c r="A170" s="1"/>
      <c r="D170" s="58"/>
      <c r="E170" s="58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</row>
    <row r="171" ht="14.25" customHeight="1">
      <c r="A171" s="1"/>
      <c r="D171" s="58"/>
      <c r="E171" s="58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</row>
    <row r="172" ht="14.25" customHeight="1">
      <c r="A172" s="1"/>
      <c r="D172" s="58"/>
      <c r="E172" s="58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</row>
    <row r="173" ht="14.25" customHeight="1">
      <c r="A173" s="1"/>
      <c r="D173" s="58"/>
      <c r="E173" s="58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</row>
    <row r="174" ht="14.25" customHeight="1">
      <c r="A174" s="1"/>
      <c r="D174" s="58"/>
      <c r="E174" s="58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</row>
    <row r="175" ht="14.25" customHeight="1">
      <c r="A175" s="1"/>
      <c r="D175" s="58"/>
      <c r="E175" s="58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</row>
    <row r="176" ht="14.25" customHeight="1">
      <c r="A176" s="1"/>
      <c r="D176" s="58"/>
      <c r="E176" s="58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</row>
    <row r="177" ht="14.25" customHeight="1">
      <c r="A177" s="1"/>
      <c r="D177" s="58"/>
      <c r="E177" s="58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</row>
    <row r="178" ht="14.25" customHeight="1">
      <c r="A178" s="1"/>
      <c r="D178" s="58"/>
      <c r="E178" s="58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</row>
    <row r="179" ht="14.25" customHeight="1">
      <c r="A179" s="1"/>
      <c r="D179" s="58"/>
      <c r="E179" s="58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</row>
    <row r="180" ht="14.25" customHeight="1">
      <c r="A180" s="1"/>
      <c r="D180" s="58"/>
      <c r="E180" s="58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</row>
    <row r="181" ht="14.25" customHeight="1">
      <c r="A181" s="1"/>
      <c r="D181" s="58"/>
      <c r="E181" s="58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</row>
    <row r="182" ht="14.25" customHeight="1">
      <c r="A182" s="1"/>
      <c r="D182" s="58"/>
      <c r="E182" s="58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</row>
    <row r="183" ht="14.25" customHeight="1">
      <c r="A183" s="1"/>
      <c r="D183" s="58"/>
      <c r="E183" s="58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</row>
    <row r="184" ht="14.25" customHeight="1">
      <c r="A184" s="1"/>
      <c r="D184" s="58"/>
      <c r="E184" s="58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</row>
    <row r="185" ht="14.25" customHeight="1">
      <c r="A185" s="1"/>
      <c r="D185" s="58"/>
      <c r="E185" s="58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</row>
    <row r="186" ht="14.25" customHeight="1">
      <c r="A186" s="1"/>
      <c r="D186" s="58"/>
      <c r="E186" s="58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</row>
    <row r="187" ht="14.25" customHeight="1">
      <c r="A187" s="1"/>
      <c r="D187" s="58"/>
      <c r="E187" s="58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</row>
    <row r="188" ht="14.25" customHeight="1">
      <c r="A188" s="1"/>
      <c r="D188" s="58"/>
      <c r="E188" s="58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</row>
    <row r="189" ht="14.25" customHeight="1">
      <c r="A189" s="1"/>
      <c r="D189" s="58"/>
      <c r="E189" s="58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</row>
    <row r="190" ht="14.25" customHeight="1">
      <c r="A190" s="1"/>
      <c r="D190" s="58"/>
      <c r="E190" s="58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</row>
    <row r="191" ht="14.25" customHeight="1">
      <c r="A191" s="1"/>
      <c r="D191" s="58"/>
      <c r="E191" s="58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</row>
    <row r="192" ht="14.25" customHeight="1">
      <c r="A192" s="1"/>
      <c r="D192" s="58"/>
      <c r="E192" s="58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</row>
    <row r="193" ht="14.25" customHeight="1">
      <c r="A193" s="1"/>
      <c r="D193" s="58"/>
      <c r="E193" s="58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</row>
    <row r="194" ht="14.25" customHeight="1">
      <c r="A194" s="1"/>
      <c r="D194" s="58"/>
      <c r="E194" s="58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</row>
    <row r="195" ht="14.25" customHeight="1">
      <c r="A195" s="1"/>
      <c r="D195" s="58"/>
      <c r="E195" s="58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</row>
    <row r="196" ht="14.25" customHeight="1">
      <c r="A196" s="1"/>
      <c r="D196" s="58"/>
      <c r="E196" s="58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</row>
    <row r="197" ht="14.25" customHeight="1">
      <c r="A197" s="1"/>
      <c r="D197" s="58"/>
      <c r="E197" s="58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</row>
    <row r="198" ht="14.25" customHeight="1">
      <c r="A198" s="1"/>
      <c r="D198" s="58"/>
      <c r="E198" s="58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</row>
    <row r="199" ht="14.25" customHeight="1">
      <c r="A199" s="1"/>
      <c r="D199" s="58"/>
      <c r="E199" s="58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</row>
    <row r="200" ht="14.25" customHeight="1">
      <c r="A200" s="1"/>
      <c r="D200" s="58"/>
      <c r="E200" s="58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</row>
    <row r="201" ht="14.25" customHeight="1">
      <c r="A201" s="1"/>
      <c r="D201" s="58"/>
      <c r="E201" s="58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</row>
    <row r="202" ht="14.25" customHeight="1">
      <c r="A202" s="1"/>
      <c r="D202" s="58"/>
      <c r="E202" s="58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</row>
    <row r="203" ht="14.25" customHeight="1">
      <c r="A203" s="1"/>
      <c r="D203" s="58"/>
      <c r="E203" s="58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</row>
    <row r="204" ht="14.25" customHeight="1">
      <c r="A204" s="1"/>
      <c r="D204" s="58"/>
      <c r="E204" s="58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</row>
    <row r="205" ht="14.25" customHeight="1">
      <c r="A205" s="1"/>
      <c r="D205" s="58"/>
      <c r="E205" s="58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</row>
    <row r="206" ht="14.25" customHeight="1">
      <c r="A206" s="1"/>
      <c r="D206" s="58"/>
      <c r="E206" s="58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</row>
    <row r="207" ht="14.25" customHeight="1">
      <c r="A207" s="1"/>
      <c r="D207" s="58"/>
      <c r="E207" s="58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</row>
    <row r="208" ht="14.25" customHeight="1">
      <c r="A208" s="1"/>
      <c r="D208" s="58"/>
      <c r="E208" s="58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</row>
    <row r="209" ht="14.25" customHeight="1">
      <c r="A209" s="1"/>
      <c r="D209" s="58"/>
      <c r="E209" s="58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</row>
    <row r="210" ht="14.25" customHeight="1">
      <c r="A210" s="1"/>
      <c r="D210" s="58"/>
      <c r="E210" s="58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</row>
    <row r="211" ht="14.25" customHeight="1">
      <c r="A211" s="1"/>
      <c r="D211" s="58"/>
      <c r="E211" s="58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</row>
    <row r="212" ht="14.25" customHeight="1">
      <c r="A212" s="1"/>
      <c r="D212" s="58"/>
      <c r="E212" s="58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</row>
    <row r="213" ht="14.25" customHeight="1">
      <c r="A213" s="1"/>
      <c r="D213" s="58"/>
      <c r="E213" s="58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</row>
    <row r="214" ht="14.25" customHeight="1">
      <c r="A214" s="1"/>
      <c r="D214" s="58"/>
      <c r="E214" s="58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</row>
    <row r="215" ht="14.25" customHeight="1">
      <c r="A215" s="1"/>
      <c r="D215" s="58"/>
      <c r="E215" s="58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</row>
    <row r="216" ht="14.25" customHeight="1">
      <c r="A216" s="1"/>
      <c r="D216" s="58"/>
      <c r="E216" s="58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</row>
    <row r="217" ht="14.25" customHeight="1">
      <c r="A217" s="1"/>
      <c r="D217" s="58"/>
      <c r="E217" s="58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</row>
    <row r="218" ht="14.25" customHeight="1">
      <c r="A218" s="1"/>
      <c r="D218" s="58"/>
      <c r="E218" s="58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</row>
    <row r="219" ht="14.25" customHeight="1">
      <c r="A219" s="1"/>
      <c r="D219" s="58"/>
      <c r="E219" s="58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</row>
    <row r="220" ht="14.25" customHeight="1">
      <c r="A220" s="1"/>
      <c r="D220" s="58"/>
      <c r="E220" s="58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</row>
    <row r="221" ht="14.25" customHeight="1">
      <c r="A221" s="1"/>
      <c r="D221" s="58"/>
      <c r="E221" s="58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</row>
    <row r="222" ht="14.25" customHeight="1">
      <c r="A222" s="1"/>
      <c r="D222" s="58"/>
      <c r="E222" s="58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</row>
    <row r="223" ht="14.25" customHeight="1">
      <c r="A223" s="1"/>
      <c r="D223" s="58"/>
      <c r="E223" s="58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</row>
    <row r="224" ht="14.25" customHeight="1">
      <c r="A224" s="1"/>
      <c r="D224" s="58"/>
      <c r="E224" s="58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</row>
    <row r="225" ht="14.25" customHeight="1">
      <c r="A225" s="1"/>
      <c r="D225" s="58"/>
      <c r="E225" s="58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</row>
    <row r="226" ht="14.25" customHeight="1">
      <c r="A226" s="1"/>
      <c r="D226" s="58"/>
      <c r="E226" s="58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</row>
    <row r="227" ht="14.25" customHeight="1">
      <c r="A227" s="1"/>
      <c r="D227" s="58"/>
      <c r="E227" s="58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</row>
    <row r="228" ht="14.25" customHeight="1">
      <c r="A228" s="1"/>
      <c r="D228" s="58"/>
      <c r="E228" s="58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6:E26"/>
  </mergeCells>
  <conditionalFormatting sqref="E6:E25">
    <cfRule type="containsText" dxfId="0" priority="1" operator="containsText" text="Muito fraca">
      <formula>NOT(ISERROR(SEARCH(("Muito fraca"),(E6))))</formula>
    </cfRule>
  </conditionalFormatting>
  <conditionalFormatting sqref="E6:E25">
    <cfRule type="containsText" dxfId="1" priority="2" operator="containsText" text="Fraca">
      <formula>NOT(ISERROR(SEARCH(("Fraca"),(E6))))</formula>
    </cfRule>
  </conditionalFormatting>
  <conditionalFormatting sqref="E6:E25">
    <cfRule type="containsText" dxfId="2" priority="3" operator="containsText" text="Muito forte">
      <formula>NOT(ISERROR(SEARCH(("Muito forte"),(E6))))</formula>
    </cfRule>
  </conditionalFormatting>
  <conditionalFormatting sqref="E6:E25">
    <cfRule type="containsText" dxfId="3" priority="4" operator="containsText" text="Forte">
      <formula>NOT(ISERROR(SEARCH(("Forte"),(E6))))</formula>
    </cfRule>
  </conditionalFormatting>
  <conditionalFormatting sqref="F6:F25">
    <cfRule type="containsText" dxfId="0" priority="5" operator="containsText" text="Piora muito">
      <formula>NOT(ISERROR(SEARCH(("Piora muito"),(F6))))</formula>
    </cfRule>
  </conditionalFormatting>
  <conditionalFormatting sqref="F6:F25">
    <cfRule type="containsText" dxfId="1" priority="6" operator="containsText" text="Piora">
      <formula>NOT(ISERROR(SEARCH(("Piora"),(F6))))</formula>
    </cfRule>
  </conditionalFormatting>
  <conditionalFormatting sqref="F6:F25">
    <cfRule type="containsText" dxfId="2" priority="7" operator="containsText" text="Melhora muito">
      <formula>NOT(ISERROR(SEARCH(("Melhora muito"),(F6))))</formula>
    </cfRule>
  </conditionalFormatting>
  <conditionalFormatting sqref="F6:F25">
    <cfRule type="containsText" dxfId="3" priority="8" operator="containsText" text="Melhora">
      <formula>NOT(ISERROR(SEARCH(("Melhora"),(F6))))</formula>
    </cfRule>
  </conditionalFormatting>
  <conditionalFormatting sqref="D6:D25">
    <cfRule type="containsText" dxfId="1" priority="9" operator="containsText" text="Pouco">
      <formula>NOT(ISERROR(SEARCH(("Pouco"),(D6))))</formula>
    </cfRule>
  </conditionalFormatting>
  <conditionalFormatting sqref="D6:D25">
    <cfRule type="containsText" dxfId="0" priority="10" operator="containsText" text="Sem">
      <formula>NOT(ISERROR(SEARCH(("Sem"),(D6))))</formula>
    </cfRule>
  </conditionalFormatting>
  <conditionalFormatting sqref="D6:D25">
    <cfRule type="containsText" dxfId="3" priority="11" operator="containsText" text="Muito">
      <formula>NOT(ISERROR(SEARCH(("Muito"),(D6))))</formula>
    </cfRule>
  </conditionalFormatting>
  <conditionalFormatting sqref="D6:D25">
    <cfRule type="containsText" dxfId="2" priority="12" operator="containsText" text="Totalmente">
      <formula>NOT(ISERROR(SEARCH(("Totalmente"),(D6))))</formula>
    </cfRule>
  </conditionalFormatting>
  <dataValidations>
    <dataValidation type="list" allowBlank="1" showErrorMessage="1" sqref="D6:D25">
      <formula1>$I$8:$I$12</formula1>
    </dataValidation>
    <dataValidation type="list" allowBlank="1" showErrorMessage="1" sqref="F6:F25">
      <formula1>$I$24:$I$28</formula1>
    </dataValidation>
    <dataValidation type="list" allowBlank="1" showErrorMessage="1" sqref="E6:E25">
      <formula1>$I$16:$I$20</formula1>
    </dataValidation>
  </dataValidations>
  <printOptions verticalCentered="1"/>
  <pageMargins bottom="0.7480314960629921" footer="0.0" header="0.0" left="0.2362204724409449" right="0.2362204724409449" top="0.7480314960629921"/>
  <pageSetup paperSize="9" scale="73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7.71"/>
    <col customWidth="1" min="2" max="2" width="4.29"/>
    <col customWidth="1" min="3" max="3" width="50.71"/>
    <col customWidth="1" min="4" max="6" width="25.71"/>
    <col customWidth="1" min="7" max="7" width="15.71"/>
    <col customWidth="1" min="8" max="8" width="10.43"/>
    <col customWidth="1" min="9" max="9" width="20.43"/>
    <col customWidth="1" min="10" max="17" width="8.71"/>
    <col customWidth="1" min="18" max="18" width="9.29"/>
    <col customWidth="1" hidden="1" min="19" max="46" width="9.29"/>
  </cols>
  <sheetData>
    <row r="1" ht="33.75" customHeight="1">
      <c r="A1" s="1"/>
      <c r="B1" s="23"/>
      <c r="C1" s="24" t="s">
        <v>36</v>
      </c>
      <c r="D1" s="25"/>
      <c r="E1" s="25"/>
      <c r="F1" s="25"/>
      <c r="G1" s="25"/>
      <c r="H1" s="26"/>
      <c r="I1" s="26"/>
      <c r="J1" s="26"/>
      <c r="K1" s="26"/>
      <c r="L1" s="26"/>
      <c r="M1" s="23"/>
      <c r="N1" s="23"/>
      <c r="O1" s="23"/>
      <c r="P1" s="23"/>
      <c r="Q1" s="23"/>
      <c r="R1" s="23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</row>
    <row r="2" ht="37.5" customHeight="1">
      <c r="A2" s="1"/>
      <c r="B2" s="23"/>
      <c r="C2" s="28"/>
      <c r="D2" s="29"/>
      <c r="E2" s="29"/>
      <c r="F2" s="29"/>
      <c r="G2" s="29"/>
      <c r="H2" s="30"/>
      <c r="I2" s="30"/>
      <c r="J2" s="30"/>
      <c r="K2" s="30"/>
      <c r="L2" s="30"/>
      <c r="M2" s="23"/>
      <c r="N2" s="23"/>
      <c r="O2" s="23"/>
      <c r="P2" s="23"/>
      <c r="Q2" s="23"/>
      <c r="R2" s="2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</row>
    <row r="3" ht="18.75" customHeight="1">
      <c r="A3" s="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</row>
    <row r="4" ht="29.25" customHeight="1">
      <c r="A4" s="33"/>
      <c r="B4" s="34"/>
      <c r="C4" s="35" t="s">
        <v>37</v>
      </c>
      <c r="D4" s="36" t="s">
        <v>38</v>
      </c>
      <c r="E4" s="36" t="s">
        <v>39</v>
      </c>
      <c r="F4" s="36" t="s">
        <v>40</v>
      </c>
      <c r="G4" s="37" t="s">
        <v>41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8">
        <v>1.0</v>
      </c>
      <c r="T4" s="38">
        <v>1.0</v>
      </c>
      <c r="U4" s="38">
        <v>1.0</v>
      </c>
      <c r="V4" s="38">
        <v>1.0</v>
      </c>
      <c r="W4" s="38">
        <v>2.0</v>
      </c>
      <c r="X4" s="38">
        <v>2.0</v>
      </c>
      <c r="Y4" s="38">
        <v>2.0</v>
      </c>
      <c r="Z4" s="38">
        <v>2.0</v>
      </c>
      <c r="AA4" s="38">
        <v>2.0</v>
      </c>
      <c r="AB4" s="38">
        <v>2.0</v>
      </c>
      <c r="AC4" s="38">
        <v>2.0</v>
      </c>
      <c r="AD4" s="38">
        <v>2.0</v>
      </c>
      <c r="AE4" s="38">
        <v>2.0</v>
      </c>
      <c r="AF4" s="38">
        <v>2.0</v>
      </c>
      <c r="AG4" s="38">
        <v>2.0</v>
      </c>
      <c r="AH4" s="38">
        <v>2.0</v>
      </c>
      <c r="AI4" s="38">
        <v>3.0</v>
      </c>
      <c r="AJ4" s="38">
        <v>3.0</v>
      </c>
      <c r="AK4" s="38">
        <v>3.0</v>
      </c>
      <c r="AL4" s="38">
        <v>3.0</v>
      </c>
      <c r="AM4" s="38">
        <v>3.0</v>
      </c>
      <c r="AN4" s="38">
        <v>3.0</v>
      </c>
      <c r="AO4" s="38">
        <v>3.0</v>
      </c>
      <c r="AP4" s="38">
        <v>3.0</v>
      </c>
      <c r="AQ4" s="38">
        <v>3.0</v>
      </c>
      <c r="AR4" s="38">
        <v>3.0</v>
      </c>
      <c r="AS4" s="38">
        <v>3.0</v>
      </c>
      <c r="AT4" s="38">
        <v>3.0</v>
      </c>
    </row>
    <row r="5" ht="30.0" customHeight="1">
      <c r="A5" s="1"/>
      <c r="C5" s="39" t="s">
        <v>42</v>
      </c>
      <c r="D5" s="40" t="s">
        <v>43</v>
      </c>
      <c r="E5" s="41" t="s">
        <v>44</v>
      </c>
      <c r="F5" s="42" t="s">
        <v>45</v>
      </c>
      <c r="G5" s="42" t="s">
        <v>46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</row>
    <row r="6" ht="30.0" customHeight="1">
      <c r="A6" s="1"/>
      <c r="C6" s="43"/>
      <c r="D6" s="44"/>
      <c r="E6" s="44"/>
      <c r="F6" s="45"/>
      <c r="G6" s="46" t="str">
        <f t="shared" ref="G6:G25" si="1">IF(ISERROR(VLOOKUP(D6,$I$8:$J$12,2,FALSE)*VLOOKUP(E6,$I$16:$J$20,2,FALSE)*VLOOKUP(F6,$I$24:$J$28,2,FALSE)),"",VLOOKUP(D6,$I$8:$J$12,2,FALSE)*VLOOKUP(E6,$I$16:$J$20,2,FALSE)*VLOOKUP(F6,$I$24:$J$28,2,FALSE))</f>
        <v/>
      </c>
      <c r="H6" s="31"/>
      <c r="I6" s="32" t="s">
        <v>38</v>
      </c>
      <c r="J6" s="32"/>
      <c r="K6" s="32"/>
      <c r="L6" s="32">
        <v>2.0E-4</v>
      </c>
      <c r="M6" s="47" t="str">
        <f t="shared" ref="M6:M25" si="2">IF(G6="","",G6+L6)</f>
        <v/>
      </c>
      <c r="N6" s="48" t="str">
        <f t="shared" ref="N6:N7" si="3">IF(C6=0,"",C6)</f>
        <v/>
      </c>
      <c r="O6" s="47" t="str">
        <f t="shared" ref="O6:O25" si="4">G6</f>
        <v/>
      </c>
      <c r="P6" s="49"/>
      <c r="Q6" s="31"/>
      <c r="R6" s="31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</row>
    <row r="7" ht="30.0" customHeight="1">
      <c r="A7" s="1"/>
      <c r="C7" s="43"/>
      <c r="D7" s="44"/>
      <c r="E7" s="44"/>
      <c r="F7" s="45"/>
      <c r="G7" s="46" t="str">
        <f t="shared" si="1"/>
        <v/>
      </c>
      <c r="H7" s="50"/>
      <c r="I7" s="51"/>
      <c r="J7" s="32"/>
      <c r="K7" s="32"/>
      <c r="L7" s="32">
        <v>1.9E-4</v>
      </c>
      <c r="M7" s="47" t="str">
        <f t="shared" si="2"/>
        <v/>
      </c>
      <c r="N7" s="48" t="str">
        <f t="shared" si="3"/>
        <v/>
      </c>
      <c r="O7" s="47" t="str">
        <f t="shared" si="4"/>
        <v/>
      </c>
      <c r="P7" s="49"/>
      <c r="Q7" s="31"/>
      <c r="R7" s="31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</row>
    <row r="8" ht="36.75" customHeight="1">
      <c r="A8" s="1"/>
      <c r="C8" s="43"/>
      <c r="D8" s="44"/>
      <c r="E8" s="44"/>
      <c r="F8" s="45"/>
      <c r="G8" s="46" t="str">
        <f t="shared" si="1"/>
        <v/>
      </c>
      <c r="H8" s="52"/>
      <c r="I8" s="32" t="s">
        <v>47</v>
      </c>
      <c r="J8" s="51">
        <v>1.0</v>
      </c>
      <c r="K8" s="32"/>
      <c r="L8" s="32">
        <v>1.8E-4</v>
      </c>
      <c r="M8" s="47" t="str">
        <f t="shared" si="2"/>
        <v/>
      </c>
      <c r="N8" s="32" t="str">
        <f t="shared" ref="N8:N20" si="5">IF(C11=0,"",C11)</f>
        <v/>
      </c>
      <c r="O8" s="47" t="str">
        <f t="shared" si="4"/>
        <v/>
      </c>
      <c r="P8" s="49"/>
      <c r="Q8" s="31"/>
      <c r="R8" s="31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</row>
    <row r="9" ht="30.0" customHeight="1">
      <c r="A9" s="1"/>
      <c r="C9" s="43"/>
      <c r="D9" s="44"/>
      <c r="E9" s="44"/>
      <c r="F9" s="45"/>
      <c r="G9" s="46" t="str">
        <f t="shared" si="1"/>
        <v/>
      </c>
      <c r="H9" s="31"/>
      <c r="I9" s="32" t="s">
        <v>48</v>
      </c>
      <c r="J9" s="51">
        <v>2.0</v>
      </c>
      <c r="K9" s="32"/>
      <c r="L9" s="32">
        <v>1.7E-4</v>
      </c>
      <c r="M9" s="47" t="str">
        <f t="shared" si="2"/>
        <v/>
      </c>
      <c r="N9" s="32" t="str">
        <f t="shared" si="5"/>
        <v/>
      </c>
      <c r="O9" s="47" t="str">
        <f t="shared" si="4"/>
        <v/>
      </c>
      <c r="P9" s="49"/>
      <c r="Q9" s="31"/>
      <c r="R9" s="31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</row>
    <row r="10" ht="21.75" customHeight="1">
      <c r="A10" s="1"/>
      <c r="C10" s="43"/>
      <c r="D10" s="44"/>
      <c r="E10" s="44"/>
      <c r="F10" s="45"/>
      <c r="G10" s="46" t="str">
        <f t="shared" si="1"/>
        <v/>
      </c>
      <c r="H10" s="31"/>
      <c r="I10" s="32" t="s">
        <v>49</v>
      </c>
      <c r="J10" s="51">
        <v>3.0</v>
      </c>
      <c r="K10" s="32"/>
      <c r="L10" s="32">
        <v>1.6E-4</v>
      </c>
      <c r="M10" s="47" t="str">
        <f t="shared" si="2"/>
        <v/>
      </c>
      <c r="N10" s="32" t="str">
        <f t="shared" si="5"/>
        <v/>
      </c>
      <c r="O10" s="47" t="str">
        <f t="shared" si="4"/>
        <v/>
      </c>
      <c r="P10" s="49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</row>
    <row r="11" ht="36.75" customHeight="1">
      <c r="A11" s="1"/>
      <c r="C11" s="43"/>
      <c r="D11" s="44"/>
      <c r="E11" s="44"/>
      <c r="F11" s="45"/>
      <c r="G11" s="46" t="str">
        <f t="shared" si="1"/>
        <v/>
      </c>
      <c r="H11" s="31"/>
      <c r="I11" s="32" t="s">
        <v>50</v>
      </c>
      <c r="J11" s="51">
        <v>4.0</v>
      </c>
      <c r="K11" s="32"/>
      <c r="L11" s="32">
        <v>1.5E-4</v>
      </c>
      <c r="M11" s="32" t="str">
        <f t="shared" si="2"/>
        <v/>
      </c>
      <c r="N11" s="32" t="str">
        <f t="shared" si="5"/>
        <v/>
      </c>
      <c r="O11" s="47" t="str">
        <f t="shared" si="4"/>
        <v/>
      </c>
      <c r="P11" s="49"/>
      <c r="Q11" s="31"/>
      <c r="R11" s="31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</row>
    <row r="12" ht="30.0" customHeight="1">
      <c r="A12" s="1"/>
      <c r="C12" s="43"/>
      <c r="D12" s="44"/>
      <c r="E12" s="44"/>
      <c r="F12" s="45"/>
      <c r="G12" s="46" t="str">
        <f t="shared" si="1"/>
        <v/>
      </c>
      <c r="H12" s="31"/>
      <c r="I12" s="32" t="s">
        <v>51</v>
      </c>
      <c r="J12" s="51">
        <v>5.0</v>
      </c>
      <c r="K12" s="32"/>
      <c r="L12" s="32">
        <v>1.4E-4</v>
      </c>
      <c r="M12" s="32" t="str">
        <f t="shared" si="2"/>
        <v/>
      </c>
      <c r="N12" s="32" t="str">
        <f t="shared" si="5"/>
        <v/>
      </c>
      <c r="O12" s="47" t="str">
        <f t="shared" si="4"/>
        <v/>
      </c>
      <c r="P12" s="49"/>
      <c r="Q12" s="31"/>
      <c r="R12" s="31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</row>
    <row r="13" ht="30.0" customHeight="1">
      <c r="A13" s="1"/>
      <c r="C13" s="43"/>
      <c r="D13" s="44"/>
      <c r="E13" s="44"/>
      <c r="F13" s="45"/>
      <c r="G13" s="46" t="str">
        <f t="shared" si="1"/>
        <v/>
      </c>
      <c r="H13" s="31"/>
      <c r="I13" s="32"/>
      <c r="J13" s="32"/>
      <c r="K13" s="32"/>
      <c r="L13" s="32">
        <v>1.3E-4</v>
      </c>
      <c r="M13" s="32" t="str">
        <f t="shared" si="2"/>
        <v/>
      </c>
      <c r="N13" s="32" t="str">
        <f t="shared" si="5"/>
        <v/>
      </c>
      <c r="O13" s="47" t="str">
        <f t="shared" si="4"/>
        <v/>
      </c>
      <c r="P13" s="49"/>
      <c r="Q13" s="31"/>
      <c r="R13" s="31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</row>
    <row r="14" ht="30.0" customHeight="1">
      <c r="A14" s="1"/>
      <c r="C14" s="43"/>
      <c r="D14" s="44"/>
      <c r="E14" s="44"/>
      <c r="F14" s="45"/>
      <c r="G14" s="46" t="str">
        <f t="shared" si="1"/>
        <v/>
      </c>
      <c r="H14" s="31"/>
      <c r="I14" s="32" t="s">
        <v>39</v>
      </c>
      <c r="J14" s="32"/>
      <c r="K14" s="32"/>
      <c r="L14" s="32">
        <v>1.2E-4</v>
      </c>
      <c r="M14" s="32" t="str">
        <f t="shared" si="2"/>
        <v/>
      </c>
      <c r="N14" s="32" t="str">
        <f t="shared" si="5"/>
        <v/>
      </c>
      <c r="O14" s="47" t="str">
        <f t="shared" si="4"/>
        <v/>
      </c>
      <c r="P14" s="49"/>
      <c r="Q14" s="31"/>
      <c r="R14" s="31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</row>
    <row r="15" ht="30.0" customHeight="1">
      <c r="A15" s="1"/>
      <c r="C15" s="43"/>
      <c r="D15" s="44"/>
      <c r="E15" s="44"/>
      <c r="F15" s="45"/>
      <c r="G15" s="46" t="str">
        <f t="shared" si="1"/>
        <v/>
      </c>
      <c r="H15" s="31"/>
      <c r="I15" s="51"/>
      <c r="J15" s="32"/>
      <c r="K15" s="32"/>
      <c r="L15" s="32">
        <v>1.1E-4</v>
      </c>
      <c r="M15" s="32" t="str">
        <f t="shared" si="2"/>
        <v/>
      </c>
      <c r="N15" s="32" t="str">
        <f t="shared" si="5"/>
        <v/>
      </c>
      <c r="O15" s="47" t="str">
        <f t="shared" si="4"/>
        <v/>
      </c>
      <c r="P15" s="49"/>
      <c r="Q15" s="31"/>
      <c r="R15" s="31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</row>
    <row r="16">
      <c r="A16" s="1"/>
      <c r="B16" s="31"/>
      <c r="C16" s="43"/>
      <c r="D16" s="44"/>
      <c r="E16" s="44"/>
      <c r="F16" s="45"/>
      <c r="G16" s="46" t="str">
        <f t="shared" si="1"/>
        <v/>
      </c>
      <c r="H16" s="31"/>
      <c r="I16" s="32" t="s">
        <v>52</v>
      </c>
      <c r="J16" s="51">
        <v>1.0</v>
      </c>
      <c r="K16" s="32"/>
      <c r="L16" s="32">
        <v>1.0E-4</v>
      </c>
      <c r="M16" s="32" t="str">
        <f t="shared" si="2"/>
        <v/>
      </c>
      <c r="N16" s="48" t="str">
        <f t="shared" si="5"/>
        <v/>
      </c>
      <c r="O16" s="47" t="str">
        <f t="shared" si="4"/>
        <v/>
      </c>
      <c r="P16" s="49"/>
      <c r="Q16" s="31"/>
      <c r="R16" s="31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</row>
    <row r="17" ht="30.0" customHeight="1">
      <c r="A17" s="1"/>
      <c r="B17" s="31"/>
      <c r="C17" s="43"/>
      <c r="D17" s="44"/>
      <c r="E17" s="44"/>
      <c r="F17" s="45"/>
      <c r="G17" s="46" t="str">
        <f t="shared" si="1"/>
        <v/>
      </c>
      <c r="H17" s="31"/>
      <c r="I17" s="32" t="s">
        <v>53</v>
      </c>
      <c r="J17" s="51">
        <v>2.0</v>
      </c>
      <c r="K17" s="32"/>
      <c r="L17" s="32">
        <v>9.0E-5</v>
      </c>
      <c r="M17" s="32" t="str">
        <f t="shared" si="2"/>
        <v/>
      </c>
      <c r="N17" s="32" t="str">
        <f t="shared" si="5"/>
        <v/>
      </c>
      <c r="O17" s="47" t="str">
        <f t="shared" si="4"/>
        <v/>
      </c>
      <c r="P17" s="49"/>
      <c r="Q17" s="31"/>
      <c r="R17" s="31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</row>
    <row r="18" ht="30.0" customHeight="1">
      <c r="A18" s="1"/>
      <c r="B18" s="31"/>
      <c r="C18" s="43"/>
      <c r="D18" s="44"/>
      <c r="E18" s="44"/>
      <c r="F18" s="45"/>
      <c r="G18" s="46" t="str">
        <f t="shared" si="1"/>
        <v/>
      </c>
      <c r="H18" s="31"/>
      <c r="I18" s="32" t="s">
        <v>54</v>
      </c>
      <c r="J18" s="51">
        <v>3.0</v>
      </c>
      <c r="K18" s="32"/>
      <c r="L18" s="32">
        <v>8.0E-5</v>
      </c>
      <c r="M18" s="32" t="str">
        <f t="shared" si="2"/>
        <v/>
      </c>
      <c r="N18" s="32" t="str">
        <f t="shared" si="5"/>
        <v/>
      </c>
      <c r="O18" s="47" t="str">
        <f t="shared" si="4"/>
        <v/>
      </c>
      <c r="P18" s="49"/>
      <c r="Q18" s="31"/>
      <c r="R18" s="31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</row>
    <row r="19" ht="30.0" customHeight="1">
      <c r="A19" s="1"/>
      <c r="B19" s="31"/>
      <c r="C19" s="43"/>
      <c r="D19" s="44"/>
      <c r="E19" s="44"/>
      <c r="F19" s="45"/>
      <c r="G19" s="46" t="str">
        <f t="shared" si="1"/>
        <v/>
      </c>
      <c r="H19" s="31"/>
      <c r="I19" s="32" t="s">
        <v>55</v>
      </c>
      <c r="J19" s="51">
        <v>4.0</v>
      </c>
      <c r="K19" s="32"/>
      <c r="L19" s="32">
        <v>7.0E-5</v>
      </c>
      <c r="M19" s="32" t="str">
        <f t="shared" si="2"/>
        <v/>
      </c>
      <c r="N19" s="32" t="str">
        <f t="shared" si="5"/>
        <v/>
      </c>
      <c r="O19" s="47" t="str">
        <f t="shared" si="4"/>
        <v/>
      </c>
      <c r="P19" s="49"/>
      <c r="Q19" s="31"/>
      <c r="R19" s="31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</row>
    <row r="20" ht="30.0" customHeight="1">
      <c r="A20" s="1"/>
      <c r="B20" s="31"/>
      <c r="C20" s="43"/>
      <c r="D20" s="44"/>
      <c r="E20" s="44"/>
      <c r="F20" s="45"/>
      <c r="G20" s="46" t="str">
        <f t="shared" si="1"/>
        <v/>
      </c>
      <c r="H20" s="31"/>
      <c r="I20" s="32" t="s">
        <v>56</v>
      </c>
      <c r="J20" s="51">
        <v>5.0</v>
      </c>
      <c r="K20" s="32"/>
      <c r="L20" s="32">
        <v>6.0E-5</v>
      </c>
      <c r="M20" s="32" t="str">
        <f t="shared" si="2"/>
        <v/>
      </c>
      <c r="N20" s="32" t="str">
        <f t="shared" si="5"/>
        <v/>
      </c>
      <c r="O20" s="47" t="str">
        <f t="shared" si="4"/>
        <v/>
      </c>
      <c r="P20" s="49"/>
      <c r="Q20" s="31"/>
      <c r="R20" s="31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</row>
    <row r="21" ht="30.0" customHeight="1">
      <c r="A21" s="1"/>
      <c r="B21" s="31"/>
      <c r="C21" s="43"/>
      <c r="D21" s="44"/>
      <c r="E21" s="44"/>
      <c r="F21" s="45"/>
      <c r="G21" s="46" t="str">
        <f t="shared" si="1"/>
        <v/>
      </c>
      <c r="H21" s="31"/>
      <c r="I21" s="32"/>
      <c r="J21" s="32"/>
      <c r="K21" s="32"/>
      <c r="L21" s="32">
        <v>5.0E-5</v>
      </c>
      <c r="M21" s="32" t="str">
        <f t="shared" si="2"/>
        <v/>
      </c>
      <c r="N21" s="32" t="str">
        <f t="shared" ref="N21:N23" si="6">IF(#REF!=0,"",#REF!)</f>
        <v>#REF!</v>
      </c>
      <c r="O21" s="47" t="str">
        <f t="shared" si="4"/>
        <v/>
      </c>
      <c r="P21" s="49"/>
      <c r="Q21" s="31"/>
      <c r="R21" s="31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</row>
    <row r="22" ht="30.0" customHeight="1">
      <c r="A22" s="1"/>
      <c r="B22" s="31"/>
      <c r="C22" s="43"/>
      <c r="D22" s="44"/>
      <c r="E22" s="44"/>
      <c r="F22" s="45"/>
      <c r="G22" s="46" t="str">
        <f t="shared" si="1"/>
        <v/>
      </c>
      <c r="H22" s="31"/>
      <c r="I22" s="32" t="s">
        <v>40</v>
      </c>
      <c r="J22" s="32"/>
      <c r="K22" s="32"/>
      <c r="L22" s="32">
        <v>4.0E-5</v>
      </c>
      <c r="M22" s="32" t="str">
        <f t="shared" si="2"/>
        <v/>
      </c>
      <c r="N22" s="32" t="str">
        <f t="shared" si="6"/>
        <v>#REF!</v>
      </c>
      <c r="O22" s="47" t="str">
        <f t="shared" si="4"/>
        <v/>
      </c>
      <c r="P22" s="49"/>
      <c r="Q22" s="31"/>
      <c r="R22" s="31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</row>
    <row r="23" ht="30.0" customHeight="1">
      <c r="A23" s="1"/>
      <c r="B23" s="31"/>
      <c r="C23" s="43"/>
      <c r="D23" s="44"/>
      <c r="E23" s="44"/>
      <c r="F23" s="45"/>
      <c r="G23" s="46" t="str">
        <f t="shared" si="1"/>
        <v/>
      </c>
      <c r="H23" s="31"/>
      <c r="I23" s="51"/>
      <c r="J23" s="32"/>
      <c r="K23" s="32"/>
      <c r="L23" s="32">
        <v>3.0E-5</v>
      </c>
      <c r="M23" s="32" t="str">
        <f t="shared" si="2"/>
        <v/>
      </c>
      <c r="N23" s="32" t="str">
        <f t="shared" si="6"/>
        <v>#REF!</v>
      </c>
      <c r="O23" s="47" t="str">
        <f t="shared" si="4"/>
        <v/>
      </c>
      <c r="P23" s="49"/>
      <c r="Q23" s="31"/>
      <c r="R23" s="31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</row>
    <row r="24" ht="30.0" customHeight="1">
      <c r="A24" s="1"/>
      <c r="B24" s="31"/>
      <c r="C24" s="43"/>
      <c r="D24" s="44"/>
      <c r="E24" s="44"/>
      <c r="F24" s="45"/>
      <c r="G24" s="46" t="str">
        <f t="shared" si="1"/>
        <v/>
      </c>
      <c r="H24" s="31"/>
      <c r="I24" s="32" t="s">
        <v>57</v>
      </c>
      <c r="J24" s="51">
        <v>1.0</v>
      </c>
      <c r="K24" s="32"/>
      <c r="L24" s="32">
        <v>2.0E-5</v>
      </c>
      <c r="M24" s="32" t="str">
        <f t="shared" si="2"/>
        <v/>
      </c>
      <c r="N24" s="32" t="str">
        <f t="shared" ref="N24:N25" si="7">IF(C24=0,"",C24)</f>
        <v/>
      </c>
      <c r="O24" s="47" t="str">
        <f t="shared" si="4"/>
        <v/>
      </c>
      <c r="P24" s="49"/>
      <c r="Q24" s="31"/>
      <c r="R24" s="31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</row>
    <row r="25" ht="30.0" customHeight="1">
      <c r="A25" s="1"/>
      <c r="B25" s="31"/>
      <c r="C25" s="43"/>
      <c r="D25" s="44"/>
      <c r="E25" s="44"/>
      <c r="F25" s="45"/>
      <c r="G25" s="46" t="str">
        <f t="shared" si="1"/>
        <v/>
      </c>
      <c r="H25" s="31"/>
      <c r="I25" s="32" t="s">
        <v>58</v>
      </c>
      <c r="J25" s="51">
        <v>2.0</v>
      </c>
      <c r="K25" s="32"/>
      <c r="L25" s="32">
        <v>1.0E-5</v>
      </c>
      <c r="M25" s="32" t="str">
        <f t="shared" si="2"/>
        <v/>
      </c>
      <c r="N25" s="32" t="str">
        <f t="shared" si="7"/>
        <v/>
      </c>
      <c r="O25" s="47" t="str">
        <f t="shared" si="4"/>
        <v/>
      </c>
      <c r="P25" s="49"/>
      <c r="Q25" s="31"/>
      <c r="R25" s="31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</row>
    <row r="26" ht="30.0" customHeight="1">
      <c r="A26" s="1"/>
      <c r="B26" s="31"/>
      <c r="C26" s="53" t="s">
        <v>64</v>
      </c>
      <c r="D26" s="59"/>
      <c r="E26" s="60"/>
      <c r="F26" s="55" t="s">
        <v>60</v>
      </c>
      <c r="G26" s="56">
        <f>SUM(G6:G25)</f>
        <v>0</v>
      </c>
      <c r="H26" s="31"/>
      <c r="I26" s="32" t="s">
        <v>61</v>
      </c>
      <c r="J26" s="51">
        <v>3.0</v>
      </c>
      <c r="K26" s="32"/>
      <c r="L26" s="32"/>
      <c r="M26" s="32"/>
      <c r="N26" s="32"/>
      <c r="O26" s="47"/>
      <c r="P26" s="49"/>
      <c r="Q26" s="31"/>
      <c r="R26" s="31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</row>
    <row r="27" ht="30.0" customHeight="1">
      <c r="A27" s="1"/>
      <c r="B27" s="31"/>
      <c r="H27" s="31"/>
      <c r="I27" s="32" t="s">
        <v>62</v>
      </c>
      <c r="J27" s="51">
        <v>4.0</v>
      </c>
      <c r="K27" s="32"/>
      <c r="L27" s="32"/>
      <c r="M27" s="32"/>
      <c r="N27" s="32"/>
      <c r="O27" s="47"/>
      <c r="P27" s="49"/>
      <c r="Q27" s="31"/>
      <c r="R27" s="31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</row>
    <row r="28" ht="30.0" customHeight="1">
      <c r="A28" s="1"/>
      <c r="B28" s="31"/>
      <c r="H28" s="31"/>
      <c r="I28" s="32" t="s">
        <v>63</v>
      </c>
      <c r="J28" s="51">
        <v>5.0</v>
      </c>
      <c r="K28" s="32"/>
      <c r="L28" s="32"/>
      <c r="M28" s="32"/>
      <c r="N28" s="32"/>
      <c r="O28" s="47"/>
      <c r="P28" s="49"/>
      <c r="Q28" s="31"/>
      <c r="R28" s="31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</row>
    <row r="29" ht="30.0" customHeight="1">
      <c r="A29" s="1"/>
      <c r="B29" s="31"/>
      <c r="H29" s="31"/>
      <c r="I29" s="31"/>
      <c r="J29" s="31"/>
      <c r="K29" s="31"/>
      <c r="L29" s="31"/>
      <c r="M29" s="31"/>
      <c r="N29" s="31"/>
      <c r="O29" s="57"/>
      <c r="P29" s="49"/>
      <c r="Q29" s="31"/>
      <c r="R29" s="31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</row>
    <row r="30" ht="30.0" customHeight="1">
      <c r="A30" s="1"/>
      <c r="B30" s="31"/>
      <c r="H30" s="31"/>
      <c r="I30" s="31"/>
      <c r="J30" s="31"/>
      <c r="K30" s="31"/>
      <c r="L30" s="31"/>
      <c r="M30" s="31"/>
      <c r="N30" s="31"/>
      <c r="O30" s="57"/>
      <c r="P30" s="49"/>
      <c r="Q30" s="31"/>
      <c r="R30" s="31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</row>
    <row r="31" ht="30.0" customHeight="1">
      <c r="A31" s="1"/>
      <c r="B31" s="31"/>
      <c r="H31" s="31"/>
      <c r="I31" s="31"/>
      <c r="J31" s="31"/>
      <c r="K31" s="31"/>
      <c r="L31" s="31"/>
      <c r="M31" s="31"/>
      <c r="N31" s="31"/>
      <c r="O31" s="57"/>
      <c r="P31" s="49"/>
      <c r="Q31" s="31"/>
      <c r="R31" s="31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</row>
    <row r="32" ht="30.0" customHeight="1">
      <c r="A32" s="1"/>
      <c r="B32" s="31"/>
      <c r="H32" s="31"/>
      <c r="I32" s="31"/>
      <c r="J32" s="31"/>
      <c r="K32" s="31"/>
      <c r="L32" s="31"/>
      <c r="M32" s="31"/>
      <c r="N32" s="31"/>
      <c r="O32" s="57"/>
      <c r="P32" s="49"/>
      <c r="Q32" s="31"/>
      <c r="R32" s="31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</row>
    <row r="33" ht="30.0" customHeight="1">
      <c r="A33" s="1"/>
      <c r="B33" s="31"/>
      <c r="H33" s="31"/>
      <c r="I33" s="31"/>
      <c r="J33" s="31"/>
      <c r="K33" s="31"/>
      <c r="L33" s="31"/>
      <c r="M33" s="31"/>
      <c r="N33" s="31"/>
      <c r="O33" s="57"/>
      <c r="P33" s="49"/>
      <c r="Q33" s="31"/>
      <c r="R33" s="31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</row>
    <row r="34" ht="30.0" customHeight="1">
      <c r="A34" s="1"/>
      <c r="B34" s="31"/>
      <c r="H34" s="31"/>
      <c r="I34" s="31"/>
      <c r="J34" s="31"/>
      <c r="K34" s="31"/>
      <c r="L34" s="31"/>
      <c r="M34" s="31"/>
      <c r="N34" s="31"/>
      <c r="O34" s="57"/>
      <c r="P34" s="49"/>
      <c r="Q34" s="31"/>
      <c r="R34" s="31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</row>
    <row r="35" ht="30.0" customHeight="1">
      <c r="A35" s="1"/>
      <c r="B35" s="31"/>
      <c r="H35" s="31"/>
      <c r="I35" s="31"/>
      <c r="J35" s="31"/>
      <c r="K35" s="31"/>
      <c r="L35" s="31"/>
      <c r="M35" s="31"/>
      <c r="N35" s="31"/>
      <c r="O35" s="57"/>
      <c r="P35" s="49"/>
      <c r="Q35" s="31"/>
      <c r="R35" s="31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</row>
    <row r="36" ht="30.0" customHeight="1">
      <c r="A36" s="1"/>
      <c r="B36" s="31"/>
      <c r="H36" s="31"/>
      <c r="I36" s="31"/>
      <c r="J36" s="31"/>
      <c r="K36" s="31"/>
      <c r="L36" s="31"/>
      <c r="M36" s="31"/>
      <c r="N36" s="31"/>
      <c r="O36" s="57"/>
      <c r="P36" s="49"/>
      <c r="Q36" s="31"/>
      <c r="R36" s="31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</row>
    <row r="37" ht="30.0" customHeight="1">
      <c r="A37" s="1"/>
      <c r="B37" s="31"/>
      <c r="H37" s="31"/>
      <c r="I37" s="31"/>
      <c r="J37" s="31"/>
      <c r="K37" s="31"/>
      <c r="L37" s="31"/>
      <c r="M37" s="31"/>
      <c r="N37" s="31"/>
      <c r="O37" s="57"/>
      <c r="P37" s="49"/>
      <c r="Q37" s="31"/>
      <c r="R37" s="31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</row>
    <row r="38" ht="30.0" customHeight="1">
      <c r="A38" s="1"/>
      <c r="B38" s="31"/>
      <c r="H38" s="31"/>
      <c r="I38" s="31"/>
      <c r="J38" s="31"/>
      <c r="K38" s="31"/>
      <c r="L38" s="31"/>
      <c r="M38" s="31"/>
      <c r="N38" s="31"/>
      <c r="O38" s="57"/>
      <c r="P38" s="49"/>
      <c r="Q38" s="31"/>
      <c r="R38" s="31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</row>
    <row r="39" ht="30.0" customHeight="1">
      <c r="A39" s="1"/>
      <c r="B39" s="31"/>
      <c r="H39" s="31"/>
      <c r="I39" s="31"/>
      <c r="J39" s="31"/>
      <c r="K39" s="31"/>
      <c r="L39" s="31"/>
      <c r="M39" s="31"/>
      <c r="N39" s="31"/>
      <c r="O39" s="57"/>
      <c r="P39" s="49"/>
      <c r="Q39" s="31"/>
      <c r="R39" s="31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</row>
    <row r="40" ht="30.0" customHeight="1">
      <c r="A40" s="1"/>
      <c r="B40" s="31"/>
      <c r="H40" s="31"/>
      <c r="I40" s="31"/>
      <c r="J40" s="31"/>
      <c r="K40" s="31"/>
      <c r="L40" s="31"/>
      <c r="M40" s="31"/>
      <c r="N40" s="31"/>
      <c r="O40" s="57"/>
      <c r="P40" s="49"/>
      <c r="Q40" s="31"/>
      <c r="R40" s="31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</row>
    <row r="41" ht="30.0" customHeight="1">
      <c r="A41" s="1"/>
      <c r="B41" s="31"/>
      <c r="H41" s="31"/>
      <c r="I41" s="31"/>
      <c r="J41" s="31"/>
      <c r="K41" s="31"/>
      <c r="L41" s="31"/>
      <c r="M41" s="31"/>
      <c r="N41" s="31"/>
      <c r="O41" s="57"/>
      <c r="P41" s="49"/>
      <c r="Q41" s="31"/>
      <c r="R41" s="31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</row>
    <row r="42" ht="30.0" customHeight="1">
      <c r="A42" s="1"/>
      <c r="B42" s="31"/>
      <c r="H42" s="31"/>
      <c r="I42" s="31"/>
      <c r="J42" s="31"/>
      <c r="K42" s="31"/>
      <c r="L42" s="31"/>
      <c r="M42" s="31"/>
      <c r="N42" s="31"/>
      <c r="O42" s="57"/>
      <c r="P42" s="49"/>
      <c r="Q42" s="31"/>
      <c r="R42" s="31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</row>
    <row r="43" ht="30.0" customHeight="1">
      <c r="A43" s="1"/>
      <c r="B43" s="31"/>
      <c r="H43" s="31"/>
      <c r="I43" s="31"/>
      <c r="J43" s="31"/>
      <c r="K43" s="31"/>
      <c r="L43" s="31"/>
      <c r="M43" s="31"/>
      <c r="N43" s="31"/>
      <c r="O43" s="57"/>
      <c r="P43" s="49"/>
      <c r="Q43" s="31"/>
      <c r="R43" s="31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</row>
    <row r="44" ht="30.0" customHeight="1">
      <c r="A44" s="1"/>
      <c r="B44" s="31"/>
      <c r="H44" s="31"/>
      <c r="I44" s="31"/>
      <c r="J44" s="31"/>
      <c r="K44" s="31"/>
      <c r="L44" s="31"/>
      <c r="M44" s="31"/>
      <c r="N44" s="31"/>
      <c r="O44" s="57"/>
      <c r="P44" s="49"/>
      <c r="Q44" s="31"/>
      <c r="R44" s="31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</row>
    <row r="45" ht="30.0" customHeight="1">
      <c r="A45" s="1"/>
      <c r="B45" s="31"/>
      <c r="H45" s="31"/>
      <c r="I45" s="31"/>
      <c r="J45" s="31"/>
      <c r="K45" s="31"/>
      <c r="L45" s="31"/>
      <c r="M45" s="31"/>
      <c r="N45" s="31"/>
      <c r="O45" s="57"/>
      <c r="P45" s="49"/>
      <c r="Q45" s="31"/>
      <c r="R45" s="31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</row>
    <row r="46" ht="37.5" customHeight="1">
      <c r="A46" s="1"/>
      <c r="B46" s="31"/>
      <c r="H46" s="31"/>
      <c r="I46" s="31"/>
      <c r="J46" s="31"/>
      <c r="K46" s="31"/>
      <c r="L46" s="31"/>
      <c r="M46" s="31"/>
      <c r="N46" s="49"/>
      <c r="O46" s="31"/>
      <c r="P46" s="31"/>
      <c r="Q46" s="31"/>
      <c r="R46" s="31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</row>
    <row r="47" ht="30.0" customHeight="1">
      <c r="A47" s="1"/>
      <c r="B47" s="31"/>
      <c r="H47" s="31"/>
      <c r="I47" s="31"/>
      <c r="J47" s="31"/>
      <c r="K47" s="31"/>
      <c r="L47" s="31"/>
      <c r="M47" s="31"/>
      <c r="N47" s="49"/>
      <c r="O47" s="31"/>
      <c r="P47" s="31"/>
      <c r="Q47" s="31"/>
      <c r="R47" s="31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</row>
    <row r="48" ht="30.0" customHeight="1">
      <c r="A48" s="1"/>
      <c r="B48" s="31"/>
      <c r="H48" s="31"/>
      <c r="I48" s="31"/>
      <c r="J48" s="31"/>
      <c r="K48" s="31"/>
      <c r="L48" s="31"/>
      <c r="M48" s="31"/>
      <c r="N48" s="49"/>
      <c r="O48" s="31"/>
      <c r="P48" s="31"/>
      <c r="Q48" s="31"/>
      <c r="R48" s="31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</row>
    <row r="49" ht="30.0" customHeight="1">
      <c r="A49" s="1"/>
      <c r="B49" s="31"/>
      <c r="D49" s="58"/>
      <c r="E49" s="58"/>
      <c r="H49" s="31"/>
      <c r="I49" s="31"/>
      <c r="J49" s="31"/>
      <c r="K49" s="31"/>
      <c r="L49" s="31"/>
      <c r="M49" s="31"/>
      <c r="N49" s="49"/>
      <c r="O49" s="31"/>
      <c r="P49" s="31"/>
      <c r="Q49" s="31"/>
      <c r="R49" s="31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</row>
    <row r="50" ht="30.0" hidden="1" customHeight="1">
      <c r="A50" s="1"/>
      <c r="B50" s="31"/>
      <c r="D50" s="58"/>
      <c r="E50" s="58"/>
      <c r="H50" s="31"/>
      <c r="I50" s="31"/>
      <c r="J50" s="31"/>
      <c r="K50" s="31"/>
      <c r="L50" s="31"/>
      <c r="M50" s="31"/>
      <c r="N50" s="49"/>
      <c r="O50" s="31"/>
      <c r="P50" s="31"/>
      <c r="Q50" s="31"/>
      <c r="R50" s="31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</row>
    <row r="51" ht="30.0" hidden="1" customHeight="1">
      <c r="A51" s="1"/>
      <c r="B51" s="31"/>
      <c r="D51" s="58"/>
      <c r="E51" s="58"/>
      <c r="H51" s="31"/>
      <c r="I51" s="31"/>
      <c r="J51" s="31"/>
      <c r="K51" s="31"/>
      <c r="L51" s="31"/>
      <c r="M51" s="31"/>
      <c r="N51" s="49"/>
      <c r="O51" s="31"/>
      <c r="P51" s="31"/>
      <c r="Q51" s="31"/>
      <c r="R51" s="31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</row>
    <row r="52" ht="30.0" hidden="1" customHeight="1">
      <c r="A52" s="1"/>
      <c r="B52" s="31"/>
      <c r="D52" s="58"/>
      <c r="E52" s="58"/>
      <c r="H52" s="31"/>
      <c r="I52" s="31"/>
      <c r="J52" s="31"/>
      <c r="K52" s="31"/>
      <c r="L52" s="31"/>
      <c r="M52" s="31"/>
      <c r="N52" s="49"/>
      <c r="O52" s="31"/>
      <c r="P52" s="31"/>
      <c r="Q52" s="31"/>
      <c r="R52" s="31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</row>
    <row r="53" ht="30.0" hidden="1" customHeight="1">
      <c r="A53" s="1"/>
      <c r="B53" s="31"/>
      <c r="D53" s="58"/>
      <c r="E53" s="58"/>
      <c r="H53" s="31"/>
      <c r="I53" s="31"/>
      <c r="J53" s="31"/>
      <c r="K53" s="31"/>
      <c r="L53" s="31"/>
      <c r="M53" s="31"/>
      <c r="N53" s="49"/>
      <c r="O53" s="31"/>
      <c r="P53" s="31"/>
      <c r="Q53" s="31"/>
      <c r="R53" s="31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</row>
    <row r="54" ht="30.0" hidden="1" customHeight="1">
      <c r="A54" s="1"/>
      <c r="B54" s="31"/>
      <c r="D54" s="58"/>
      <c r="E54" s="58"/>
      <c r="H54" s="31"/>
      <c r="I54" s="31"/>
      <c r="J54" s="31"/>
      <c r="K54" s="31"/>
      <c r="L54" s="31"/>
      <c r="M54" s="31"/>
      <c r="N54" s="49"/>
      <c r="O54" s="31"/>
      <c r="P54" s="31"/>
      <c r="Q54" s="31"/>
      <c r="R54" s="31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</row>
    <row r="55" ht="30.0" hidden="1" customHeight="1">
      <c r="A55" s="1"/>
      <c r="D55" s="58"/>
      <c r="E55" s="58"/>
      <c r="H55" s="31"/>
      <c r="I55" s="31"/>
      <c r="J55" s="31"/>
      <c r="K55" s="31"/>
      <c r="L55" s="31"/>
      <c r="M55" s="31"/>
      <c r="N55" s="49"/>
      <c r="O55" s="31"/>
      <c r="P55" s="31"/>
      <c r="Q55" s="31"/>
      <c r="R55" s="31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</row>
    <row r="56" ht="30.0" hidden="1" customHeight="1">
      <c r="A56" s="1"/>
      <c r="D56" s="58"/>
      <c r="E56" s="58"/>
      <c r="H56" s="31"/>
      <c r="I56" s="31"/>
      <c r="J56" s="31"/>
      <c r="K56" s="31"/>
      <c r="L56" s="31"/>
      <c r="M56" s="31"/>
      <c r="N56" s="49"/>
      <c r="O56" s="31"/>
      <c r="P56" s="31"/>
      <c r="Q56" s="31"/>
      <c r="R56" s="31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</row>
    <row r="57" ht="30.0" hidden="1" customHeight="1">
      <c r="A57" s="1"/>
      <c r="D57" s="58"/>
      <c r="E57" s="58"/>
      <c r="H57" s="31"/>
      <c r="I57" s="31"/>
      <c r="J57" s="31"/>
      <c r="K57" s="31"/>
      <c r="L57" s="31"/>
      <c r="M57" s="31"/>
      <c r="N57" s="49"/>
      <c r="O57" s="31"/>
      <c r="P57" s="31"/>
      <c r="Q57" s="31"/>
      <c r="R57" s="31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</row>
    <row r="58" ht="30.0" hidden="1" customHeight="1">
      <c r="A58" s="1"/>
      <c r="D58" s="58"/>
      <c r="E58" s="58"/>
      <c r="H58" s="31"/>
      <c r="I58" s="31"/>
      <c r="J58" s="31"/>
      <c r="K58" s="31"/>
      <c r="L58" s="31"/>
      <c r="M58" s="31"/>
      <c r="N58" s="49"/>
      <c r="O58" s="31"/>
      <c r="P58" s="31"/>
      <c r="Q58" s="31"/>
      <c r="R58" s="31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</row>
    <row r="59" ht="30.0" hidden="1" customHeight="1">
      <c r="A59" s="1"/>
      <c r="D59" s="58"/>
      <c r="E59" s="58"/>
      <c r="H59" s="31"/>
      <c r="I59" s="31"/>
      <c r="J59" s="31"/>
      <c r="K59" s="31"/>
      <c r="L59" s="31"/>
      <c r="M59" s="31"/>
      <c r="N59" s="49"/>
      <c r="O59" s="31"/>
      <c r="P59" s="31"/>
      <c r="Q59" s="31"/>
      <c r="R59" s="31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</row>
    <row r="60" ht="30.0" hidden="1" customHeight="1">
      <c r="A60" s="1"/>
      <c r="D60" s="58"/>
      <c r="E60" s="58"/>
      <c r="H60" s="31"/>
      <c r="I60" s="31"/>
      <c r="J60" s="31"/>
      <c r="K60" s="31"/>
      <c r="L60" s="31"/>
      <c r="M60" s="31"/>
      <c r="N60" s="49"/>
      <c r="O60" s="31"/>
      <c r="P60" s="31"/>
      <c r="Q60" s="31"/>
      <c r="R60" s="31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</row>
    <row r="61" ht="30.0" hidden="1" customHeight="1">
      <c r="A61" s="1"/>
      <c r="D61" s="58"/>
      <c r="E61" s="58"/>
      <c r="H61" s="31"/>
      <c r="I61" s="31"/>
      <c r="J61" s="31"/>
      <c r="K61" s="31"/>
      <c r="L61" s="31"/>
      <c r="M61" s="31"/>
      <c r="N61" s="49"/>
      <c r="O61" s="31"/>
      <c r="P61" s="31"/>
      <c r="Q61" s="31"/>
      <c r="R61" s="31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</row>
    <row r="62" ht="30.0" hidden="1" customHeight="1">
      <c r="A62" s="1"/>
      <c r="D62" s="58"/>
      <c r="E62" s="58"/>
      <c r="H62" s="31"/>
      <c r="I62" s="31"/>
      <c r="J62" s="31"/>
      <c r="K62" s="31"/>
      <c r="L62" s="31"/>
      <c r="M62" s="31"/>
      <c r="N62" s="49"/>
      <c r="O62" s="31"/>
      <c r="P62" s="31"/>
      <c r="Q62" s="31"/>
      <c r="R62" s="31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</row>
    <row r="63" ht="30.0" hidden="1" customHeight="1">
      <c r="A63" s="1"/>
      <c r="D63" s="58"/>
      <c r="E63" s="58"/>
      <c r="H63" s="31"/>
      <c r="I63" s="31"/>
      <c r="J63" s="31"/>
      <c r="K63" s="31"/>
      <c r="L63" s="31"/>
      <c r="M63" s="31"/>
      <c r="N63" s="49"/>
      <c r="O63" s="31"/>
      <c r="P63" s="31"/>
      <c r="Q63" s="31"/>
      <c r="R63" s="31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</row>
    <row r="64" ht="30.0" hidden="1" customHeight="1">
      <c r="A64" s="1"/>
      <c r="D64" s="58"/>
      <c r="E64" s="58"/>
      <c r="H64" s="31"/>
      <c r="I64" s="31"/>
      <c r="J64" s="31"/>
      <c r="K64" s="31"/>
      <c r="L64" s="31"/>
      <c r="M64" s="31"/>
      <c r="N64" s="49"/>
      <c r="O64" s="31"/>
      <c r="P64" s="31"/>
      <c r="Q64" s="31"/>
      <c r="R64" s="31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</row>
    <row r="65" ht="15.75" hidden="1" customHeight="1">
      <c r="A65" s="1"/>
      <c r="D65" s="58"/>
      <c r="E65" s="58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</row>
    <row r="66" ht="15.75" hidden="1" customHeight="1">
      <c r="A66" s="1"/>
      <c r="D66" s="58"/>
      <c r="E66" s="58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</row>
    <row r="67" ht="15.75" hidden="1" customHeight="1">
      <c r="A67" s="1"/>
      <c r="D67" s="58"/>
      <c r="E67" s="58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</row>
    <row r="68" ht="15.75" hidden="1" customHeight="1">
      <c r="A68" s="1"/>
      <c r="D68" s="58"/>
      <c r="E68" s="58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</row>
    <row r="69" ht="15.0" customHeight="1">
      <c r="A69" s="1"/>
      <c r="D69" s="58"/>
      <c r="E69" s="58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</row>
    <row r="70" ht="15.0" customHeight="1">
      <c r="A70" s="1"/>
      <c r="D70" s="58"/>
      <c r="E70" s="58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</row>
    <row r="71" ht="15.0" customHeight="1">
      <c r="A71" s="1"/>
      <c r="D71" s="58"/>
      <c r="E71" s="58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</row>
    <row r="72" ht="15.75" customHeight="1">
      <c r="A72" s="1"/>
      <c r="D72" s="58"/>
      <c r="E72" s="58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</row>
    <row r="73" ht="15.75" customHeight="1">
      <c r="A73" s="1"/>
      <c r="D73" s="58"/>
      <c r="E73" s="58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</row>
    <row r="74" ht="15.75" customHeight="1">
      <c r="A74" s="1"/>
      <c r="D74" s="58"/>
      <c r="E74" s="58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</row>
    <row r="75" ht="15.75" customHeight="1">
      <c r="A75" s="1"/>
      <c r="D75" s="58"/>
      <c r="E75" s="58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</row>
    <row r="76" ht="15.75" customHeight="1">
      <c r="A76" s="1"/>
      <c r="D76" s="58"/>
      <c r="E76" s="58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</row>
    <row r="77" ht="15.75" customHeight="1">
      <c r="A77" s="1"/>
      <c r="D77" s="58"/>
      <c r="E77" s="58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</row>
    <row r="78" ht="15.75" customHeight="1">
      <c r="A78" s="1"/>
      <c r="D78" s="58"/>
      <c r="E78" s="58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</row>
    <row r="79" ht="15.75" customHeight="1">
      <c r="A79" s="1"/>
      <c r="D79" s="58"/>
      <c r="E79" s="58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</row>
    <row r="80" ht="15.75" customHeight="1">
      <c r="A80" s="1"/>
      <c r="D80" s="58"/>
      <c r="E80" s="58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</row>
    <row r="81" ht="15.75" customHeight="1">
      <c r="A81" s="1"/>
      <c r="D81" s="58"/>
      <c r="E81" s="58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</row>
    <row r="82" ht="15.75" customHeight="1">
      <c r="A82" s="1"/>
      <c r="D82" s="58"/>
      <c r="E82" s="58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</row>
    <row r="83" ht="15.75" customHeight="1">
      <c r="A83" s="1"/>
      <c r="D83" s="58"/>
      <c r="E83" s="58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</row>
    <row r="84" ht="15.75" customHeight="1">
      <c r="A84" s="1"/>
      <c r="D84" s="58"/>
      <c r="E84" s="58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</row>
    <row r="85" ht="15.75" customHeight="1">
      <c r="A85" s="1"/>
      <c r="D85" s="58"/>
      <c r="E85" s="58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</row>
    <row r="86" ht="15.75" customHeight="1">
      <c r="A86" s="1"/>
      <c r="D86" s="58"/>
      <c r="E86" s="58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</row>
    <row r="87" ht="15.75" customHeight="1">
      <c r="A87" s="1"/>
      <c r="D87" s="58"/>
      <c r="E87" s="58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</row>
    <row r="88" ht="15.75" customHeight="1">
      <c r="A88" s="1"/>
      <c r="D88" s="58"/>
      <c r="E88" s="58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</row>
    <row r="89" ht="15.75" customHeight="1">
      <c r="A89" s="1"/>
      <c r="D89" s="58"/>
      <c r="E89" s="58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</row>
    <row r="90" ht="15.75" customHeight="1">
      <c r="A90" s="1"/>
      <c r="D90" s="58"/>
      <c r="E90" s="58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</row>
    <row r="91" ht="15.75" customHeight="1">
      <c r="A91" s="1"/>
      <c r="D91" s="58"/>
      <c r="E91" s="58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</row>
    <row r="92" ht="15.75" customHeight="1">
      <c r="A92" s="1"/>
      <c r="D92" s="58"/>
      <c r="E92" s="58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</row>
    <row r="93" ht="15.75" customHeight="1">
      <c r="A93" s="1"/>
      <c r="D93" s="58"/>
      <c r="E93" s="58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</row>
    <row r="94" ht="15.75" customHeight="1">
      <c r="A94" s="1"/>
      <c r="D94" s="58"/>
      <c r="E94" s="58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</row>
    <row r="95" ht="15.75" customHeight="1">
      <c r="A95" s="1"/>
      <c r="D95" s="58"/>
      <c r="E95" s="58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</row>
    <row r="96" ht="15.75" customHeight="1">
      <c r="A96" s="1"/>
      <c r="D96" s="58"/>
      <c r="E96" s="58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</row>
    <row r="97" ht="15.75" customHeight="1">
      <c r="A97" s="1"/>
      <c r="D97" s="58"/>
      <c r="E97" s="58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</row>
    <row r="98" ht="15.75" customHeight="1">
      <c r="A98" s="1"/>
      <c r="D98" s="58"/>
      <c r="E98" s="58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</row>
    <row r="99" ht="15.75" customHeight="1">
      <c r="A99" s="1"/>
      <c r="D99" s="58"/>
      <c r="E99" s="58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</row>
    <row r="100" ht="15.75" customHeight="1">
      <c r="A100" s="1"/>
      <c r="D100" s="58"/>
      <c r="E100" s="58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</row>
    <row r="101" ht="15.75" customHeight="1">
      <c r="A101" s="1"/>
      <c r="D101" s="58"/>
      <c r="E101" s="58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</row>
    <row r="102" ht="15.75" customHeight="1">
      <c r="A102" s="1"/>
      <c r="D102" s="58"/>
      <c r="E102" s="58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</row>
    <row r="103" ht="15.75" customHeight="1">
      <c r="A103" s="1"/>
      <c r="D103" s="58"/>
      <c r="E103" s="58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</row>
    <row r="104" ht="15.75" customHeight="1">
      <c r="A104" s="1"/>
      <c r="D104" s="58"/>
      <c r="E104" s="58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</row>
    <row r="105" ht="15.75" customHeight="1">
      <c r="A105" s="1"/>
      <c r="D105" s="58"/>
      <c r="E105" s="58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</row>
    <row r="106" ht="15.75" customHeight="1">
      <c r="A106" s="1"/>
      <c r="D106" s="58"/>
      <c r="E106" s="58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</row>
    <row r="107" ht="15.75" customHeight="1">
      <c r="A107" s="1"/>
      <c r="D107" s="58"/>
      <c r="E107" s="58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</row>
    <row r="108" ht="15.75" customHeight="1">
      <c r="A108" s="1"/>
      <c r="D108" s="58"/>
      <c r="E108" s="58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</row>
    <row r="109" ht="15.75" customHeight="1">
      <c r="A109" s="1"/>
      <c r="D109" s="58"/>
      <c r="E109" s="58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</row>
    <row r="110" ht="15.75" customHeight="1">
      <c r="A110" s="1"/>
      <c r="D110" s="58"/>
      <c r="E110" s="58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</row>
    <row r="111" ht="15.75" customHeight="1">
      <c r="A111" s="1"/>
      <c r="D111" s="58"/>
      <c r="E111" s="58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</row>
    <row r="112" ht="15.75" customHeight="1">
      <c r="A112" s="1"/>
      <c r="D112" s="58"/>
      <c r="E112" s="58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</row>
    <row r="113" ht="15.75" customHeight="1">
      <c r="A113" s="1"/>
      <c r="D113" s="58"/>
      <c r="E113" s="58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</row>
    <row r="114" ht="15.75" customHeight="1">
      <c r="A114" s="1"/>
      <c r="D114" s="58"/>
      <c r="E114" s="58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</row>
    <row r="115" ht="15.75" customHeight="1">
      <c r="A115" s="1"/>
      <c r="D115" s="58"/>
      <c r="E115" s="58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</row>
    <row r="116" ht="15.75" customHeight="1">
      <c r="A116" s="1"/>
      <c r="D116" s="58"/>
      <c r="E116" s="58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</row>
    <row r="117" ht="15.75" customHeight="1">
      <c r="A117" s="1"/>
      <c r="D117" s="58"/>
      <c r="E117" s="58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</row>
    <row r="118" ht="15.75" customHeight="1">
      <c r="A118" s="1"/>
      <c r="D118" s="58"/>
      <c r="E118" s="58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</row>
    <row r="119" ht="15.75" customHeight="1">
      <c r="A119" s="1"/>
      <c r="D119" s="58"/>
      <c r="E119" s="58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</row>
    <row r="120" ht="15.75" customHeight="1">
      <c r="A120" s="1"/>
      <c r="D120" s="58"/>
      <c r="E120" s="58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</row>
    <row r="121" ht="15.75" customHeight="1">
      <c r="A121" s="1"/>
      <c r="D121" s="58"/>
      <c r="E121" s="58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</row>
    <row r="122" ht="15.75" customHeight="1">
      <c r="A122" s="1"/>
      <c r="D122" s="58"/>
      <c r="E122" s="58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</row>
    <row r="123" ht="15.75" customHeight="1">
      <c r="A123" s="1"/>
      <c r="D123" s="58"/>
      <c r="E123" s="58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</row>
    <row r="124" ht="15.75" customHeight="1">
      <c r="A124" s="1"/>
      <c r="D124" s="58"/>
      <c r="E124" s="58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</row>
    <row r="125" ht="15.75" customHeight="1">
      <c r="A125" s="1"/>
      <c r="D125" s="58"/>
      <c r="E125" s="58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</row>
    <row r="126" ht="15.75" customHeight="1">
      <c r="A126" s="1"/>
      <c r="D126" s="58"/>
      <c r="E126" s="58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</row>
    <row r="127" ht="15.75" customHeight="1">
      <c r="A127" s="1"/>
      <c r="D127" s="58"/>
      <c r="E127" s="58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</row>
    <row r="128" ht="15.75" customHeight="1">
      <c r="A128" s="1"/>
      <c r="D128" s="58"/>
      <c r="E128" s="58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</row>
    <row r="129" ht="15.75" customHeight="1">
      <c r="A129" s="1"/>
      <c r="D129" s="58"/>
      <c r="E129" s="58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</row>
    <row r="130" ht="15.75" customHeight="1">
      <c r="A130" s="1"/>
      <c r="D130" s="58"/>
      <c r="E130" s="58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</row>
    <row r="131" ht="15.75" customHeight="1">
      <c r="A131" s="1"/>
      <c r="D131" s="58"/>
      <c r="E131" s="58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</row>
    <row r="132" ht="15.75" customHeight="1">
      <c r="A132" s="1"/>
      <c r="D132" s="58"/>
      <c r="E132" s="58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</row>
    <row r="133" ht="15.75" customHeight="1">
      <c r="A133" s="1"/>
      <c r="D133" s="58"/>
      <c r="E133" s="58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</row>
    <row r="134" ht="15.75" customHeight="1">
      <c r="A134" s="1"/>
      <c r="D134" s="58"/>
      <c r="E134" s="58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</row>
    <row r="135" ht="15.75" customHeight="1">
      <c r="A135" s="1"/>
      <c r="D135" s="58"/>
      <c r="E135" s="58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</row>
    <row r="136" ht="15.75" customHeight="1">
      <c r="A136" s="1"/>
      <c r="D136" s="58"/>
      <c r="E136" s="58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</row>
    <row r="137" ht="15.75" customHeight="1">
      <c r="A137" s="1"/>
      <c r="D137" s="58"/>
      <c r="E137" s="58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</row>
    <row r="138" ht="15.75" customHeight="1">
      <c r="A138" s="1"/>
      <c r="D138" s="58"/>
      <c r="E138" s="58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</row>
    <row r="139" ht="15.75" customHeight="1">
      <c r="A139" s="1"/>
      <c r="D139" s="58"/>
      <c r="E139" s="58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</row>
    <row r="140" ht="15.75" customHeight="1">
      <c r="A140" s="1"/>
      <c r="D140" s="58"/>
      <c r="E140" s="58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</row>
    <row r="141" ht="15.75" customHeight="1">
      <c r="A141" s="1"/>
      <c r="D141" s="58"/>
      <c r="E141" s="58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</row>
    <row r="142" ht="15.75" customHeight="1">
      <c r="A142" s="1"/>
      <c r="D142" s="58"/>
      <c r="E142" s="58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</row>
    <row r="143" ht="15.75" customHeight="1">
      <c r="A143" s="1"/>
      <c r="D143" s="58"/>
      <c r="E143" s="58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</row>
    <row r="144" ht="15.75" customHeight="1">
      <c r="A144" s="1"/>
      <c r="D144" s="58"/>
      <c r="E144" s="58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</row>
    <row r="145" ht="15.75" customHeight="1">
      <c r="A145" s="1"/>
      <c r="D145" s="58"/>
      <c r="E145" s="58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</row>
    <row r="146" ht="15.75" customHeight="1">
      <c r="A146" s="1"/>
      <c r="D146" s="58"/>
      <c r="E146" s="58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</row>
    <row r="147" ht="15.75" customHeight="1">
      <c r="A147" s="1"/>
      <c r="D147" s="58"/>
      <c r="E147" s="58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</row>
    <row r="148" ht="15.75" customHeight="1">
      <c r="A148" s="1"/>
      <c r="D148" s="58"/>
      <c r="E148" s="58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</row>
    <row r="149" ht="15.75" customHeight="1">
      <c r="A149" s="1"/>
      <c r="D149" s="58"/>
      <c r="E149" s="58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</row>
    <row r="150" ht="15.75" customHeight="1">
      <c r="A150" s="1"/>
      <c r="D150" s="58"/>
      <c r="E150" s="58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</row>
    <row r="151" ht="15.75" customHeight="1">
      <c r="A151" s="1"/>
      <c r="D151" s="58"/>
      <c r="E151" s="58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</row>
    <row r="152" ht="15.75" customHeight="1">
      <c r="A152" s="1"/>
      <c r="D152" s="58"/>
      <c r="E152" s="58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</row>
    <row r="153" ht="15.75" customHeight="1">
      <c r="A153" s="1"/>
      <c r="D153" s="58"/>
      <c r="E153" s="58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</row>
    <row r="154" ht="15.75" customHeight="1">
      <c r="A154" s="1"/>
      <c r="D154" s="58"/>
      <c r="E154" s="58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</row>
    <row r="155" ht="15.75" customHeight="1">
      <c r="A155" s="1"/>
      <c r="D155" s="58"/>
      <c r="E155" s="58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</row>
    <row r="156" ht="15.75" customHeight="1">
      <c r="A156" s="1"/>
      <c r="D156" s="58"/>
      <c r="E156" s="58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</row>
    <row r="157" ht="15.75" customHeight="1">
      <c r="A157" s="1"/>
      <c r="D157" s="58"/>
      <c r="E157" s="58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</row>
    <row r="158" ht="15.75" customHeight="1">
      <c r="A158" s="1"/>
      <c r="D158" s="58"/>
      <c r="E158" s="58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</row>
    <row r="159" ht="15.75" customHeight="1">
      <c r="A159" s="1"/>
      <c r="D159" s="58"/>
      <c r="E159" s="58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</row>
    <row r="160" ht="15.75" customHeight="1">
      <c r="A160" s="1"/>
      <c r="D160" s="58"/>
      <c r="E160" s="58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</row>
    <row r="161" ht="15.75" customHeight="1">
      <c r="A161" s="1"/>
      <c r="D161" s="58"/>
      <c r="E161" s="58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</row>
    <row r="162" ht="15.75" customHeight="1">
      <c r="A162" s="1"/>
      <c r="D162" s="58"/>
      <c r="E162" s="58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</row>
    <row r="163" ht="15.75" customHeight="1">
      <c r="A163" s="1"/>
      <c r="D163" s="58"/>
      <c r="E163" s="58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</row>
    <row r="164" ht="15.75" customHeight="1">
      <c r="A164" s="1"/>
      <c r="D164" s="58"/>
      <c r="E164" s="58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</row>
    <row r="165" ht="15.75" customHeight="1">
      <c r="A165" s="1"/>
      <c r="D165" s="58"/>
      <c r="E165" s="58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</row>
    <row r="166" ht="15.75" customHeight="1">
      <c r="A166" s="1"/>
      <c r="D166" s="58"/>
      <c r="E166" s="58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</row>
    <row r="167" ht="15.75" customHeight="1">
      <c r="A167" s="1"/>
      <c r="D167" s="58"/>
      <c r="E167" s="58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</row>
    <row r="168" ht="15.75" customHeight="1">
      <c r="A168" s="1"/>
      <c r="D168" s="58"/>
      <c r="E168" s="58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</row>
    <row r="169" ht="15.75" customHeight="1">
      <c r="A169" s="1"/>
      <c r="D169" s="58"/>
      <c r="E169" s="58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</row>
    <row r="170" ht="15.75" customHeight="1">
      <c r="A170" s="1"/>
      <c r="D170" s="58"/>
      <c r="E170" s="58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</row>
    <row r="171" ht="15.75" customHeight="1">
      <c r="A171" s="1"/>
      <c r="D171" s="58"/>
      <c r="E171" s="58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</row>
    <row r="172" ht="15.75" customHeight="1">
      <c r="A172" s="1"/>
      <c r="D172" s="58"/>
      <c r="E172" s="58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</row>
    <row r="173" ht="15.75" customHeight="1">
      <c r="A173" s="1"/>
      <c r="D173" s="58"/>
      <c r="E173" s="58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</row>
    <row r="174" ht="15.75" customHeight="1">
      <c r="A174" s="1"/>
      <c r="D174" s="58"/>
      <c r="E174" s="58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</row>
    <row r="175" ht="15.75" customHeight="1">
      <c r="A175" s="1"/>
      <c r="D175" s="58"/>
      <c r="E175" s="58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</row>
    <row r="176" ht="15.75" customHeight="1">
      <c r="A176" s="1"/>
      <c r="D176" s="58"/>
      <c r="E176" s="58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</row>
    <row r="177" ht="15.75" customHeight="1">
      <c r="A177" s="1"/>
      <c r="D177" s="58"/>
      <c r="E177" s="58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</row>
    <row r="178" ht="15.75" customHeight="1">
      <c r="A178" s="1"/>
      <c r="D178" s="58"/>
      <c r="E178" s="58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</row>
    <row r="179" ht="15.75" customHeight="1">
      <c r="A179" s="1"/>
      <c r="D179" s="58"/>
      <c r="E179" s="58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</row>
    <row r="180" ht="15.75" customHeight="1">
      <c r="A180" s="1"/>
      <c r="D180" s="58"/>
      <c r="E180" s="58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</row>
    <row r="181" ht="15.75" customHeight="1">
      <c r="A181" s="1"/>
      <c r="D181" s="58"/>
      <c r="E181" s="58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</row>
    <row r="182" ht="15.75" customHeight="1">
      <c r="A182" s="1"/>
      <c r="D182" s="58"/>
      <c r="E182" s="58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</row>
    <row r="183" ht="15.75" customHeight="1">
      <c r="A183" s="1"/>
      <c r="D183" s="58"/>
      <c r="E183" s="58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</row>
    <row r="184" ht="15.75" customHeight="1">
      <c r="A184" s="1"/>
      <c r="D184" s="58"/>
      <c r="E184" s="58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</row>
    <row r="185" ht="15.75" customHeight="1">
      <c r="A185" s="1"/>
      <c r="D185" s="58"/>
      <c r="E185" s="58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</row>
    <row r="186" ht="15.75" customHeight="1">
      <c r="A186" s="1"/>
      <c r="D186" s="58"/>
      <c r="E186" s="58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</row>
    <row r="187" ht="15.75" customHeight="1">
      <c r="A187" s="1"/>
      <c r="D187" s="58"/>
      <c r="E187" s="58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</row>
    <row r="188" ht="15.75" customHeight="1">
      <c r="A188" s="1"/>
      <c r="D188" s="58"/>
      <c r="E188" s="58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</row>
    <row r="189" ht="15.75" customHeight="1">
      <c r="A189" s="1"/>
      <c r="D189" s="58"/>
      <c r="E189" s="58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</row>
    <row r="190" ht="15.75" customHeight="1">
      <c r="A190" s="1"/>
      <c r="D190" s="58"/>
      <c r="E190" s="58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</row>
    <row r="191" ht="15.75" customHeight="1">
      <c r="A191" s="1"/>
      <c r="D191" s="58"/>
      <c r="E191" s="58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</row>
    <row r="192" ht="15.75" customHeight="1">
      <c r="A192" s="1"/>
      <c r="D192" s="58"/>
      <c r="E192" s="58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</row>
    <row r="193" ht="15.75" customHeight="1">
      <c r="A193" s="1"/>
      <c r="D193" s="58"/>
      <c r="E193" s="58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</row>
    <row r="194" ht="15.75" customHeight="1">
      <c r="A194" s="1"/>
      <c r="D194" s="58"/>
      <c r="E194" s="58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</row>
    <row r="195" ht="15.75" customHeight="1">
      <c r="A195" s="1"/>
      <c r="D195" s="58"/>
      <c r="E195" s="58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</row>
    <row r="196" ht="15.75" customHeight="1">
      <c r="A196" s="1"/>
      <c r="D196" s="58"/>
      <c r="E196" s="58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</row>
    <row r="197" ht="15.75" customHeight="1">
      <c r="A197" s="1"/>
      <c r="D197" s="58"/>
      <c r="E197" s="58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</row>
    <row r="198" ht="15.75" customHeight="1">
      <c r="A198" s="1"/>
      <c r="D198" s="58"/>
      <c r="E198" s="58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</row>
    <row r="199" ht="15.75" customHeight="1">
      <c r="A199" s="1"/>
      <c r="D199" s="58"/>
      <c r="E199" s="58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</row>
    <row r="200" ht="15.75" customHeight="1">
      <c r="A200" s="1"/>
      <c r="D200" s="58"/>
      <c r="E200" s="58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</row>
    <row r="201" ht="15.75" customHeight="1">
      <c r="A201" s="1"/>
      <c r="D201" s="58"/>
      <c r="E201" s="58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</row>
    <row r="202" ht="15.75" customHeight="1">
      <c r="A202" s="1"/>
      <c r="D202" s="58"/>
      <c r="E202" s="58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</row>
    <row r="203" ht="15.75" customHeight="1">
      <c r="A203" s="1"/>
      <c r="D203" s="58"/>
      <c r="E203" s="58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</row>
    <row r="204" ht="15.75" customHeight="1">
      <c r="A204" s="1"/>
      <c r="D204" s="58"/>
      <c r="E204" s="58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</row>
    <row r="205" ht="15.75" customHeight="1">
      <c r="A205" s="1"/>
      <c r="D205" s="58"/>
      <c r="E205" s="58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</row>
    <row r="206" ht="15.75" customHeight="1">
      <c r="A206" s="1"/>
      <c r="D206" s="58"/>
      <c r="E206" s="58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</row>
    <row r="207" ht="15.75" customHeight="1">
      <c r="A207" s="1"/>
      <c r="D207" s="58"/>
      <c r="E207" s="58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</row>
    <row r="208" ht="15.75" customHeight="1">
      <c r="A208" s="1"/>
      <c r="D208" s="58"/>
      <c r="E208" s="58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</row>
    <row r="209" ht="15.75" customHeight="1">
      <c r="A209" s="1"/>
      <c r="D209" s="58"/>
      <c r="E209" s="58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</row>
    <row r="210" ht="15.75" customHeight="1">
      <c r="A210" s="1"/>
      <c r="D210" s="58"/>
      <c r="E210" s="58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</row>
    <row r="211" ht="15.75" customHeight="1">
      <c r="A211" s="1"/>
      <c r="D211" s="58"/>
      <c r="E211" s="58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</row>
    <row r="212" ht="15.75" customHeight="1">
      <c r="A212" s="1"/>
      <c r="D212" s="58"/>
      <c r="E212" s="58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</row>
    <row r="213" ht="15.75" customHeight="1">
      <c r="A213" s="1"/>
      <c r="D213" s="58"/>
      <c r="E213" s="58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</row>
    <row r="214" ht="15.75" customHeight="1">
      <c r="A214" s="1"/>
      <c r="D214" s="58"/>
      <c r="E214" s="58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</row>
    <row r="215" ht="15.75" customHeight="1">
      <c r="A215" s="1"/>
      <c r="D215" s="58"/>
      <c r="E215" s="58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</row>
    <row r="216" ht="15.75" customHeight="1">
      <c r="A216" s="1"/>
      <c r="D216" s="58"/>
      <c r="E216" s="58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</row>
    <row r="217" ht="15.75" customHeight="1">
      <c r="A217" s="1"/>
      <c r="D217" s="58"/>
      <c r="E217" s="58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</row>
    <row r="218" ht="15.75" customHeight="1">
      <c r="A218" s="1"/>
      <c r="D218" s="58"/>
      <c r="E218" s="58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</row>
    <row r="219" ht="15.75" customHeight="1">
      <c r="A219" s="1"/>
      <c r="D219" s="58"/>
      <c r="E219" s="58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</row>
    <row r="220" ht="15.75" customHeight="1">
      <c r="A220" s="1"/>
      <c r="D220" s="58"/>
      <c r="E220" s="58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</row>
    <row r="221" ht="15.75" customHeight="1">
      <c r="A221" s="1"/>
      <c r="D221" s="58"/>
      <c r="E221" s="58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</row>
    <row r="222" ht="15.75" customHeight="1">
      <c r="A222" s="1"/>
      <c r="D222" s="58"/>
      <c r="E222" s="58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</row>
    <row r="223" ht="15.75" customHeight="1">
      <c r="A223" s="1"/>
      <c r="D223" s="58"/>
      <c r="E223" s="58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</row>
    <row r="224" ht="15.75" customHeight="1">
      <c r="A224" s="1"/>
      <c r="D224" s="58"/>
      <c r="E224" s="58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</row>
    <row r="225" ht="15.75" customHeight="1">
      <c r="A225" s="1"/>
      <c r="D225" s="58"/>
      <c r="E225" s="58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</row>
    <row r="226" ht="15.75" customHeight="1">
      <c r="A226" s="1"/>
      <c r="D226" s="58"/>
      <c r="E226" s="58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</row>
    <row r="227" ht="15.75" customHeight="1">
      <c r="A227" s="1"/>
      <c r="D227" s="58"/>
      <c r="E227" s="58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</row>
    <row r="228" ht="15.75" customHeight="1">
      <c r="A228" s="1"/>
      <c r="D228" s="58"/>
      <c r="E228" s="58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6:D26"/>
  </mergeCells>
  <conditionalFormatting sqref="D6:D25">
    <cfRule type="containsText" dxfId="1" priority="1" operator="containsText" text="Muito">
      <formula>NOT(ISERROR(SEARCH(("Muito"),(D6))))</formula>
    </cfRule>
  </conditionalFormatting>
  <conditionalFormatting sqref="D6:D25">
    <cfRule type="containsText" dxfId="0" priority="2" operator="containsText" text="Totalmente">
      <formula>NOT(ISERROR(SEARCH(("Totalmente"),(D6))))</formula>
    </cfRule>
  </conditionalFormatting>
  <conditionalFormatting sqref="D6:D25">
    <cfRule type="containsText" dxfId="3" priority="3" operator="containsText" text="Pouco">
      <formula>NOT(ISERROR(SEARCH(("Pouco"),(D6))))</formula>
    </cfRule>
  </conditionalFormatting>
  <conditionalFormatting sqref="D6:D25">
    <cfRule type="containsText" dxfId="2" priority="4" operator="containsText" text="Sem">
      <formula>NOT(ISERROR(SEARCH(("Sem"),(D6))))</formula>
    </cfRule>
  </conditionalFormatting>
  <conditionalFormatting sqref="E6:E25">
    <cfRule type="containsText" dxfId="0" priority="5" operator="containsText" text="Muito fraca">
      <formula>NOT(ISERROR(SEARCH(("Muito fraca"),(E6))))</formula>
    </cfRule>
  </conditionalFormatting>
  <conditionalFormatting sqref="E6:E25">
    <cfRule type="containsText" dxfId="1" priority="6" operator="containsText" text="Fraca">
      <formula>NOT(ISERROR(SEARCH(("Fraca"),(E6))))</formula>
    </cfRule>
  </conditionalFormatting>
  <conditionalFormatting sqref="E6:E25">
    <cfRule type="containsText" dxfId="2" priority="7" operator="containsText" text="Muito forte">
      <formula>NOT(ISERROR(SEARCH(("Muito forte"),(E6))))</formula>
    </cfRule>
  </conditionalFormatting>
  <conditionalFormatting sqref="E6:E25">
    <cfRule type="containsText" dxfId="3" priority="8" operator="containsText" text="Forte">
      <formula>NOT(ISERROR(SEARCH(("Forte"),(E6))))</formula>
    </cfRule>
  </conditionalFormatting>
  <conditionalFormatting sqref="F6:F25">
    <cfRule type="containsText" dxfId="0" priority="9" operator="containsText" text="Piora muito">
      <formula>NOT(ISERROR(SEARCH(("Piora muito"),(F6))))</formula>
    </cfRule>
  </conditionalFormatting>
  <conditionalFormatting sqref="F6:F25">
    <cfRule type="containsText" dxfId="1" priority="10" operator="containsText" text="Piora">
      <formula>NOT(ISERROR(SEARCH(("Piora"),(F6))))</formula>
    </cfRule>
  </conditionalFormatting>
  <conditionalFormatting sqref="F6:F25">
    <cfRule type="containsText" dxfId="2" priority="11" operator="containsText" text="Melhora muito">
      <formula>NOT(ISERROR(SEARCH(("Melhora muito"),(F6))))</formula>
    </cfRule>
  </conditionalFormatting>
  <conditionalFormatting sqref="F6:F25">
    <cfRule type="containsText" dxfId="3" priority="12" operator="containsText" text="Melhora">
      <formula>NOT(ISERROR(SEARCH(("Melhora"),(F6))))</formula>
    </cfRule>
  </conditionalFormatting>
  <dataValidations>
    <dataValidation type="list" allowBlank="1" showErrorMessage="1" sqref="D6:D25">
      <formula1>$I$8:$I$12</formula1>
    </dataValidation>
    <dataValidation type="list" allowBlank="1" showErrorMessage="1" sqref="F6:F25">
      <formula1>$I$24:$I$28</formula1>
    </dataValidation>
    <dataValidation type="list" allowBlank="1" showErrorMessage="1" sqref="E6:E25">
      <formula1>$I$16:$I$20</formula1>
    </dataValidation>
  </dataValidations>
  <printOptions verticalCentered="1"/>
  <pageMargins bottom="0.7480314960629921" footer="0.0" header="0.0" left="0.2362204724409449" right="0.2362204724409449" top="0.7480314960629921"/>
  <pageSetup paperSize="9" scale="73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7.71"/>
    <col customWidth="1" min="2" max="2" width="4.29"/>
    <col customWidth="1" min="3" max="3" width="50.71"/>
    <col customWidth="1" min="4" max="6" width="25.71"/>
    <col customWidth="1" min="7" max="7" width="15.71"/>
    <col customWidth="1" min="8" max="8" width="10.43"/>
    <col customWidth="1" min="9" max="9" width="20.43"/>
    <col customWidth="1" min="10" max="17" width="8.71"/>
    <col customWidth="1" min="18" max="18" width="9.29"/>
    <col customWidth="1" hidden="1" min="19" max="47" width="9.29"/>
  </cols>
  <sheetData>
    <row r="1" ht="33.75" customHeight="1">
      <c r="A1" s="1"/>
      <c r="B1" s="23"/>
      <c r="C1" s="24" t="s">
        <v>65</v>
      </c>
      <c r="D1" s="61"/>
      <c r="E1" s="61"/>
      <c r="F1" s="61"/>
      <c r="G1" s="61"/>
      <c r="H1" s="62"/>
      <c r="I1" s="62"/>
      <c r="J1" s="62"/>
      <c r="K1" s="62"/>
      <c r="L1" s="62"/>
      <c r="M1" s="23"/>
      <c r="N1" s="23"/>
      <c r="O1" s="23"/>
      <c r="P1" s="23"/>
      <c r="Q1" s="23"/>
      <c r="R1" s="23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</row>
    <row r="2" ht="37.5" customHeight="1">
      <c r="A2" s="1"/>
      <c r="B2" s="23"/>
      <c r="C2" s="63"/>
      <c r="D2" s="64"/>
      <c r="E2" s="64"/>
      <c r="F2" s="64"/>
      <c r="G2" s="64"/>
      <c r="H2" s="65"/>
      <c r="I2" s="65"/>
      <c r="J2" s="65"/>
      <c r="K2" s="65"/>
      <c r="L2" s="65"/>
      <c r="M2" s="23"/>
      <c r="N2" s="23"/>
      <c r="O2" s="23"/>
      <c r="P2" s="23"/>
      <c r="Q2" s="23"/>
      <c r="R2" s="2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</row>
    <row r="3" ht="18.75" customHeight="1">
      <c r="A3" s="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</row>
    <row r="4" ht="30.0" customHeight="1">
      <c r="A4" s="33"/>
      <c r="B4" s="34"/>
      <c r="C4" s="35" t="s">
        <v>37</v>
      </c>
      <c r="D4" s="36" t="s">
        <v>38</v>
      </c>
      <c r="E4" s="36" t="s">
        <v>66</v>
      </c>
      <c r="F4" s="36" t="s">
        <v>40</v>
      </c>
      <c r="G4" s="37" t="s">
        <v>41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8">
        <v>1.0</v>
      </c>
      <c r="T4" s="38">
        <v>1.0</v>
      </c>
      <c r="U4" s="38">
        <v>1.0</v>
      </c>
      <c r="V4" s="38">
        <v>1.0</v>
      </c>
      <c r="W4" s="38">
        <v>2.0</v>
      </c>
      <c r="X4" s="38">
        <v>2.0</v>
      </c>
      <c r="Y4" s="38">
        <v>2.0</v>
      </c>
      <c r="Z4" s="38">
        <v>2.0</v>
      </c>
      <c r="AA4" s="38">
        <v>2.0</v>
      </c>
      <c r="AB4" s="38">
        <v>2.0</v>
      </c>
      <c r="AC4" s="38">
        <v>2.0</v>
      </c>
      <c r="AD4" s="38">
        <v>2.0</v>
      </c>
      <c r="AE4" s="38">
        <v>2.0</v>
      </c>
      <c r="AF4" s="38">
        <v>2.0</v>
      </c>
      <c r="AG4" s="38">
        <v>2.0</v>
      </c>
      <c r="AH4" s="38">
        <v>2.0</v>
      </c>
      <c r="AI4" s="38">
        <v>3.0</v>
      </c>
      <c r="AJ4" s="38">
        <v>3.0</v>
      </c>
      <c r="AK4" s="38">
        <v>3.0</v>
      </c>
      <c r="AL4" s="38">
        <v>3.0</v>
      </c>
      <c r="AM4" s="38">
        <v>3.0</v>
      </c>
      <c r="AN4" s="38">
        <v>3.0</v>
      </c>
      <c r="AO4" s="38">
        <v>3.0</v>
      </c>
      <c r="AP4" s="38">
        <v>3.0</v>
      </c>
      <c r="AQ4" s="38">
        <v>3.0</v>
      </c>
      <c r="AR4" s="38">
        <v>3.0</v>
      </c>
      <c r="AS4" s="38">
        <v>3.0</v>
      </c>
      <c r="AT4" s="38">
        <v>3.0</v>
      </c>
      <c r="AU4" s="38"/>
    </row>
    <row r="5" ht="30.0" customHeight="1">
      <c r="A5" s="1"/>
      <c r="C5" s="39" t="s">
        <v>67</v>
      </c>
      <c r="D5" s="40" t="s">
        <v>43</v>
      </c>
      <c r="E5" s="41" t="s">
        <v>68</v>
      </c>
      <c r="F5" s="42" t="s">
        <v>45</v>
      </c>
      <c r="G5" s="42" t="s">
        <v>46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</row>
    <row r="6" ht="33.0" customHeight="1">
      <c r="A6" s="1"/>
      <c r="C6" s="43"/>
      <c r="D6" s="44"/>
      <c r="E6" s="44"/>
      <c r="F6" s="45"/>
      <c r="G6" s="46" t="str">
        <f t="shared" ref="G6:G25" si="1">IF(ISERROR(VLOOKUP(D6,$I$8:$J$12,2,FALSE)*VLOOKUP(E6,$I$16:$J$20,2,FALSE)*VLOOKUP(F6,$I$24:$J$28,2,FALSE)),"",VLOOKUP(D6,$I$8:$J$12,2,FALSE)*VLOOKUP(E6,$I$16:$J$20,2,FALSE)*VLOOKUP(F6,$I$24:$J$28,2,FALSE))</f>
        <v/>
      </c>
      <c r="H6" s="31"/>
      <c r="I6" s="32" t="s">
        <v>38</v>
      </c>
      <c r="J6" s="32"/>
      <c r="K6" s="32"/>
      <c r="L6" s="32">
        <v>2.0E-4</v>
      </c>
      <c r="M6" s="47" t="str">
        <f t="shared" ref="M6:M25" si="2">IF(G6="","",G6+L7)</f>
        <v/>
      </c>
      <c r="N6" s="48" t="str">
        <f t="shared" ref="N6:N25" si="3">IF(C6=0,"",C6)</f>
        <v/>
      </c>
      <c r="O6" s="47" t="str">
        <f t="shared" ref="O6:O25" si="4">G6</f>
        <v/>
      </c>
      <c r="P6" s="49"/>
      <c r="Q6" s="31"/>
      <c r="R6" s="31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</row>
    <row r="7" ht="30.0" customHeight="1">
      <c r="A7" s="1"/>
      <c r="C7" s="43"/>
      <c r="D7" s="44"/>
      <c r="E7" s="44"/>
      <c r="F7" s="45"/>
      <c r="G7" s="46" t="str">
        <f t="shared" si="1"/>
        <v/>
      </c>
      <c r="H7" s="50"/>
      <c r="I7" s="51"/>
      <c r="J7" s="32"/>
      <c r="K7" s="32"/>
      <c r="L7" s="32">
        <v>1.9E-4</v>
      </c>
      <c r="M7" s="47" t="str">
        <f t="shared" si="2"/>
        <v/>
      </c>
      <c r="N7" s="48" t="str">
        <f t="shared" si="3"/>
        <v/>
      </c>
      <c r="O7" s="47" t="str">
        <f t="shared" si="4"/>
        <v/>
      </c>
      <c r="P7" s="49"/>
      <c r="Q7" s="31"/>
      <c r="R7" s="31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</row>
    <row r="8" ht="30.0" customHeight="1">
      <c r="A8" s="1"/>
      <c r="C8" s="43"/>
      <c r="D8" s="44"/>
      <c r="E8" s="44"/>
      <c r="F8" s="45"/>
      <c r="G8" s="46" t="str">
        <f t="shared" si="1"/>
        <v/>
      </c>
      <c r="H8" s="52"/>
      <c r="I8" s="32" t="s">
        <v>47</v>
      </c>
      <c r="J8" s="51">
        <v>1.0</v>
      </c>
      <c r="K8" s="32"/>
      <c r="L8" s="32">
        <v>1.8E-4</v>
      </c>
      <c r="M8" s="47" t="str">
        <f t="shared" si="2"/>
        <v/>
      </c>
      <c r="N8" s="48" t="str">
        <f t="shared" si="3"/>
        <v/>
      </c>
      <c r="O8" s="47" t="str">
        <f t="shared" si="4"/>
        <v/>
      </c>
      <c r="P8" s="49"/>
      <c r="Q8" s="31"/>
      <c r="R8" s="31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</row>
    <row r="9" ht="30.0" customHeight="1">
      <c r="A9" s="1"/>
      <c r="C9" s="43"/>
      <c r="D9" s="44"/>
      <c r="E9" s="44"/>
      <c r="F9" s="45"/>
      <c r="G9" s="46" t="str">
        <f t="shared" si="1"/>
        <v/>
      </c>
      <c r="H9" s="31"/>
      <c r="I9" s="32" t="s">
        <v>48</v>
      </c>
      <c r="J9" s="51">
        <v>2.0</v>
      </c>
      <c r="K9" s="32"/>
      <c r="L9" s="32">
        <v>1.7E-4</v>
      </c>
      <c r="M9" s="47" t="str">
        <f t="shared" si="2"/>
        <v/>
      </c>
      <c r="N9" s="48" t="str">
        <f t="shared" si="3"/>
        <v/>
      </c>
      <c r="O9" s="47" t="str">
        <f t="shared" si="4"/>
        <v/>
      </c>
      <c r="P9" s="49"/>
      <c r="Q9" s="31"/>
      <c r="R9" s="31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</row>
    <row r="10" ht="30.0" customHeight="1">
      <c r="A10" s="1"/>
      <c r="C10" s="43"/>
      <c r="D10" s="44"/>
      <c r="E10" s="44"/>
      <c r="F10" s="45"/>
      <c r="G10" s="46" t="str">
        <f t="shared" si="1"/>
        <v/>
      </c>
      <c r="H10" s="31"/>
      <c r="I10" s="32" t="s">
        <v>49</v>
      </c>
      <c r="J10" s="51">
        <v>3.0</v>
      </c>
      <c r="K10" s="32"/>
      <c r="L10" s="32">
        <v>1.6E-4</v>
      </c>
      <c r="M10" s="47" t="str">
        <f t="shared" si="2"/>
        <v/>
      </c>
      <c r="N10" s="48" t="str">
        <f t="shared" si="3"/>
        <v/>
      </c>
      <c r="O10" s="47" t="str">
        <f t="shared" si="4"/>
        <v/>
      </c>
      <c r="P10" s="49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</row>
    <row r="11" ht="30.0" customHeight="1">
      <c r="A11" s="1"/>
      <c r="C11" s="43"/>
      <c r="D11" s="44"/>
      <c r="E11" s="44"/>
      <c r="F11" s="45"/>
      <c r="G11" s="46" t="str">
        <f t="shared" si="1"/>
        <v/>
      </c>
      <c r="H11" s="31"/>
      <c r="I11" s="32" t="s">
        <v>50</v>
      </c>
      <c r="J11" s="51">
        <v>4.0</v>
      </c>
      <c r="K11" s="32"/>
      <c r="L11" s="32">
        <v>1.5E-4</v>
      </c>
      <c r="M11" s="47" t="str">
        <f t="shared" si="2"/>
        <v/>
      </c>
      <c r="N11" s="48" t="str">
        <f t="shared" si="3"/>
        <v/>
      </c>
      <c r="O11" s="47" t="str">
        <f t="shared" si="4"/>
        <v/>
      </c>
      <c r="P11" s="49"/>
      <c r="Q11" s="31"/>
      <c r="R11" s="31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</row>
    <row r="12" ht="30.0" customHeight="1">
      <c r="A12" s="1"/>
      <c r="C12" s="43"/>
      <c r="D12" s="44"/>
      <c r="E12" s="44"/>
      <c r="F12" s="45"/>
      <c r="G12" s="46" t="str">
        <f t="shared" si="1"/>
        <v/>
      </c>
      <c r="H12" s="31"/>
      <c r="I12" s="32" t="s">
        <v>51</v>
      </c>
      <c r="J12" s="51">
        <v>5.0</v>
      </c>
      <c r="K12" s="32"/>
      <c r="L12" s="32">
        <v>1.4E-4</v>
      </c>
      <c r="M12" s="32" t="str">
        <f t="shared" si="2"/>
        <v/>
      </c>
      <c r="N12" s="32" t="str">
        <f t="shared" si="3"/>
        <v/>
      </c>
      <c r="O12" s="47" t="str">
        <f t="shared" si="4"/>
        <v/>
      </c>
      <c r="P12" s="49"/>
      <c r="Q12" s="31"/>
      <c r="R12" s="31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</row>
    <row r="13" ht="30.0" customHeight="1">
      <c r="A13" s="1"/>
      <c r="C13" s="43"/>
      <c r="D13" s="44"/>
      <c r="E13" s="44"/>
      <c r="F13" s="45"/>
      <c r="G13" s="46" t="str">
        <f t="shared" si="1"/>
        <v/>
      </c>
      <c r="H13" s="31"/>
      <c r="I13" s="32"/>
      <c r="J13" s="32"/>
      <c r="K13" s="32"/>
      <c r="L13" s="32">
        <v>1.3E-4</v>
      </c>
      <c r="M13" s="32" t="str">
        <f t="shared" si="2"/>
        <v/>
      </c>
      <c r="N13" s="32" t="str">
        <f t="shared" si="3"/>
        <v/>
      </c>
      <c r="O13" s="47" t="str">
        <f t="shared" si="4"/>
        <v/>
      </c>
      <c r="P13" s="49"/>
      <c r="Q13" s="31"/>
      <c r="R13" s="31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</row>
    <row r="14" ht="30.0" customHeight="1">
      <c r="A14" s="1"/>
      <c r="C14" s="43"/>
      <c r="D14" s="44"/>
      <c r="E14" s="44"/>
      <c r="F14" s="45"/>
      <c r="G14" s="46" t="str">
        <f t="shared" si="1"/>
        <v/>
      </c>
      <c r="H14" s="31"/>
      <c r="I14" s="32" t="s">
        <v>66</v>
      </c>
      <c r="J14" s="32"/>
      <c r="K14" s="32"/>
      <c r="L14" s="32">
        <v>1.2E-4</v>
      </c>
      <c r="M14" s="32" t="str">
        <f t="shared" si="2"/>
        <v/>
      </c>
      <c r="N14" s="32" t="str">
        <f t="shared" si="3"/>
        <v/>
      </c>
      <c r="O14" s="47" t="str">
        <f t="shared" si="4"/>
        <v/>
      </c>
      <c r="P14" s="49"/>
      <c r="Q14" s="31"/>
      <c r="R14" s="31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</row>
    <row r="15" ht="30.0" customHeight="1">
      <c r="A15" s="1"/>
      <c r="C15" s="43"/>
      <c r="D15" s="44"/>
      <c r="E15" s="44"/>
      <c r="F15" s="45"/>
      <c r="G15" s="46" t="str">
        <f t="shared" si="1"/>
        <v/>
      </c>
      <c r="H15" s="31"/>
      <c r="I15" s="51"/>
      <c r="J15" s="32"/>
      <c r="K15" s="32"/>
      <c r="L15" s="32">
        <v>1.1E-4</v>
      </c>
      <c r="M15" s="32" t="str">
        <f t="shared" si="2"/>
        <v/>
      </c>
      <c r="N15" s="32" t="str">
        <f t="shared" si="3"/>
        <v/>
      </c>
      <c r="O15" s="47" t="str">
        <f t="shared" si="4"/>
        <v/>
      </c>
      <c r="P15" s="49"/>
      <c r="Q15" s="31"/>
      <c r="R15" s="31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</row>
    <row r="16" ht="30.0" customHeight="1">
      <c r="A16" s="1"/>
      <c r="B16" s="31"/>
      <c r="C16" s="43"/>
      <c r="D16" s="44"/>
      <c r="E16" s="44"/>
      <c r="F16" s="45"/>
      <c r="G16" s="46" t="str">
        <f t="shared" si="1"/>
        <v/>
      </c>
      <c r="H16" s="31"/>
      <c r="I16" s="32" t="s">
        <v>69</v>
      </c>
      <c r="J16" s="51">
        <v>1.0</v>
      </c>
      <c r="K16" s="32"/>
      <c r="L16" s="32">
        <v>1.0E-4</v>
      </c>
      <c r="M16" s="32" t="str">
        <f t="shared" si="2"/>
        <v/>
      </c>
      <c r="N16" s="32" t="str">
        <f t="shared" si="3"/>
        <v/>
      </c>
      <c r="O16" s="47" t="str">
        <f t="shared" si="4"/>
        <v/>
      </c>
      <c r="P16" s="49"/>
      <c r="Q16" s="31"/>
      <c r="R16" s="31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</row>
    <row r="17" ht="30.0" customHeight="1">
      <c r="A17" s="1"/>
      <c r="B17" s="31"/>
      <c r="C17" s="43"/>
      <c r="D17" s="44"/>
      <c r="E17" s="44"/>
      <c r="F17" s="45"/>
      <c r="G17" s="46" t="str">
        <f t="shared" si="1"/>
        <v/>
      </c>
      <c r="H17" s="31"/>
      <c r="I17" s="32" t="s">
        <v>70</v>
      </c>
      <c r="J17" s="51">
        <v>2.0</v>
      </c>
      <c r="K17" s="32"/>
      <c r="L17" s="32">
        <v>9.0E-5</v>
      </c>
      <c r="M17" s="32" t="str">
        <f t="shared" si="2"/>
        <v/>
      </c>
      <c r="N17" s="32" t="str">
        <f t="shared" si="3"/>
        <v/>
      </c>
      <c r="O17" s="47" t="str">
        <f t="shared" si="4"/>
        <v/>
      </c>
      <c r="P17" s="49"/>
      <c r="Q17" s="31"/>
      <c r="R17" s="31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</row>
    <row r="18" ht="30.0" customHeight="1">
      <c r="A18" s="1"/>
      <c r="B18" s="31"/>
      <c r="C18" s="43"/>
      <c r="D18" s="44"/>
      <c r="E18" s="44"/>
      <c r="F18" s="45"/>
      <c r="G18" s="46" t="str">
        <f t="shared" si="1"/>
        <v/>
      </c>
      <c r="H18" s="31"/>
      <c r="I18" s="32" t="s">
        <v>71</v>
      </c>
      <c r="J18" s="51">
        <v>3.0</v>
      </c>
      <c r="K18" s="32"/>
      <c r="L18" s="32">
        <v>8.0E-5</v>
      </c>
      <c r="M18" s="32" t="str">
        <f t="shared" si="2"/>
        <v/>
      </c>
      <c r="N18" s="32" t="str">
        <f t="shared" si="3"/>
        <v/>
      </c>
      <c r="O18" s="47" t="str">
        <f t="shared" si="4"/>
        <v/>
      </c>
      <c r="P18" s="49"/>
      <c r="Q18" s="31"/>
      <c r="R18" s="31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</row>
    <row r="19" ht="30.0" customHeight="1">
      <c r="A19" s="1"/>
      <c r="B19" s="31"/>
      <c r="C19" s="43"/>
      <c r="D19" s="44"/>
      <c r="E19" s="44"/>
      <c r="F19" s="45"/>
      <c r="G19" s="46" t="str">
        <f t="shared" si="1"/>
        <v/>
      </c>
      <c r="H19" s="31"/>
      <c r="I19" s="32" t="s">
        <v>72</v>
      </c>
      <c r="J19" s="51">
        <v>4.0</v>
      </c>
      <c r="K19" s="32"/>
      <c r="L19" s="32">
        <v>7.0E-5</v>
      </c>
      <c r="M19" s="32" t="str">
        <f t="shared" si="2"/>
        <v/>
      </c>
      <c r="N19" s="32" t="str">
        <f t="shared" si="3"/>
        <v/>
      </c>
      <c r="O19" s="47" t="str">
        <f t="shared" si="4"/>
        <v/>
      </c>
      <c r="P19" s="49"/>
      <c r="Q19" s="31"/>
      <c r="R19" s="31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</row>
    <row r="20" ht="30.0" customHeight="1">
      <c r="A20" s="1"/>
      <c r="B20" s="31"/>
      <c r="C20" s="43"/>
      <c r="D20" s="44"/>
      <c r="E20" s="44"/>
      <c r="F20" s="45"/>
      <c r="G20" s="46" t="str">
        <f t="shared" si="1"/>
        <v/>
      </c>
      <c r="H20" s="31"/>
      <c r="I20" s="32" t="s">
        <v>73</v>
      </c>
      <c r="J20" s="51">
        <v>5.0</v>
      </c>
      <c r="K20" s="32"/>
      <c r="L20" s="32">
        <v>6.0E-5</v>
      </c>
      <c r="M20" s="32" t="str">
        <f t="shared" si="2"/>
        <v/>
      </c>
      <c r="N20" s="32" t="str">
        <f t="shared" si="3"/>
        <v/>
      </c>
      <c r="O20" s="47" t="str">
        <f t="shared" si="4"/>
        <v/>
      </c>
      <c r="P20" s="49"/>
      <c r="Q20" s="31"/>
      <c r="R20" s="31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</row>
    <row r="21" ht="30.0" customHeight="1">
      <c r="A21" s="1"/>
      <c r="B21" s="31"/>
      <c r="C21" s="43"/>
      <c r="D21" s="44"/>
      <c r="E21" s="44"/>
      <c r="F21" s="45"/>
      <c r="G21" s="46" t="str">
        <f t="shared" si="1"/>
        <v/>
      </c>
      <c r="H21" s="31"/>
      <c r="I21" s="32"/>
      <c r="J21" s="32"/>
      <c r="K21" s="32"/>
      <c r="L21" s="32">
        <v>5.0E-5</v>
      </c>
      <c r="M21" s="32" t="str">
        <f t="shared" si="2"/>
        <v/>
      </c>
      <c r="N21" s="32" t="str">
        <f t="shared" si="3"/>
        <v/>
      </c>
      <c r="O21" s="47" t="str">
        <f t="shared" si="4"/>
        <v/>
      </c>
      <c r="P21" s="49"/>
      <c r="Q21" s="31"/>
      <c r="R21" s="31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</row>
    <row r="22" ht="30.0" customHeight="1">
      <c r="A22" s="1"/>
      <c r="B22" s="31"/>
      <c r="C22" s="43"/>
      <c r="D22" s="44"/>
      <c r="E22" s="44"/>
      <c r="F22" s="45"/>
      <c r="G22" s="46" t="str">
        <f t="shared" si="1"/>
        <v/>
      </c>
      <c r="H22" s="31"/>
      <c r="I22" s="32" t="s">
        <v>40</v>
      </c>
      <c r="J22" s="32"/>
      <c r="K22" s="32"/>
      <c r="L22" s="32">
        <v>4.0E-5</v>
      </c>
      <c r="M22" s="32" t="str">
        <f t="shared" si="2"/>
        <v/>
      </c>
      <c r="N22" s="32" t="str">
        <f t="shared" si="3"/>
        <v/>
      </c>
      <c r="O22" s="47" t="str">
        <f t="shared" si="4"/>
        <v/>
      </c>
      <c r="P22" s="49"/>
      <c r="Q22" s="31"/>
      <c r="R22" s="31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</row>
    <row r="23" ht="30.0" customHeight="1">
      <c r="A23" s="1"/>
      <c r="B23" s="31"/>
      <c r="C23" s="43"/>
      <c r="D23" s="44"/>
      <c r="E23" s="44"/>
      <c r="F23" s="45"/>
      <c r="G23" s="46" t="str">
        <f t="shared" si="1"/>
        <v/>
      </c>
      <c r="H23" s="31"/>
      <c r="I23" s="51"/>
      <c r="J23" s="32"/>
      <c r="K23" s="32"/>
      <c r="L23" s="32">
        <v>3.0E-5</v>
      </c>
      <c r="M23" s="32" t="str">
        <f t="shared" si="2"/>
        <v/>
      </c>
      <c r="N23" s="32" t="str">
        <f t="shared" si="3"/>
        <v/>
      </c>
      <c r="O23" s="47" t="str">
        <f t="shared" si="4"/>
        <v/>
      </c>
      <c r="P23" s="49"/>
      <c r="Q23" s="31"/>
      <c r="R23" s="31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</row>
    <row r="24" ht="30.0" customHeight="1">
      <c r="A24" s="1"/>
      <c r="B24" s="31"/>
      <c r="C24" s="43"/>
      <c r="D24" s="44"/>
      <c r="E24" s="44"/>
      <c r="F24" s="45"/>
      <c r="G24" s="46" t="str">
        <f t="shared" si="1"/>
        <v/>
      </c>
      <c r="H24" s="31"/>
      <c r="I24" s="32" t="s">
        <v>57</v>
      </c>
      <c r="J24" s="51">
        <v>5.0</v>
      </c>
      <c r="K24" s="32"/>
      <c r="L24" s="32">
        <v>2.0E-5</v>
      </c>
      <c r="M24" s="32" t="str">
        <f t="shared" si="2"/>
        <v/>
      </c>
      <c r="N24" s="32" t="str">
        <f t="shared" si="3"/>
        <v/>
      </c>
      <c r="O24" s="47" t="str">
        <f t="shared" si="4"/>
        <v/>
      </c>
      <c r="P24" s="49"/>
      <c r="Q24" s="31"/>
      <c r="R24" s="31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</row>
    <row r="25" ht="30.0" customHeight="1">
      <c r="A25" s="1"/>
      <c r="B25" s="31"/>
      <c r="C25" s="43"/>
      <c r="D25" s="44"/>
      <c r="E25" s="44"/>
      <c r="F25" s="45"/>
      <c r="G25" s="46" t="str">
        <f t="shared" si="1"/>
        <v/>
      </c>
      <c r="H25" s="31"/>
      <c r="I25" s="32" t="s">
        <v>58</v>
      </c>
      <c r="J25" s="51">
        <v>4.0</v>
      </c>
      <c r="K25" s="32"/>
      <c r="L25" s="32">
        <v>1.0E-5</v>
      </c>
      <c r="M25" s="32" t="str">
        <f t="shared" si="2"/>
        <v/>
      </c>
      <c r="N25" s="32" t="str">
        <f t="shared" si="3"/>
        <v/>
      </c>
      <c r="O25" s="47" t="str">
        <f t="shared" si="4"/>
        <v/>
      </c>
      <c r="P25" s="49"/>
      <c r="Q25" s="31"/>
      <c r="R25" s="31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</row>
    <row r="26" ht="30.0" customHeight="1">
      <c r="A26" s="1"/>
      <c r="B26" s="31"/>
      <c r="C26" s="53" t="s">
        <v>74</v>
      </c>
      <c r="D26" s="54"/>
      <c r="E26" s="54"/>
      <c r="F26" s="55" t="s">
        <v>60</v>
      </c>
      <c r="G26" s="56">
        <f>SUM(G6:G25)</f>
        <v>0</v>
      </c>
      <c r="H26" s="31"/>
      <c r="I26" s="32" t="s">
        <v>61</v>
      </c>
      <c r="J26" s="51">
        <v>3.0</v>
      </c>
      <c r="K26" s="32"/>
      <c r="L26" s="32"/>
      <c r="M26" s="32"/>
      <c r="N26" s="32"/>
      <c r="O26" s="47"/>
      <c r="P26" s="49"/>
      <c r="Q26" s="31"/>
      <c r="R26" s="31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</row>
    <row r="27" ht="30.0" customHeight="1">
      <c r="A27" s="1"/>
      <c r="B27" s="31"/>
      <c r="H27" s="31"/>
      <c r="I27" s="32" t="s">
        <v>62</v>
      </c>
      <c r="J27" s="51">
        <v>2.0</v>
      </c>
      <c r="K27" s="32"/>
      <c r="L27" s="32"/>
      <c r="M27" s="32"/>
      <c r="N27" s="32"/>
      <c r="O27" s="47"/>
      <c r="P27" s="49"/>
      <c r="Q27" s="31"/>
      <c r="R27" s="31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</row>
    <row r="28" ht="30.0" customHeight="1">
      <c r="A28" s="1"/>
      <c r="B28" s="31"/>
      <c r="H28" s="31"/>
      <c r="I28" s="32" t="s">
        <v>63</v>
      </c>
      <c r="J28" s="51">
        <v>1.0</v>
      </c>
      <c r="K28" s="32"/>
      <c r="L28" s="32"/>
      <c r="M28" s="32"/>
      <c r="N28" s="32"/>
      <c r="O28" s="47"/>
      <c r="P28" s="49"/>
      <c r="Q28" s="31"/>
      <c r="R28" s="31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</row>
    <row r="29" ht="30.0" customHeight="1">
      <c r="A29" s="1"/>
      <c r="B29" s="31"/>
      <c r="H29" s="31"/>
      <c r="I29" s="31"/>
      <c r="J29" s="31"/>
      <c r="K29" s="31"/>
      <c r="L29" s="31"/>
      <c r="M29" s="31"/>
      <c r="N29" s="31"/>
      <c r="O29" s="57"/>
      <c r="P29" s="49"/>
      <c r="Q29" s="31"/>
      <c r="R29" s="31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</row>
    <row r="30" ht="30.0" customHeight="1">
      <c r="A30" s="1"/>
      <c r="B30" s="31"/>
      <c r="H30" s="31"/>
      <c r="I30" s="31"/>
      <c r="J30" s="31"/>
      <c r="K30" s="31"/>
      <c r="L30" s="31"/>
      <c r="M30" s="31"/>
      <c r="N30" s="31"/>
      <c r="O30" s="57"/>
      <c r="P30" s="49"/>
      <c r="Q30" s="31"/>
      <c r="R30" s="31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</row>
    <row r="31" ht="30.0" customHeight="1">
      <c r="A31" s="1"/>
      <c r="B31" s="31"/>
      <c r="H31" s="31"/>
      <c r="I31" s="31"/>
      <c r="J31" s="31"/>
      <c r="K31" s="31"/>
      <c r="L31" s="31"/>
      <c r="M31" s="31"/>
      <c r="N31" s="31"/>
      <c r="O31" s="57"/>
      <c r="P31" s="49"/>
      <c r="Q31" s="31"/>
      <c r="R31" s="31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</row>
    <row r="32" ht="30.0" customHeight="1">
      <c r="A32" s="1"/>
      <c r="B32" s="31"/>
      <c r="H32" s="31"/>
      <c r="I32" s="31"/>
      <c r="J32" s="31"/>
      <c r="K32" s="31"/>
      <c r="L32" s="31"/>
      <c r="M32" s="31"/>
      <c r="N32" s="31"/>
      <c r="O32" s="57"/>
      <c r="P32" s="49"/>
      <c r="Q32" s="31"/>
      <c r="R32" s="31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</row>
    <row r="33" ht="30.0" customHeight="1">
      <c r="A33" s="1"/>
      <c r="B33" s="31"/>
      <c r="H33" s="31"/>
      <c r="I33" s="31"/>
      <c r="J33" s="31"/>
      <c r="K33" s="31"/>
      <c r="L33" s="31"/>
      <c r="M33" s="31"/>
      <c r="N33" s="31"/>
      <c r="O33" s="57"/>
      <c r="P33" s="49"/>
      <c r="Q33" s="31"/>
      <c r="R33" s="31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</row>
    <row r="34" ht="30.0" customHeight="1">
      <c r="A34" s="1"/>
      <c r="B34" s="31"/>
      <c r="H34" s="31"/>
      <c r="I34" s="31"/>
      <c r="J34" s="31"/>
      <c r="K34" s="31"/>
      <c r="L34" s="31"/>
      <c r="M34" s="31"/>
      <c r="N34" s="31"/>
      <c r="O34" s="57"/>
      <c r="P34" s="49"/>
      <c r="Q34" s="31"/>
      <c r="R34" s="31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</row>
    <row r="35" ht="30.0" customHeight="1">
      <c r="A35" s="1"/>
      <c r="B35" s="31"/>
      <c r="H35" s="31"/>
      <c r="I35" s="31"/>
      <c r="J35" s="31"/>
      <c r="K35" s="31"/>
      <c r="L35" s="31"/>
      <c r="M35" s="31"/>
      <c r="N35" s="31"/>
      <c r="O35" s="57"/>
      <c r="P35" s="49"/>
      <c r="Q35" s="31"/>
      <c r="R35" s="31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</row>
    <row r="36" ht="30.0" customHeight="1">
      <c r="A36" s="1"/>
      <c r="B36" s="31"/>
      <c r="H36" s="31"/>
      <c r="I36" s="31"/>
      <c r="J36" s="31"/>
      <c r="K36" s="31"/>
      <c r="L36" s="31"/>
      <c r="M36" s="31"/>
      <c r="N36" s="31"/>
      <c r="O36" s="57"/>
      <c r="P36" s="49"/>
      <c r="Q36" s="31"/>
      <c r="R36" s="31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</row>
    <row r="37" ht="30.0" customHeight="1">
      <c r="A37" s="1"/>
      <c r="B37" s="31"/>
      <c r="H37" s="31"/>
      <c r="I37" s="31"/>
      <c r="J37" s="31"/>
      <c r="K37" s="31"/>
      <c r="L37" s="31"/>
      <c r="M37" s="31"/>
      <c r="N37" s="31"/>
      <c r="O37" s="57"/>
      <c r="P37" s="49"/>
      <c r="Q37" s="31"/>
      <c r="R37" s="31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</row>
    <row r="38" ht="30.0" customHeight="1">
      <c r="A38" s="1"/>
      <c r="B38" s="31"/>
      <c r="H38" s="31"/>
      <c r="I38" s="31"/>
      <c r="J38" s="31"/>
      <c r="K38" s="31"/>
      <c r="L38" s="31"/>
      <c r="M38" s="31"/>
      <c r="N38" s="31"/>
      <c r="O38" s="57"/>
      <c r="P38" s="49"/>
      <c r="Q38" s="31"/>
      <c r="R38" s="31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</row>
    <row r="39" ht="30.0" customHeight="1">
      <c r="A39" s="1"/>
      <c r="B39" s="31"/>
      <c r="H39" s="31"/>
      <c r="I39" s="31"/>
      <c r="J39" s="31"/>
      <c r="K39" s="31"/>
      <c r="L39" s="31"/>
      <c r="M39" s="31"/>
      <c r="N39" s="31"/>
      <c r="O39" s="57"/>
      <c r="P39" s="49"/>
      <c r="Q39" s="31"/>
      <c r="R39" s="31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</row>
    <row r="40" ht="30.0" customHeight="1">
      <c r="A40" s="1"/>
      <c r="B40" s="31"/>
      <c r="H40" s="31"/>
      <c r="I40" s="31"/>
      <c r="J40" s="31"/>
      <c r="K40" s="31"/>
      <c r="L40" s="31"/>
      <c r="M40" s="31"/>
      <c r="N40" s="31"/>
      <c r="O40" s="57"/>
      <c r="P40" s="49"/>
      <c r="Q40" s="31"/>
      <c r="R40" s="31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</row>
    <row r="41" ht="30.0" customHeight="1">
      <c r="A41" s="1"/>
      <c r="B41" s="31"/>
      <c r="H41" s="31"/>
      <c r="I41" s="31"/>
      <c r="J41" s="31"/>
      <c r="K41" s="31"/>
      <c r="L41" s="31"/>
      <c r="M41" s="31"/>
      <c r="N41" s="31"/>
      <c r="O41" s="57"/>
      <c r="P41" s="49"/>
      <c r="Q41" s="31"/>
      <c r="R41" s="31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</row>
    <row r="42" ht="30.0" customHeight="1">
      <c r="A42" s="1"/>
      <c r="B42" s="31"/>
      <c r="H42" s="31"/>
      <c r="I42" s="31"/>
      <c r="J42" s="31"/>
      <c r="K42" s="31"/>
      <c r="L42" s="31"/>
      <c r="M42" s="31"/>
      <c r="N42" s="31"/>
      <c r="O42" s="57"/>
      <c r="P42" s="49"/>
      <c r="Q42" s="31"/>
      <c r="R42" s="31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</row>
    <row r="43" ht="30.0" customHeight="1">
      <c r="A43" s="1"/>
      <c r="B43" s="31"/>
      <c r="H43" s="31"/>
      <c r="I43" s="31"/>
      <c r="J43" s="31"/>
      <c r="K43" s="31"/>
      <c r="L43" s="31"/>
      <c r="M43" s="31"/>
      <c r="N43" s="31"/>
      <c r="O43" s="57"/>
      <c r="P43" s="49"/>
      <c r="Q43" s="31"/>
      <c r="R43" s="31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</row>
    <row r="44" ht="30.0" customHeight="1">
      <c r="A44" s="1"/>
      <c r="B44" s="31"/>
      <c r="H44" s="31"/>
      <c r="I44" s="31"/>
      <c r="J44" s="31"/>
      <c r="K44" s="31"/>
      <c r="L44" s="31"/>
      <c r="M44" s="31"/>
      <c r="N44" s="31"/>
      <c r="O44" s="57"/>
      <c r="P44" s="49"/>
      <c r="Q44" s="31"/>
      <c r="R44" s="31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</row>
    <row r="45" ht="30.0" customHeight="1">
      <c r="A45" s="1"/>
      <c r="B45" s="31"/>
      <c r="H45" s="31"/>
      <c r="I45" s="31"/>
      <c r="J45" s="31"/>
      <c r="K45" s="31"/>
      <c r="L45" s="31"/>
      <c r="M45" s="31"/>
      <c r="N45" s="31"/>
      <c r="O45" s="57"/>
      <c r="P45" s="66"/>
      <c r="Q45" s="31"/>
      <c r="R45" s="31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</row>
    <row r="46" ht="37.5" customHeight="1">
      <c r="A46" s="1"/>
      <c r="B46" s="31"/>
      <c r="H46" s="31"/>
      <c r="I46" s="31"/>
      <c r="J46" s="31"/>
      <c r="K46" s="31"/>
      <c r="L46" s="31"/>
      <c r="M46" s="31"/>
      <c r="N46" s="49"/>
      <c r="O46" s="31"/>
      <c r="P46" s="31"/>
      <c r="Q46" s="31"/>
      <c r="R46" s="31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</row>
    <row r="47" ht="30.0" customHeight="1">
      <c r="A47" s="1"/>
      <c r="B47" s="31"/>
      <c r="H47" s="31"/>
      <c r="I47" s="31"/>
      <c r="J47" s="31"/>
      <c r="K47" s="31"/>
      <c r="L47" s="31"/>
      <c r="M47" s="31"/>
      <c r="N47" s="49"/>
      <c r="O47" s="31"/>
      <c r="P47" s="31"/>
      <c r="Q47" s="31"/>
      <c r="R47" s="31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</row>
    <row r="48" ht="30.0" customHeight="1">
      <c r="A48" s="1"/>
      <c r="B48" s="31"/>
      <c r="H48" s="31"/>
      <c r="I48" s="31"/>
      <c r="J48" s="31"/>
      <c r="K48" s="31"/>
      <c r="L48" s="31"/>
      <c r="M48" s="31"/>
      <c r="N48" s="49"/>
      <c r="O48" s="31"/>
      <c r="P48" s="31"/>
      <c r="Q48" s="31"/>
      <c r="R48" s="31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</row>
    <row r="49" ht="30.0" customHeight="1">
      <c r="A49" s="1"/>
      <c r="B49" s="31"/>
      <c r="D49" s="58"/>
      <c r="E49" s="58"/>
      <c r="H49" s="31"/>
      <c r="I49" s="31"/>
      <c r="J49" s="31"/>
      <c r="K49" s="31"/>
      <c r="L49" s="31"/>
      <c r="M49" s="31"/>
      <c r="N49" s="49"/>
      <c r="O49" s="31"/>
      <c r="P49" s="31"/>
      <c r="Q49" s="31"/>
      <c r="R49" s="31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</row>
    <row r="50" ht="30.0" hidden="1" customHeight="1">
      <c r="A50" s="1"/>
      <c r="B50" s="31"/>
      <c r="D50" s="58"/>
      <c r="E50" s="58"/>
      <c r="H50" s="31"/>
      <c r="I50" s="31"/>
      <c r="J50" s="31"/>
      <c r="K50" s="31"/>
      <c r="L50" s="31"/>
      <c r="M50" s="31"/>
      <c r="N50" s="49"/>
      <c r="O50" s="31"/>
      <c r="P50" s="31"/>
      <c r="Q50" s="31"/>
      <c r="R50" s="31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</row>
    <row r="51" ht="30.0" hidden="1" customHeight="1">
      <c r="A51" s="1"/>
      <c r="B51" s="31"/>
      <c r="D51" s="58"/>
      <c r="E51" s="58"/>
      <c r="H51" s="31"/>
      <c r="I51" s="31"/>
      <c r="J51" s="31"/>
      <c r="K51" s="31"/>
      <c r="L51" s="31"/>
      <c r="M51" s="31"/>
      <c r="N51" s="49"/>
      <c r="O51" s="31"/>
      <c r="P51" s="31"/>
      <c r="Q51" s="31"/>
      <c r="R51" s="31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</row>
    <row r="52" ht="30.0" hidden="1" customHeight="1">
      <c r="A52" s="1"/>
      <c r="B52" s="31"/>
      <c r="D52" s="58"/>
      <c r="E52" s="58"/>
      <c r="H52" s="31"/>
      <c r="I52" s="31"/>
      <c r="J52" s="31"/>
      <c r="K52" s="31"/>
      <c r="L52" s="31"/>
      <c r="M52" s="31"/>
      <c r="N52" s="49"/>
      <c r="O52" s="31"/>
      <c r="P52" s="31"/>
      <c r="Q52" s="31"/>
      <c r="R52" s="31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</row>
    <row r="53" ht="30.0" hidden="1" customHeight="1">
      <c r="A53" s="1"/>
      <c r="B53" s="31"/>
      <c r="D53" s="58"/>
      <c r="E53" s="58"/>
      <c r="H53" s="31"/>
      <c r="I53" s="31"/>
      <c r="J53" s="31"/>
      <c r="K53" s="31"/>
      <c r="L53" s="31"/>
      <c r="M53" s="31"/>
      <c r="N53" s="49"/>
      <c r="O53" s="31"/>
      <c r="P53" s="31"/>
      <c r="Q53" s="31"/>
      <c r="R53" s="31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</row>
    <row r="54" ht="30.0" hidden="1" customHeight="1">
      <c r="A54" s="1"/>
      <c r="B54" s="31"/>
      <c r="D54" s="58"/>
      <c r="E54" s="58"/>
      <c r="H54" s="31"/>
      <c r="I54" s="31"/>
      <c r="J54" s="31"/>
      <c r="K54" s="31"/>
      <c r="L54" s="31"/>
      <c r="M54" s="31"/>
      <c r="N54" s="49"/>
      <c r="O54" s="31"/>
      <c r="P54" s="31"/>
      <c r="Q54" s="31"/>
      <c r="R54" s="31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</row>
    <row r="55" ht="30.0" hidden="1" customHeight="1">
      <c r="A55" s="1"/>
      <c r="D55" s="58"/>
      <c r="E55" s="58"/>
      <c r="H55" s="31"/>
      <c r="I55" s="31"/>
      <c r="J55" s="31"/>
      <c r="K55" s="31"/>
      <c r="L55" s="31"/>
      <c r="M55" s="31"/>
      <c r="N55" s="49"/>
      <c r="O55" s="31"/>
      <c r="P55" s="31"/>
      <c r="Q55" s="31"/>
      <c r="R55" s="31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</row>
    <row r="56" ht="30.0" hidden="1" customHeight="1">
      <c r="A56" s="1"/>
      <c r="D56" s="58"/>
      <c r="E56" s="58"/>
      <c r="H56" s="31"/>
      <c r="I56" s="31"/>
      <c r="J56" s="31"/>
      <c r="K56" s="31"/>
      <c r="L56" s="31"/>
      <c r="M56" s="31"/>
      <c r="N56" s="49"/>
      <c r="O56" s="31"/>
      <c r="P56" s="31"/>
      <c r="Q56" s="31"/>
      <c r="R56" s="31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</row>
    <row r="57" ht="30.0" hidden="1" customHeight="1">
      <c r="A57" s="1"/>
      <c r="D57" s="58"/>
      <c r="E57" s="58"/>
      <c r="H57" s="31"/>
      <c r="I57" s="31"/>
      <c r="J57" s="31"/>
      <c r="K57" s="31"/>
      <c r="L57" s="31"/>
      <c r="M57" s="31"/>
      <c r="N57" s="49"/>
      <c r="O57" s="31"/>
      <c r="P57" s="31"/>
      <c r="Q57" s="31"/>
      <c r="R57" s="31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</row>
    <row r="58" ht="30.0" hidden="1" customHeight="1">
      <c r="A58" s="1"/>
      <c r="D58" s="58"/>
      <c r="E58" s="58"/>
      <c r="H58" s="31"/>
      <c r="I58" s="31"/>
      <c r="J58" s="31"/>
      <c r="K58" s="31"/>
      <c r="L58" s="31"/>
      <c r="M58" s="31"/>
      <c r="N58" s="49"/>
      <c r="O58" s="31"/>
      <c r="P58" s="31"/>
      <c r="Q58" s="31"/>
      <c r="R58" s="31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</row>
    <row r="59" ht="30.0" hidden="1" customHeight="1">
      <c r="A59" s="1"/>
      <c r="D59" s="58"/>
      <c r="E59" s="58"/>
      <c r="H59" s="31"/>
      <c r="I59" s="31"/>
      <c r="J59" s="31"/>
      <c r="K59" s="31"/>
      <c r="L59" s="31"/>
      <c r="M59" s="31"/>
      <c r="N59" s="49"/>
      <c r="O59" s="31"/>
      <c r="P59" s="31"/>
      <c r="Q59" s="31"/>
      <c r="R59" s="31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</row>
    <row r="60" ht="30.0" hidden="1" customHeight="1">
      <c r="A60" s="1"/>
      <c r="D60" s="58"/>
      <c r="E60" s="58"/>
      <c r="H60" s="31"/>
      <c r="I60" s="31"/>
      <c r="J60" s="31"/>
      <c r="K60" s="31"/>
      <c r="L60" s="31"/>
      <c r="M60" s="31"/>
      <c r="N60" s="49"/>
      <c r="O60" s="31"/>
      <c r="P60" s="31"/>
      <c r="Q60" s="31"/>
      <c r="R60" s="31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</row>
    <row r="61" ht="30.0" hidden="1" customHeight="1">
      <c r="A61" s="1"/>
      <c r="D61" s="58"/>
      <c r="E61" s="58"/>
      <c r="H61" s="31"/>
      <c r="I61" s="31"/>
      <c r="J61" s="31"/>
      <c r="K61" s="31"/>
      <c r="L61" s="31"/>
      <c r="M61" s="31"/>
      <c r="N61" s="49"/>
      <c r="O61" s="31"/>
      <c r="P61" s="31"/>
      <c r="Q61" s="31"/>
      <c r="R61" s="31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</row>
    <row r="62" ht="30.0" hidden="1" customHeight="1">
      <c r="A62" s="1"/>
      <c r="D62" s="58"/>
      <c r="E62" s="58"/>
      <c r="H62" s="31"/>
      <c r="I62" s="31"/>
      <c r="J62" s="31"/>
      <c r="K62" s="31"/>
      <c r="L62" s="31"/>
      <c r="M62" s="31"/>
      <c r="N62" s="49"/>
      <c r="O62" s="31"/>
      <c r="P62" s="31"/>
      <c r="Q62" s="31"/>
      <c r="R62" s="31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</row>
    <row r="63" ht="30.0" hidden="1" customHeight="1">
      <c r="A63" s="1"/>
      <c r="D63" s="58"/>
      <c r="E63" s="58"/>
      <c r="H63" s="31"/>
      <c r="I63" s="31"/>
      <c r="J63" s="31"/>
      <c r="K63" s="31"/>
      <c r="L63" s="31"/>
      <c r="M63" s="31"/>
      <c r="N63" s="49"/>
      <c r="O63" s="31"/>
      <c r="P63" s="31"/>
      <c r="Q63" s="31"/>
      <c r="R63" s="31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</row>
    <row r="64" ht="30.0" hidden="1" customHeight="1">
      <c r="A64" s="1"/>
      <c r="D64" s="58"/>
      <c r="E64" s="58"/>
      <c r="H64" s="31"/>
      <c r="I64" s="31"/>
      <c r="J64" s="31"/>
      <c r="K64" s="31"/>
      <c r="L64" s="31"/>
      <c r="M64" s="31"/>
      <c r="N64" s="49"/>
      <c r="O64" s="31"/>
      <c r="P64" s="31"/>
      <c r="Q64" s="31"/>
      <c r="R64" s="31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</row>
    <row r="65" ht="14.25" customHeight="1">
      <c r="A65" s="1"/>
      <c r="D65" s="58"/>
      <c r="E65" s="58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</row>
    <row r="66" ht="14.25" customHeight="1">
      <c r="A66" s="1"/>
      <c r="D66" s="58"/>
      <c r="E66" s="58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</row>
    <row r="67" ht="14.25" customHeight="1">
      <c r="A67" s="1"/>
      <c r="D67" s="58"/>
      <c r="E67" s="58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</row>
    <row r="68" ht="14.25" customHeight="1">
      <c r="A68" s="1"/>
      <c r="D68" s="58"/>
      <c r="E68" s="58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</row>
    <row r="69" ht="14.25" customHeight="1">
      <c r="A69" s="1"/>
      <c r="D69" s="58"/>
      <c r="E69" s="58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</row>
    <row r="70" ht="14.25" customHeight="1">
      <c r="A70" s="1"/>
      <c r="D70" s="58"/>
      <c r="E70" s="58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</row>
    <row r="71" ht="14.25" customHeight="1">
      <c r="A71" s="1"/>
      <c r="D71" s="58"/>
      <c r="E71" s="58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</row>
    <row r="72" ht="14.25" customHeight="1">
      <c r="A72" s="1"/>
      <c r="D72" s="58"/>
      <c r="E72" s="58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</row>
    <row r="73" ht="14.25" customHeight="1">
      <c r="A73" s="1"/>
      <c r="D73" s="58"/>
      <c r="E73" s="58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</row>
    <row r="74" ht="14.25" customHeight="1">
      <c r="A74" s="1"/>
      <c r="D74" s="58"/>
      <c r="E74" s="58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</row>
    <row r="75" ht="14.25" customHeight="1">
      <c r="A75" s="1"/>
      <c r="D75" s="58"/>
      <c r="E75" s="58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</row>
    <row r="76" ht="14.25" customHeight="1">
      <c r="A76" s="1"/>
      <c r="D76" s="58"/>
      <c r="E76" s="58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</row>
    <row r="77" ht="14.25" customHeight="1">
      <c r="A77" s="1"/>
      <c r="D77" s="58"/>
      <c r="E77" s="58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</row>
    <row r="78" ht="14.25" customHeight="1">
      <c r="A78" s="1"/>
      <c r="D78" s="58"/>
      <c r="E78" s="58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</row>
    <row r="79" ht="14.25" customHeight="1">
      <c r="A79" s="1"/>
      <c r="D79" s="58"/>
      <c r="E79" s="58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</row>
    <row r="80" ht="14.25" customHeight="1">
      <c r="A80" s="1"/>
      <c r="D80" s="58"/>
      <c r="E80" s="58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</row>
    <row r="81" ht="14.25" customHeight="1">
      <c r="A81" s="1"/>
      <c r="D81" s="58"/>
      <c r="E81" s="58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</row>
    <row r="82" ht="14.25" customHeight="1">
      <c r="A82" s="1"/>
      <c r="D82" s="58"/>
      <c r="E82" s="58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</row>
    <row r="83" ht="14.25" customHeight="1">
      <c r="A83" s="1"/>
      <c r="D83" s="58"/>
      <c r="E83" s="58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</row>
    <row r="84" ht="14.25" customHeight="1">
      <c r="A84" s="1"/>
      <c r="D84" s="58"/>
      <c r="E84" s="58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</row>
    <row r="85" ht="14.25" customHeight="1">
      <c r="A85" s="1"/>
      <c r="D85" s="58"/>
      <c r="E85" s="58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</row>
    <row r="86" ht="14.25" customHeight="1">
      <c r="A86" s="1"/>
      <c r="D86" s="58"/>
      <c r="E86" s="58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</row>
    <row r="87" ht="14.25" customHeight="1">
      <c r="A87" s="1"/>
      <c r="D87" s="58"/>
      <c r="E87" s="58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</row>
    <row r="88" ht="14.25" customHeight="1">
      <c r="A88" s="1"/>
      <c r="D88" s="58"/>
      <c r="E88" s="58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</row>
    <row r="89" ht="14.25" customHeight="1">
      <c r="A89" s="1"/>
      <c r="D89" s="58"/>
      <c r="E89" s="58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</row>
    <row r="90" ht="14.25" customHeight="1">
      <c r="A90" s="1"/>
      <c r="D90" s="58"/>
      <c r="E90" s="58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</row>
    <row r="91" ht="14.25" customHeight="1">
      <c r="A91" s="1"/>
      <c r="D91" s="58"/>
      <c r="E91" s="58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</row>
    <row r="92" ht="14.25" customHeight="1">
      <c r="A92" s="1"/>
      <c r="D92" s="58"/>
      <c r="E92" s="58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</row>
    <row r="93" ht="14.25" customHeight="1">
      <c r="A93" s="1"/>
      <c r="D93" s="58"/>
      <c r="E93" s="58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</row>
    <row r="94" ht="14.25" customHeight="1">
      <c r="A94" s="1"/>
      <c r="D94" s="58"/>
      <c r="E94" s="58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</row>
    <row r="95" ht="14.25" customHeight="1">
      <c r="A95" s="1"/>
      <c r="D95" s="58"/>
      <c r="E95" s="58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</row>
    <row r="96" ht="14.25" customHeight="1">
      <c r="A96" s="1"/>
      <c r="D96" s="58"/>
      <c r="E96" s="58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</row>
    <row r="97" ht="14.25" customHeight="1">
      <c r="A97" s="1"/>
      <c r="D97" s="58"/>
      <c r="E97" s="58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</row>
    <row r="98" ht="14.25" customHeight="1">
      <c r="A98" s="1"/>
      <c r="D98" s="58"/>
      <c r="E98" s="58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</row>
    <row r="99" ht="14.25" customHeight="1">
      <c r="A99" s="1"/>
      <c r="D99" s="58"/>
      <c r="E99" s="58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</row>
    <row r="100" ht="14.25" customHeight="1">
      <c r="A100" s="1"/>
      <c r="D100" s="58"/>
      <c r="E100" s="58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</row>
    <row r="101" ht="14.25" customHeight="1">
      <c r="A101" s="1"/>
      <c r="D101" s="58"/>
      <c r="E101" s="58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</row>
    <row r="102" ht="14.25" customHeight="1">
      <c r="A102" s="1"/>
      <c r="D102" s="58"/>
      <c r="E102" s="58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</row>
    <row r="103" ht="14.25" customHeight="1">
      <c r="A103" s="1"/>
      <c r="D103" s="58"/>
      <c r="E103" s="58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</row>
    <row r="104" ht="14.25" customHeight="1">
      <c r="A104" s="1"/>
      <c r="D104" s="58"/>
      <c r="E104" s="58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</row>
    <row r="105" ht="14.25" customHeight="1">
      <c r="A105" s="1"/>
      <c r="D105" s="58"/>
      <c r="E105" s="58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</row>
    <row r="106" ht="14.25" customHeight="1">
      <c r="A106" s="1"/>
      <c r="D106" s="58"/>
      <c r="E106" s="58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</row>
    <row r="107" ht="14.25" customHeight="1">
      <c r="A107" s="1"/>
      <c r="D107" s="58"/>
      <c r="E107" s="58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</row>
    <row r="108" ht="14.25" customHeight="1">
      <c r="A108" s="1"/>
      <c r="D108" s="58"/>
      <c r="E108" s="58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</row>
    <row r="109" ht="14.25" customHeight="1">
      <c r="A109" s="1"/>
      <c r="D109" s="58"/>
      <c r="E109" s="58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</row>
    <row r="110" ht="14.25" customHeight="1">
      <c r="A110" s="1"/>
      <c r="D110" s="58"/>
      <c r="E110" s="58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</row>
    <row r="111" ht="14.25" customHeight="1">
      <c r="A111" s="1"/>
      <c r="D111" s="58"/>
      <c r="E111" s="58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</row>
    <row r="112" ht="14.25" customHeight="1">
      <c r="A112" s="1"/>
      <c r="D112" s="58"/>
      <c r="E112" s="58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</row>
    <row r="113" ht="14.25" customHeight="1">
      <c r="A113" s="1"/>
      <c r="D113" s="58"/>
      <c r="E113" s="58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</row>
    <row r="114" ht="14.25" customHeight="1">
      <c r="A114" s="1"/>
      <c r="D114" s="58"/>
      <c r="E114" s="58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</row>
    <row r="115" ht="14.25" customHeight="1">
      <c r="A115" s="1"/>
      <c r="D115" s="58"/>
      <c r="E115" s="58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</row>
    <row r="116" ht="14.25" customHeight="1">
      <c r="A116" s="1"/>
      <c r="D116" s="58"/>
      <c r="E116" s="58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</row>
    <row r="117" ht="14.25" customHeight="1">
      <c r="A117" s="1"/>
      <c r="D117" s="58"/>
      <c r="E117" s="58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</row>
    <row r="118" ht="14.25" customHeight="1">
      <c r="A118" s="1"/>
      <c r="D118" s="58"/>
      <c r="E118" s="58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</row>
    <row r="119" ht="14.25" customHeight="1">
      <c r="A119" s="1"/>
      <c r="D119" s="58"/>
      <c r="E119" s="58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</row>
    <row r="120" ht="14.25" customHeight="1">
      <c r="A120" s="1"/>
      <c r="D120" s="58"/>
      <c r="E120" s="58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</row>
    <row r="121" ht="14.25" customHeight="1">
      <c r="A121" s="1"/>
      <c r="D121" s="58"/>
      <c r="E121" s="58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</row>
    <row r="122" ht="14.25" customHeight="1">
      <c r="A122" s="1"/>
      <c r="D122" s="58"/>
      <c r="E122" s="58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</row>
    <row r="123" ht="14.25" customHeight="1">
      <c r="A123" s="1"/>
      <c r="D123" s="58"/>
      <c r="E123" s="58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</row>
    <row r="124" ht="14.25" customHeight="1">
      <c r="A124" s="1"/>
      <c r="D124" s="58"/>
      <c r="E124" s="58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</row>
    <row r="125" ht="14.25" customHeight="1">
      <c r="A125" s="1"/>
      <c r="D125" s="58"/>
      <c r="E125" s="58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</row>
    <row r="126" ht="14.25" customHeight="1">
      <c r="A126" s="1"/>
      <c r="D126" s="58"/>
      <c r="E126" s="58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</row>
    <row r="127" ht="14.25" customHeight="1">
      <c r="A127" s="1"/>
      <c r="D127" s="58"/>
      <c r="E127" s="58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</row>
    <row r="128" ht="14.25" customHeight="1">
      <c r="A128" s="1"/>
      <c r="D128" s="58"/>
      <c r="E128" s="58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</row>
    <row r="129" ht="14.25" customHeight="1">
      <c r="A129" s="1"/>
      <c r="D129" s="58"/>
      <c r="E129" s="58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</row>
    <row r="130" ht="14.25" customHeight="1">
      <c r="A130" s="1"/>
      <c r="D130" s="58"/>
      <c r="E130" s="58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</row>
    <row r="131" ht="14.25" customHeight="1">
      <c r="A131" s="1"/>
      <c r="D131" s="58"/>
      <c r="E131" s="58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</row>
    <row r="132" ht="14.25" customHeight="1">
      <c r="A132" s="1"/>
      <c r="D132" s="58"/>
      <c r="E132" s="58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</row>
    <row r="133" ht="14.25" customHeight="1">
      <c r="A133" s="1"/>
      <c r="D133" s="58"/>
      <c r="E133" s="58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</row>
    <row r="134" ht="14.25" customHeight="1">
      <c r="A134" s="1"/>
      <c r="D134" s="58"/>
      <c r="E134" s="58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</row>
    <row r="135" ht="14.25" customHeight="1">
      <c r="A135" s="1"/>
      <c r="D135" s="58"/>
      <c r="E135" s="58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</row>
    <row r="136" ht="14.25" customHeight="1">
      <c r="A136" s="1"/>
      <c r="D136" s="58"/>
      <c r="E136" s="58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</row>
    <row r="137" ht="14.25" customHeight="1">
      <c r="A137" s="1"/>
      <c r="D137" s="58"/>
      <c r="E137" s="58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</row>
    <row r="138" ht="14.25" customHeight="1">
      <c r="A138" s="1"/>
      <c r="D138" s="58"/>
      <c r="E138" s="58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</row>
    <row r="139" ht="14.25" customHeight="1">
      <c r="A139" s="1"/>
      <c r="D139" s="58"/>
      <c r="E139" s="58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</row>
    <row r="140" ht="14.25" customHeight="1">
      <c r="A140" s="1"/>
      <c r="D140" s="58"/>
      <c r="E140" s="58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</row>
    <row r="141" ht="14.25" customHeight="1">
      <c r="A141" s="1"/>
      <c r="D141" s="58"/>
      <c r="E141" s="58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</row>
    <row r="142" ht="14.25" customHeight="1">
      <c r="A142" s="1"/>
      <c r="D142" s="58"/>
      <c r="E142" s="58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</row>
    <row r="143" ht="14.25" customHeight="1">
      <c r="A143" s="1"/>
      <c r="D143" s="58"/>
      <c r="E143" s="58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</row>
    <row r="144" ht="14.25" customHeight="1">
      <c r="A144" s="1"/>
      <c r="D144" s="58"/>
      <c r="E144" s="58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</row>
    <row r="145" ht="14.25" customHeight="1">
      <c r="A145" s="1"/>
      <c r="D145" s="58"/>
      <c r="E145" s="58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</row>
    <row r="146" ht="14.25" customHeight="1">
      <c r="A146" s="1"/>
      <c r="D146" s="58"/>
      <c r="E146" s="58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</row>
    <row r="147" ht="14.25" customHeight="1">
      <c r="A147" s="1"/>
      <c r="D147" s="58"/>
      <c r="E147" s="58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</row>
    <row r="148" ht="14.25" customHeight="1">
      <c r="A148" s="1"/>
      <c r="D148" s="58"/>
      <c r="E148" s="58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</row>
    <row r="149" ht="14.25" customHeight="1">
      <c r="A149" s="1"/>
      <c r="D149" s="58"/>
      <c r="E149" s="58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</row>
    <row r="150" ht="14.25" customHeight="1">
      <c r="A150" s="1"/>
      <c r="D150" s="58"/>
      <c r="E150" s="58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</row>
    <row r="151" ht="14.25" customHeight="1">
      <c r="A151" s="1"/>
      <c r="D151" s="58"/>
      <c r="E151" s="58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</row>
    <row r="152" ht="14.25" customHeight="1">
      <c r="A152" s="1"/>
      <c r="D152" s="58"/>
      <c r="E152" s="58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</row>
    <row r="153" ht="14.25" customHeight="1">
      <c r="A153" s="1"/>
      <c r="D153" s="58"/>
      <c r="E153" s="58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</row>
    <row r="154" ht="14.25" customHeight="1">
      <c r="A154" s="1"/>
      <c r="D154" s="58"/>
      <c r="E154" s="58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</row>
    <row r="155" ht="14.25" customHeight="1">
      <c r="A155" s="1"/>
      <c r="D155" s="58"/>
      <c r="E155" s="58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</row>
    <row r="156" ht="14.25" customHeight="1">
      <c r="A156" s="1"/>
      <c r="D156" s="58"/>
      <c r="E156" s="58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</row>
    <row r="157" ht="14.25" customHeight="1">
      <c r="A157" s="1"/>
      <c r="D157" s="58"/>
      <c r="E157" s="58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</row>
    <row r="158" ht="14.25" customHeight="1">
      <c r="A158" s="1"/>
      <c r="D158" s="58"/>
      <c r="E158" s="58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</row>
    <row r="159" ht="14.25" customHeight="1">
      <c r="A159" s="1"/>
      <c r="D159" s="58"/>
      <c r="E159" s="58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</row>
    <row r="160" ht="14.25" customHeight="1">
      <c r="A160" s="1"/>
      <c r="D160" s="58"/>
      <c r="E160" s="58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</row>
    <row r="161" ht="14.25" customHeight="1">
      <c r="A161" s="1"/>
      <c r="D161" s="58"/>
      <c r="E161" s="58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</row>
    <row r="162" ht="14.25" customHeight="1">
      <c r="A162" s="1"/>
      <c r="D162" s="58"/>
      <c r="E162" s="58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</row>
    <row r="163" ht="14.25" customHeight="1">
      <c r="A163" s="1"/>
      <c r="D163" s="58"/>
      <c r="E163" s="58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</row>
    <row r="164" ht="14.25" customHeight="1">
      <c r="A164" s="1"/>
      <c r="D164" s="58"/>
      <c r="E164" s="58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</row>
    <row r="165" ht="14.25" customHeight="1">
      <c r="A165" s="1"/>
      <c r="D165" s="58"/>
      <c r="E165" s="58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</row>
    <row r="166" ht="14.25" customHeight="1">
      <c r="A166" s="1"/>
      <c r="D166" s="58"/>
      <c r="E166" s="58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</row>
    <row r="167" ht="14.25" customHeight="1">
      <c r="A167" s="1"/>
      <c r="D167" s="58"/>
      <c r="E167" s="58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</row>
    <row r="168" ht="14.25" customHeight="1">
      <c r="A168" s="1"/>
      <c r="D168" s="58"/>
      <c r="E168" s="58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</row>
    <row r="169" ht="14.25" customHeight="1">
      <c r="A169" s="1"/>
      <c r="D169" s="58"/>
      <c r="E169" s="58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</row>
    <row r="170" ht="14.25" customHeight="1">
      <c r="A170" s="1"/>
      <c r="D170" s="58"/>
      <c r="E170" s="58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</row>
    <row r="171" ht="14.25" customHeight="1">
      <c r="A171" s="1"/>
      <c r="D171" s="58"/>
      <c r="E171" s="58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</row>
    <row r="172" ht="14.25" customHeight="1">
      <c r="A172" s="1"/>
      <c r="D172" s="58"/>
      <c r="E172" s="58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</row>
    <row r="173" ht="14.25" customHeight="1">
      <c r="A173" s="1"/>
      <c r="D173" s="58"/>
      <c r="E173" s="58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</row>
    <row r="174" ht="14.25" customHeight="1">
      <c r="A174" s="1"/>
      <c r="D174" s="58"/>
      <c r="E174" s="58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</row>
    <row r="175" ht="14.25" customHeight="1">
      <c r="A175" s="1"/>
      <c r="D175" s="58"/>
      <c r="E175" s="58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</row>
    <row r="176" ht="14.25" customHeight="1">
      <c r="A176" s="1"/>
      <c r="D176" s="58"/>
      <c r="E176" s="58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</row>
    <row r="177" ht="14.25" customHeight="1">
      <c r="A177" s="1"/>
      <c r="D177" s="58"/>
      <c r="E177" s="58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</row>
    <row r="178" ht="14.25" customHeight="1">
      <c r="A178" s="1"/>
      <c r="D178" s="58"/>
      <c r="E178" s="58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</row>
    <row r="179" ht="14.25" customHeight="1">
      <c r="A179" s="1"/>
      <c r="D179" s="58"/>
      <c r="E179" s="58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</row>
    <row r="180" ht="14.25" customHeight="1">
      <c r="A180" s="1"/>
      <c r="D180" s="58"/>
      <c r="E180" s="58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</row>
    <row r="181" ht="14.25" customHeight="1">
      <c r="A181" s="1"/>
      <c r="D181" s="58"/>
      <c r="E181" s="58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</row>
    <row r="182" ht="14.25" customHeight="1">
      <c r="A182" s="1"/>
      <c r="D182" s="58"/>
      <c r="E182" s="58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</row>
    <row r="183" ht="14.25" customHeight="1">
      <c r="A183" s="1"/>
      <c r="D183" s="58"/>
      <c r="E183" s="58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</row>
    <row r="184" ht="14.25" customHeight="1">
      <c r="A184" s="1"/>
      <c r="D184" s="58"/>
      <c r="E184" s="58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</row>
    <row r="185" ht="14.25" customHeight="1">
      <c r="A185" s="1"/>
      <c r="D185" s="58"/>
      <c r="E185" s="58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</row>
    <row r="186" ht="14.25" customHeight="1">
      <c r="A186" s="1"/>
      <c r="D186" s="58"/>
      <c r="E186" s="58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</row>
    <row r="187" ht="14.25" customHeight="1">
      <c r="A187" s="1"/>
      <c r="D187" s="58"/>
      <c r="E187" s="58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</row>
    <row r="188" ht="14.25" customHeight="1">
      <c r="A188" s="1"/>
      <c r="D188" s="58"/>
      <c r="E188" s="58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</row>
    <row r="189" ht="14.25" customHeight="1">
      <c r="A189" s="1"/>
      <c r="D189" s="58"/>
      <c r="E189" s="58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</row>
    <row r="190" ht="14.25" customHeight="1">
      <c r="A190" s="1"/>
      <c r="D190" s="58"/>
      <c r="E190" s="58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</row>
    <row r="191" ht="14.25" customHeight="1">
      <c r="A191" s="1"/>
      <c r="D191" s="58"/>
      <c r="E191" s="58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</row>
    <row r="192" ht="14.25" customHeight="1">
      <c r="A192" s="1"/>
      <c r="D192" s="58"/>
      <c r="E192" s="58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</row>
    <row r="193" ht="14.25" customHeight="1">
      <c r="A193" s="1"/>
      <c r="D193" s="58"/>
      <c r="E193" s="58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</row>
    <row r="194" ht="14.25" customHeight="1">
      <c r="A194" s="1"/>
      <c r="D194" s="58"/>
      <c r="E194" s="58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</row>
    <row r="195" ht="14.25" customHeight="1">
      <c r="A195" s="1"/>
      <c r="D195" s="58"/>
      <c r="E195" s="58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</row>
    <row r="196" ht="14.25" customHeight="1">
      <c r="A196" s="1"/>
      <c r="D196" s="58"/>
      <c r="E196" s="58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</row>
    <row r="197" ht="14.25" customHeight="1">
      <c r="A197" s="1"/>
      <c r="D197" s="58"/>
      <c r="E197" s="58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</row>
    <row r="198" ht="14.25" customHeight="1">
      <c r="A198" s="1"/>
      <c r="D198" s="58"/>
      <c r="E198" s="58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</row>
    <row r="199" ht="14.25" customHeight="1">
      <c r="A199" s="1"/>
      <c r="D199" s="58"/>
      <c r="E199" s="58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</row>
    <row r="200" ht="14.25" customHeight="1">
      <c r="A200" s="1"/>
      <c r="D200" s="58"/>
      <c r="E200" s="58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</row>
    <row r="201" ht="14.25" customHeight="1">
      <c r="A201" s="1"/>
      <c r="D201" s="58"/>
      <c r="E201" s="58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</row>
    <row r="202" ht="14.25" customHeight="1">
      <c r="A202" s="1"/>
      <c r="D202" s="58"/>
      <c r="E202" s="58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</row>
    <row r="203" ht="14.25" customHeight="1">
      <c r="A203" s="1"/>
      <c r="D203" s="58"/>
      <c r="E203" s="58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</row>
    <row r="204" ht="14.25" customHeight="1">
      <c r="A204" s="1"/>
      <c r="D204" s="58"/>
      <c r="E204" s="58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</row>
    <row r="205" ht="14.25" customHeight="1">
      <c r="A205" s="1"/>
      <c r="D205" s="58"/>
      <c r="E205" s="58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</row>
    <row r="206" ht="14.25" customHeight="1">
      <c r="A206" s="1"/>
      <c r="D206" s="58"/>
      <c r="E206" s="58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</row>
    <row r="207" ht="14.25" customHeight="1">
      <c r="A207" s="1"/>
      <c r="D207" s="58"/>
      <c r="E207" s="58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</row>
    <row r="208" ht="14.25" customHeight="1">
      <c r="A208" s="1"/>
      <c r="D208" s="58"/>
      <c r="E208" s="58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</row>
    <row r="209" ht="14.25" customHeight="1">
      <c r="A209" s="1"/>
      <c r="D209" s="58"/>
      <c r="E209" s="58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</row>
    <row r="210" ht="14.25" customHeight="1">
      <c r="A210" s="1"/>
      <c r="D210" s="58"/>
      <c r="E210" s="58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</row>
    <row r="211" ht="14.25" customHeight="1">
      <c r="A211" s="1"/>
      <c r="D211" s="58"/>
      <c r="E211" s="58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</row>
    <row r="212" ht="14.25" customHeight="1">
      <c r="A212" s="1"/>
      <c r="D212" s="58"/>
      <c r="E212" s="58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</row>
    <row r="213" ht="14.25" customHeight="1">
      <c r="A213" s="1"/>
      <c r="D213" s="58"/>
      <c r="E213" s="58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</row>
    <row r="214" ht="14.25" customHeight="1">
      <c r="A214" s="1"/>
      <c r="D214" s="58"/>
      <c r="E214" s="58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</row>
    <row r="215" ht="14.25" customHeight="1">
      <c r="A215" s="1"/>
      <c r="D215" s="58"/>
      <c r="E215" s="58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</row>
    <row r="216" ht="14.25" customHeight="1">
      <c r="A216" s="1"/>
      <c r="D216" s="58"/>
      <c r="E216" s="58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</row>
    <row r="217" ht="14.25" customHeight="1">
      <c r="A217" s="1"/>
      <c r="D217" s="58"/>
      <c r="E217" s="58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</row>
    <row r="218" ht="14.25" customHeight="1">
      <c r="A218" s="1"/>
      <c r="D218" s="58"/>
      <c r="E218" s="58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</row>
    <row r="219" ht="14.25" customHeight="1">
      <c r="A219" s="1"/>
      <c r="D219" s="58"/>
      <c r="E219" s="58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</row>
    <row r="220" ht="14.25" customHeight="1">
      <c r="A220" s="1"/>
      <c r="D220" s="58"/>
      <c r="E220" s="58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</row>
    <row r="221" ht="14.25" customHeight="1">
      <c r="A221" s="1"/>
      <c r="D221" s="58"/>
      <c r="E221" s="58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</row>
    <row r="222" ht="14.25" customHeight="1">
      <c r="A222" s="1"/>
      <c r="D222" s="58"/>
      <c r="E222" s="58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</row>
    <row r="223" ht="14.25" customHeight="1">
      <c r="A223" s="1"/>
      <c r="D223" s="58"/>
      <c r="E223" s="58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</row>
    <row r="224" ht="14.25" customHeight="1">
      <c r="A224" s="1"/>
      <c r="D224" s="58"/>
      <c r="E224" s="58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</row>
    <row r="225" ht="14.25" customHeight="1">
      <c r="A225" s="1"/>
      <c r="D225" s="58"/>
      <c r="E225" s="58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</row>
    <row r="226" ht="14.25" customHeight="1">
      <c r="A226" s="1"/>
      <c r="D226" s="58"/>
      <c r="E226" s="58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</row>
    <row r="227" ht="14.25" customHeight="1">
      <c r="A227" s="1"/>
      <c r="D227" s="58"/>
      <c r="E227" s="58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</row>
    <row r="228" ht="14.25" customHeight="1">
      <c r="A228" s="1"/>
      <c r="D228" s="58"/>
      <c r="E228" s="58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6:E26"/>
  </mergeCells>
  <conditionalFormatting sqref="G6:G25">
    <cfRule type="containsText" dxfId="1" priority="1" operator="containsText" text="POUCA IMPORTÂNCIA">
      <formula>NOT(ISERROR(SEARCH(("POUCA IMPORTÂNCIA"),(G6))))</formula>
    </cfRule>
  </conditionalFormatting>
  <conditionalFormatting sqref="G6:G25">
    <cfRule type="containsText" dxfId="0" priority="2" operator="containsText" text="TOTALMENTE SEM IMPORTÂNCIA">
      <formula>NOT(ISERROR(SEARCH(("TOTALMENTE SEM IMPORTÂNCIA"),(G6))))</formula>
    </cfRule>
  </conditionalFormatting>
  <conditionalFormatting sqref="G6:G25">
    <cfRule type="containsText" dxfId="3" priority="3" operator="containsText" text="MUITO IMPORTANTE">
      <formula>NOT(ISERROR(SEARCH(("MUITO IMPORTANTE"),(G6))))</formula>
    </cfRule>
  </conditionalFormatting>
  <conditionalFormatting sqref="G6:G25">
    <cfRule type="containsText" dxfId="2" priority="4" operator="containsText" text="TOTALMENTE IMPORTANTE">
      <formula>NOT(ISERROR(SEARCH(("TOTALMENTE IMPORTANTE"),(G6))))</formula>
    </cfRule>
  </conditionalFormatting>
  <conditionalFormatting sqref="D6:D25">
    <cfRule type="containsText" dxfId="1" priority="5" operator="containsText" text="Pouco">
      <formula>NOT(ISERROR(SEARCH(("Pouco"),(D6))))</formula>
    </cfRule>
  </conditionalFormatting>
  <conditionalFormatting sqref="D6:D25">
    <cfRule type="containsText" dxfId="0" priority="6" operator="containsText" text="Sem">
      <formula>NOT(ISERROR(SEARCH(("Sem"),(D6))))</formula>
    </cfRule>
  </conditionalFormatting>
  <conditionalFormatting sqref="D6:D25">
    <cfRule type="containsText" dxfId="3" priority="7" operator="containsText" text="Muito">
      <formula>NOT(ISERROR(SEARCH(("Muito"),(D6))))</formula>
    </cfRule>
  </conditionalFormatting>
  <conditionalFormatting sqref="D6:D25">
    <cfRule type="containsText" dxfId="2" priority="8" operator="containsText" text="Totalmente">
      <formula>NOT(ISERROR(SEARCH(("Totalmente"),(D6))))</formula>
    </cfRule>
  </conditionalFormatting>
  <conditionalFormatting sqref="E6:E25">
    <cfRule type="containsText" dxfId="1" priority="9" operator="containsText" text="Pouco">
      <formula>NOT(ISERROR(SEARCH(("Pouco"),(E6))))</formula>
    </cfRule>
  </conditionalFormatting>
  <conditionalFormatting sqref="E6:E25">
    <cfRule type="containsText" dxfId="0" priority="10" operator="containsText" text="Nada">
      <formula>NOT(ISERROR(SEARCH(("Nada"),(E6))))</formula>
    </cfRule>
  </conditionalFormatting>
  <conditionalFormatting sqref="E6:E25">
    <cfRule type="containsText" dxfId="3" priority="11" operator="containsText" text="Muito">
      <formula>NOT(ISERROR(SEARCH(("Muito"),(E6))))</formula>
    </cfRule>
  </conditionalFormatting>
  <conditionalFormatting sqref="E6:E25">
    <cfRule type="containsText" dxfId="2" priority="12" operator="containsText" text="Pra">
      <formula>NOT(ISERROR(SEARCH(("Pra"),(E6))))</formula>
    </cfRule>
  </conditionalFormatting>
  <conditionalFormatting sqref="F6:F25">
    <cfRule type="containsText" dxfId="0" priority="13" operator="containsText" text="Piora muito">
      <formula>NOT(ISERROR(SEARCH(("Piora muito"),(F6))))</formula>
    </cfRule>
  </conditionalFormatting>
  <conditionalFormatting sqref="F6:F25">
    <cfRule type="containsText" dxfId="1" priority="14" operator="containsText" text="Piora">
      <formula>NOT(ISERROR(SEARCH(("Piora"),(F6))))</formula>
    </cfRule>
  </conditionalFormatting>
  <conditionalFormatting sqref="F6:F25">
    <cfRule type="containsText" dxfId="2" priority="15" operator="containsText" text="Melhora muito">
      <formula>NOT(ISERROR(SEARCH(("Melhora muito"),(F6))))</formula>
    </cfRule>
  </conditionalFormatting>
  <conditionalFormatting sqref="F6:F25">
    <cfRule type="containsText" dxfId="3" priority="16" operator="containsText" text="Melhora">
      <formula>NOT(ISERROR(SEARCH(("Melhora"),(F6))))</formula>
    </cfRule>
  </conditionalFormatting>
  <dataValidations>
    <dataValidation type="list" allowBlank="1" showErrorMessage="1" sqref="D6:D25">
      <formula1>$I$8:$I$12</formula1>
    </dataValidation>
    <dataValidation type="list" allowBlank="1" showErrorMessage="1" sqref="F6:F25">
      <formula1>$I$24:$I$28</formula1>
    </dataValidation>
    <dataValidation type="list" allowBlank="1" showErrorMessage="1" sqref="E6:E25">
      <formula1>$I$16:$I$20</formula1>
    </dataValidation>
  </dataValidations>
  <printOptions verticalCentered="1"/>
  <pageMargins bottom="0.7480314960629921" footer="0.0" header="0.0" left="0.2362204724409449" right="0.2362204724409449" top="0.7480314960629921"/>
  <pageSetup paperSize="9" scale="73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7.71"/>
    <col customWidth="1" min="2" max="2" width="4.29"/>
    <col customWidth="1" min="3" max="3" width="50.71"/>
    <col customWidth="1" min="4" max="6" width="25.71"/>
    <col customWidth="1" min="7" max="7" width="15.71"/>
    <col customWidth="1" min="8" max="8" width="10.43"/>
    <col customWidth="1" min="9" max="9" width="20.43"/>
    <col customWidth="1" min="10" max="17" width="8.71"/>
    <col customWidth="1" min="18" max="18" width="9.29"/>
    <col customWidth="1" hidden="1" min="19" max="47" width="9.29"/>
  </cols>
  <sheetData>
    <row r="1" ht="33.75" customHeight="1">
      <c r="A1" s="1"/>
      <c r="B1" s="23"/>
      <c r="C1" s="24" t="s">
        <v>65</v>
      </c>
      <c r="D1" s="61"/>
      <c r="E1" s="61"/>
      <c r="F1" s="61"/>
      <c r="G1" s="61"/>
      <c r="H1" s="62"/>
      <c r="I1" s="62"/>
      <c r="J1" s="62"/>
      <c r="K1" s="62"/>
      <c r="L1" s="62"/>
      <c r="M1" s="23"/>
      <c r="N1" s="23"/>
      <c r="O1" s="23"/>
      <c r="P1" s="23"/>
      <c r="Q1" s="23"/>
      <c r="R1" s="23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</row>
    <row r="2" ht="37.5" customHeight="1">
      <c r="A2" s="1"/>
      <c r="B2" s="23"/>
      <c r="C2" s="63"/>
      <c r="D2" s="64"/>
      <c r="E2" s="64"/>
      <c r="F2" s="64"/>
      <c r="G2" s="64"/>
      <c r="H2" s="65"/>
      <c r="I2" s="65"/>
      <c r="J2" s="65"/>
      <c r="K2" s="65"/>
      <c r="L2" s="65"/>
      <c r="M2" s="23"/>
      <c r="N2" s="23"/>
      <c r="O2" s="23"/>
      <c r="P2" s="23"/>
      <c r="Q2" s="23"/>
      <c r="R2" s="23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</row>
    <row r="3" ht="18.75" customHeight="1">
      <c r="A3" s="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</row>
    <row r="4" ht="30.0" customHeight="1">
      <c r="A4" s="33"/>
      <c r="B4" s="34"/>
      <c r="C4" s="35" t="s">
        <v>37</v>
      </c>
      <c r="D4" s="36" t="s">
        <v>38</v>
      </c>
      <c r="E4" s="36" t="s">
        <v>66</v>
      </c>
      <c r="F4" s="36" t="s">
        <v>40</v>
      </c>
      <c r="G4" s="37" t="s">
        <v>41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8">
        <v>1.0</v>
      </c>
      <c r="T4" s="38">
        <v>1.0</v>
      </c>
      <c r="U4" s="38">
        <v>1.0</v>
      </c>
      <c r="V4" s="38">
        <v>1.0</v>
      </c>
      <c r="W4" s="38">
        <v>2.0</v>
      </c>
      <c r="X4" s="38">
        <v>2.0</v>
      </c>
      <c r="Y4" s="38">
        <v>2.0</v>
      </c>
      <c r="Z4" s="38">
        <v>2.0</v>
      </c>
      <c r="AA4" s="38">
        <v>2.0</v>
      </c>
      <c r="AB4" s="38">
        <v>2.0</v>
      </c>
      <c r="AC4" s="38">
        <v>2.0</v>
      </c>
      <c r="AD4" s="38">
        <v>2.0</v>
      </c>
      <c r="AE4" s="38">
        <v>2.0</v>
      </c>
      <c r="AF4" s="38">
        <v>2.0</v>
      </c>
      <c r="AG4" s="38">
        <v>2.0</v>
      </c>
      <c r="AH4" s="38">
        <v>2.0</v>
      </c>
      <c r="AI4" s="38">
        <v>3.0</v>
      </c>
      <c r="AJ4" s="38">
        <v>3.0</v>
      </c>
      <c r="AK4" s="38">
        <v>3.0</v>
      </c>
      <c r="AL4" s="38">
        <v>3.0</v>
      </c>
      <c r="AM4" s="38">
        <v>3.0</v>
      </c>
      <c r="AN4" s="38">
        <v>3.0</v>
      </c>
      <c r="AO4" s="38">
        <v>3.0</v>
      </c>
      <c r="AP4" s="38">
        <v>3.0</v>
      </c>
      <c r="AQ4" s="38">
        <v>3.0</v>
      </c>
      <c r="AR4" s="38">
        <v>3.0</v>
      </c>
      <c r="AS4" s="38">
        <v>3.0</v>
      </c>
      <c r="AT4" s="38">
        <v>3.0</v>
      </c>
      <c r="AU4" s="38"/>
    </row>
    <row r="5" ht="30.0" customHeight="1">
      <c r="A5" s="1"/>
      <c r="C5" s="39" t="s">
        <v>67</v>
      </c>
      <c r="D5" s="40" t="s">
        <v>43</v>
      </c>
      <c r="E5" s="41" t="s">
        <v>68</v>
      </c>
      <c r="F5" s="42" t="s">
        <v>45</v>
      </c>
      <c r="G5" s="42" t="s">
        <v>46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</row>
    <row r="6" ht="30.0" customHeight="1">
      <c r="A6" s="1"/>
      <c r="C6" s="43"/>
      <c r="D6" s="44"/>
      <c r="E6" s="44"/>
      <c r="F6" s="45"/>
      <c r="G6" s="46" t="str">
        <f t="shared" ref="G6:G25" si="1">IF(ISERROR(VLOOKUP(D6,$I$8:$J$12,2,FALSE)*VLOOKUP(E6,$I$16:$J$20,2,FALSE)*VLOOKUP(F6,$I$24:$J$28,2,FALSE)),"",VLOOKUP(D6,$I$8:$J$12,2,FALSE)*VLOOKUP(E6,$I$16:$J$20,2,FALSE)*VLOOKUP(F6,$I$24:$J$28,2,FALSE))</f>
        <v/>
      </c>
      <c r="H6" s="31"/>
      <c r="I6" s="32" t="s">
        <v>38</v>
      </c>
      <c r="J6" s="32"/>
      <c r="K6" s="32"/>
      <c r="L6" s="32">
        <v>2.0E-4</v>
      </c>
      <c r="M6" s="47" t="str">
        <f t="shared" ref="M6:M25" si="2">IF(G6="","",G6+L7)</f>
        <v/>
      </c>
      <c r="N6" s="48" t="str">
        <f t="shared" ref="N6:N25" si="3">IF(C6=0,"",C6)</f>
        <v/>
      </c>
      <c r="O6" s="47" t="str">
        <f t="shared" ref="O6:O25" si="4">G6</f>
        <v/>
      </c>
      <c r="P6" s="49"/>
      <c r="Q6" s="31"/>
      <c r="R6" s="31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</row>
    <row r="7" ht="30.0" customHeight="1">
      <c r="A7" s="1"/>
      <c r="C7" s="43"/>
      <c r="D7" s="44"/>
      <c r="E7" s="44"/>
      <c r="F7" s="45"/>
      <c r="G7" s="46" t="str">
        <f t="shared" si="1"/>
        <v/>
      </c>
      <c r="H7" s="50"/>
      <c r="I7" s="51"/>
      <c r="J7" s="32"/>
      <c r="K7" s="32"/>
      <c r="L7" s="32">
        <v>1.9E-4</v>
      </c>
      <c r="M7" s="47" t="str">
        <f t="shared" si="2"/>
        <v/>
      </c>
      <c r="N7" s="48" t="str">
        <f t="shared" si="3"/>
        <v/>
      </c>
      <c r="O7" s="47" t="str">
        <f t="shared" si="4"/>
        <v/>
      </c>
      <c r="P7" s="49"/>
      <c r="Q7" s="31"/>
      <c r="R7" s="31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</row>
    <row r="8" ht="30.0" customHeight="1">
      <c r="A8" s="1"/>
      <c r="C8" s="43"/>
      <c r="D8" s="44"/>
      <c r="E8" s="44"/>
      <c r="F8" s="45"/>
      <c r="G8" s="46" t="str">
        <f t="shared" si="1"/>
        <v/>
      </c>
      <c r="H8" s="52"/>
      <c r="I8" s="32" t="s">
        <v>47</v>
      </c>
      <c r="J8" s="51">
        <v>1.0</v>
      </c>
      <c r="K8" s="32"/>
      <c r="L8" s="32">
        <v>1.8E-4</v>
      </c>
      <c r="M8" s="32" t="str">
        <f t="shared" si="2"/>
        <v/>
      </c>
      <c r="N8" s="32" t="str">
        <f t="shared" si="3"/>
        <v/>
      </c>
      <c r="O8" s="47" t="str">
        <f t="shared" si="4"/>
        <v/>
      </c>
      <c r="P8" s="49"/>
      <c r="Q8" s="31"/>
      <c r="R8" s="31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</row>
    <row r="9" ht="30.0" customHeight="1">
      <c r="A9" s="1"/>
      <c r="C9" s="43"/>
      <c r="D9" s="44"/>
      <c r="E9" s="44"/>
      <c r="F9" s="45"/>
      <c r="G9" s="46" t="str">
        <f t="shared" si="1"/>
        <v/>
      </c>
      <c r="H9" s="31"/>
      <c r="I9" s="32" t="s">
        <v>48</v>
      </c>
      <c r="J9" s="51">
        <v>2.0</v>
      </c>
      <c r="K9" s="32"/>
      <c r="L9" s="32">
        <v>1.7E-4</v>
      </c>
      <c r="M9" s="32" t="str">
        <f t="shared" si="2"/>
        <v/>
      </c>
      <c r="N9" s="32" t="str">
        <f t="shared" si="3"/>
        <v/>
      </c>
      <c r="O9" s="47" t="str">
        <f t="shared" si="4"/>
        <v/>
      </c>
      <c r="P9" s="49"/>
      <c r="Q9" s="31"/>
      <c r="R9" s="31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</row>
    <row r="10" ht="30.0" customHeight="1">
      <c r="A10" s="1"/>
      <c r="C10" s="43"/>
      <c r="D10" s="44"/>
      <c r="E10" s="44"/>
      <c r="F10" s="45"/>
      <c r="G10" s="46" t="str">
        <f t="shared" si="1"/>
        <v/>
      </c>
      <c r="H10" s="31"/>
      <c r="I10" s="32" t="s">
        <v>49</v>
      </c>
      <c r="J10" s="51">
        <v>3.0</v>
      </c>
      <c r="K10" s="32"/>
      <c r="L10" s="32">
        <v>1.6E-4</v>
      </c>
      <c r="M10" s="32" t="str">
        <f t="shared" si="2"/>
        <v/>
      </c>
      <c r="N10" s="32" t="str">
        <f t="shared" si="3"/>
        <v/>
      </c>
      <c r="O10" s="47" t="str">
        <f t="shared" si="4"/>
        <v/>
      </c>
      <c r="P10" s="49"/>
      <c r="Q10" s="31"/>
      <c r="R10" s="31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</row>
    <row r="11" ht="30.0" customHeight="1">
      <c r="A11" s="1"/>
      <c r="C11" s="43"/>
      <c r="D11" s="44"/>
      <c r="E11" s="44"/>
      <c r="F11" s="45"/>
      <c r="G11" s="46" t="str">
        <f t="shared" si="1"/>
        <v/>
      </c>
      <c r="H11" s="31"/>
      <c r="I11" s="32" t="s">
        <v>50</v>
      </c>
      <c r="J11" s="51">
        <v>4.0</v>
      </c>
      <c r="K11" s="32"/>
      <c r="L11" s="32">
        <v>1.5E-4</v>
      </c>
      <c r="M11" s="32" t="str">
        <f t="shared" si="2"/>
        <v/>
      </c>
      <c r="N11" s="32" t="str">
        <f t="shared" si="3"/>
        <v/>
      </c>
      <c r="O11" s="47" t="str">
        <f t="shared" si="4"/>
        <v/>
      </c>
      <c r="P11" s="49"/>
      <c r="Q11" s="31"/>
      <c r="R11" s="31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</row>
    <row r="12" ht="30.0" customHeight="1">
      <c r="A12" s="1"/>
      <c r="C12" s="43"/>
      <c r="D12" s="44"/>
      <c r="E12" s="44"/>
      <c r="F12" s="45"/>
      <c r="G12" s="46" t="str">
        <f t="shared" si="1"/>
        <v/>
      </c>
      <c r="H12" s="31"/>
      <c r="I12" s="32" t="s">
        <v>51</v>
      </c>
      <c r="J12" s="51">
        <v>5.0</v>
      </c>
      <c r="K12" s="32"/>
      <c r="L12" s="32">
        <v>1.4E-4</v>
      </c>
      <c r="M12" s="32" t="str">
        <f t="shared" si="2"/>
        <v/>
      </c>
      <c r="N12" s="32" t="str">
        <f t="shared" si="3"/>
        <v/>
      </c>
      <c r="O12" s="47" t="str">
        <f t="shared" si="4"/>
        <v/>
      </c>
      <c r="P12" s="49"/>
      <c r="Q12" s="31"/>
      <c r="R12" s="31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</row>
    <row r="13" ht="30.0" customHeight="1">
      <c r="A13" s="1"/>
      <c r="C13" s="43"/>
      <c r="D13" s="44"/>
      <c r="E13" s="44"/>
      <c r="F13" s="45"/>
      <c r="G13" s="46" t="str">
        <f t="shared" si="1"/>
        <v/>
      </c>
      <c r="H13" s="31"/>
      <c r="I13" s="32"/>
      <c r="J13" s="32"/>
      <c r="K13" s="32"/>
      <c r="L13" s="32">
        <v>1.3E-4</v>
      </c>
      <c r="M13" s="32" t="str">
        <f t="shared" si="2"/>
        <v/>
      </c>
      <c r="N13" s="32" t="str">
        <f t="shared" si="3"/>
        <v/>
      </c>
      <c r="O13" s="47" t="str">
        <f t="shared" si="4"/>
        <v/>
      </c>
      <c r="P13" s="49"/>
      <c r="Q13" s="31"/>
      <c r="R13" s="31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</row>
    <row r="14" ht="30.0" customHeight="1">
      <c r="A14" s="1"/>
      <c r="C14" s="43"/>
      <c r="D14" s="44"/>
      <c r="E14" s="44"/>
      <c r="F14" s="45"/>
      <c r="G14" s="46" t="str">
        <f t="shared" si="1"/>
        <v/>
      </c>
      <c r="H14" s="31"/>
      <c r="I14" s="32" t="s">
        <v>66</v>
      </c>
      <c r="J14" s="32"/>
      <c r="K14" s="32"/>
      <c r="L14" s="32">
        <v>1.2E-4</v>
      </c>
      <c r="M14" s="32" t="str">
        <f t="shared" si="2"/>
        <v/>
      </c>
      <c r="N14" s="32" t="str">
        <f t="shared" si="3"/>
        <v/>
      </c>
      <c r="O14" s="47" t="str">
        <f t="shared" si="4"/>
        <v/>
      </c>
      <c r="P14" s="49"/>
      <c r="Q14" s="31"/>
      <c r="R14" s="31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</row>
    <row r="15" ht="30.0" customHeight="1">
      <c r="A15" s="1"/>
      <c r="C15" s="43"/>
      <c r="D15" s="44"/>
      <c r="E15" s="44"/>
      <c r="F15" s="45"/>
      <c r="G15" s="46" t="str">
        <f t="shared" si="1"/>
        <v/>
      </c>
      <c r="H15" s="31"/>
      <c r="I15" s="51"/>
      <c r="J15" s="32"/>
      <c r="K15" s="32"/>
      <c r="L15" s="32">
        <v>1.1E-4</v>
      </c>
      <c r="M15" s="32" t="str">
        <f t="shared" si="2"/>
        <v/>
      </c>
      <c r="N15" s="32" t="str">
        <f t="shared" si="3"/>
        <v/>
      </c>
      <c r="O15" s="47" t="str">
        <f t="shared" si="4"/>
        <v/>
      </c>
      <c r="P15" s="49"/>
      <c r="Q15" s="31"/>
      <c r="R15" s="31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</row>
    <row r="16" ht="30.0" customHeight="1">
      <c r="A16" s="1"/>
      <c r="B16" s="31"/>
      <c r="C16" s="43"/>
      <c r="D16" s="44"/>
      <c r="E16" s="44"/>
      <c r="F16" s="45"/>
      <c r="G16" s="46" t="str">
        <f t="shared" si="1"/>
        <v/>
      </c>
      <c r="H16" s="31"/>
      <c r="I16" s="32" t="s">
        <v>69</v>
      </c>
      <c r="J16" s="51">
        <v>1.0</v>
      </c>
      <c r="K16" s="32"/>
      <c r="L16" s="32">
        <v>1.0E-4</v>
      </c>
      <c r="M16" s="32" t="str">
        <f t="shared" si="2"/>
        <v/>
      </c>
      <c r="N16" s="32" t="str">
        <f t="shared" si="3"/>
        <v/>
      </c>
      <c r="O16" s="47" t="str">
        <f t="shared" si="4"/>
        <v/>
      </c>
      <c r="P16" s="49"/>
      <c r="Q16" s="31"/>
      <c r="R16" s="31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</row>
    <row r="17" ht="30.0" customHeight="1">
      <c r="A17" s="1"/>
      <c r="B17" s="31"/>
      <c r="C17" s="43"/>
      <c r="D17" s="44"/>
      <c r="E17" s="44"/>
      <c r="F17" s="45"/>
      <c r="G17" s="46" t="str">
        <f t="shared" si="1"/>
        <v/>
      </c>
      <c r="H17" s="31"/>
      <c r="I17" s="32" t="s">
        <v>70</v>
      </c>
      <c r="J17" s="51">
        <v>2.0</v>
      </c>
      <c r="K17" s="32"/>
      <c r="L17" s="32">
        <v>9.0E-5</v>
      </c>
      <c r="M17" s="32" t="str">
        <f t="shared" si="2"/>
        <v/>
      </c>
      <c r="N17" s="32" t="str">
        <f t="shared" si="3"/>
        <v/>
      </c>
      <c r="O17" s="47" t="str">
        <f t="shared" si="4"/>
        <v/>
      </c>
      <c r="P17" s="49"/>
      <c r="Q17" s="31"/>
      <c r="R17" s="31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</row>
    <row r="18" ht="30.0" customHeight="1">
      <c r="A18" s="1"/>
      <c r="B18" s="31"/>
      <c r="C18" s="43"/>
      <c r="D18" s="44"/>
      <c r="E18" s="44"/>
      <c r="F18" s="45"/>
      <c r="G18" s="46" t="str">
        <f t="shared" si="1"/>
        <v/>
      </c>
      <c r="H18" s="31"/>
      <c r="I18" s="32" t="s">
        <v>71</v>
      </c>
      <c r="J18" s="51">
        <v>3.0</v>
      </c>
      <c r="K18" s="32"/>
      <c r="L18" s="32">
        <v>8.0E-5</v>
      </c>
      <c r="M18" s="32" t="str">
        <f t="shared" si="2"/>
        <v/>
      </c>
      <c r="N18" s="32" t="str">
        <f t="shared" si="3"/>
        <v/>
      </c>
      <c r="O18" s="47" t="str">
        <f t="shared" si="4"/>
        <v/>
      </c>
      <c r="P18" s="49"/>
      <c r="Q18" s="31"/>
      <c r="R18" s="31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</row>
    <row r="19" ht="30.0" customHeight="1">
      <c r="A19" s="1"/>
      <c r="B19" s="31"/>
      <c r="C19" s="43"/>
      <c r="D19" s="44"/>
      <c r="E19" s="44"/>
      <c r="F19" s="45"/>
      <c r="G19" s="46" t="str">
        <f t="shared" si="1"/>
        <v/>
      </c>
      <c r="H19" s="31"/>
      <c r="I19" s="32" t="s">
        <v>72</v>
      </c>
      <c r="J19" s="51">
        <v>4.0</v>
      </c>
      <c r="K19" s="32"/>
      <c r="L19" s="32">
        <v>7.0E-5</v>
      </c>
      <c r="M19" s="32" t="str">
        <f t="shared" si="2"/>
        <v/>
      </c>
      <c r="N19" s="32" t="str">
        <f t="shared" si="3"/>
        <v/>
      </c>
      <c r="O19" s="47" t="str">
        <f t="shared" si="4"/>
        <v/>
      </c>
      <c r="P19" s="49"/>
      <c r="Q19" s="31"/>
      <c r="R19" s="31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</row>
    <row r="20" ht="30.0" customHeight="1">
      <c r="A20" s="1"/>
      <c r="B20" s="31"/>
      <c r="C20" s="43"/>
      <c r="D20" s="44"/>
      <c r="E20" s="44"/>
      <c r="F20" s="45"/>
      <c r="G20" s="46" t="str">
        <f t="shared" si="1"/>
        <v/>
      </c>
      <c r="H20" s="31"/>
      <c r="I20" s="32" t="s">
        <v>73</v>
      </c>
      <c r="J20" s="51">
        <v>5.0</v>
      </c>
      <c r="K20" s="32"/>
      <c r="L20" s="32">
        <v>6.0E-5</v>
      </c>
      <c r="M20" s="32" t="str">
        <f t="shared" si="2"/>
        <v/>
      </c>
      <c r="N20" s="32" t="str">
        <f t="shared" si="3"/>
        <v/>
      </c>
      <c r="O20" s="47" t="str">
        <f t="shared" si="4"/>
        <v/>
      </c>
      <c r="P20" s="49"/>
      <c r="Q20" s="31"/>
      <c r="R20" s="31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</row>
    <row r="21" ht="30.0" customHeight="1">
      <c r="A21" s="1"/>
      <c r="B21" s="31"/>
      <c r="C21" s="43"/>
      <c r="D21" s="44"/>
      <c r="E21" s="44"/>
      <c r="F21" s="45"/>
      <c r="G21" s="46" t="str">
        <f t="shared" si="1"/>
        <v/>
      </c>
      <c r="H21" s="31"/>
      <c r="I21" s="32"/>
      <c r="J21" s="32"/>
      <c r="K21" s="32"/>
      <c r="L21" s="32">
        <v>5.0E-5</v>
      </c>
      <c r="M21" s="32" t="str">
        <f t="shared" si="2"/>
        <v/>
      </c>
      <c r="N21" s="32" t="str">
        <f t="shared" si="3"/>
        <v/>
      </c>
      <c r="O21" s="47" t="str">
        <f t="shared" si="4"/>
        <v/>
      </c>
      <c r="P21" s="49"/>
      <c r="Q21" s="31"/>
      <c r="R21" s="31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</row>
    <row r="22" ht="30.0" customHeight="1">
      <c r="A22" s="1"/>
      <c r="B22" s="31"/>
      <c r="C22" s="43"/>
      <c r="D22" s="44"/>
      <c r="E22" s="44"/>
      <c r="F22" s="45"/>
      <c r="G22" s="46" t="str">
        <f t="shared" si="1"/>
        <v/>
      </c>
      <c r="H22" s="31"/>
      <c r="I22" s="32" t="s">
        <v>40</v>
      </c>
      <c r="J22" s="32"/>
      <c r="K22" s="32"/>
      <c r="L22" s="32">
        <v>4.0E-5</v>
      </c>
      <c r="M22" s="32" t="str">
        <f t="shared" si="2"/>
        <v/>
      </c>
      <c r="N22" s="32" t="str">
        <f t="shared" si="3"/>
        <v/>
      </c>
      <c r="O22" s="47" t="str">
        <f t="shared" si="4"/>
        <v/>
      </c>
      <c r="P22" s="49"/>
      <c r="Q22" s="31"/>
      <c r="R22" s="31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</row>
    <row r="23" ht="30.0" customHeight="1">
      <c r="A23" s="1"/>
      <c r="B23" s="31"/>
      <c r="C23" s="43"/>
      <c r="D23" s="44"/>
      <c r="E23" s="44"/>
      <c r="F23" s="45"/>
      <c r="G23" s="46" t="str">
        <f t="shared" si="1"/>
        <v/>
      </c>
      <c r="H23" s="31"/>
      <c r="I23" s="51"/>
      <c r="J23" s="32"/>
      <c r="K23" s="32"/>
      <c r="L23" s="32">
        <v>3.0E-5</v>
      </c>
      <c r="M23" s="32" t="str">
        <f t="shared" si="2"/>
        <v/>
      </c>
      <c r="N23" s="32" t="str">
        <f t="shared" si="3"/>
        <v/>
      </c>
      <c r="O23" s="47" t="str">
        <f t="shared" si="4"/>
        <v/>
      </c>
      <c r="P23" s="49"/>
      <c r="Q23" s="31"/>
      <c r="R23" s="31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</row>
    <row r="24" ht="30.0" customHeight="1">
      <c r="A24" s="1"/>
      <c r="B24" s="31"/>
      <c r="C24" s="43"/>
      <c r="D24" s="44"/>
      <c r="E24" s="44"/>
      <c r="F24" s="45"/>
      <c r="G24" s="46" t="str">
        <f t="shared" si="1"/>
        <v/>
      </c>
      <c r="H24" s="31"/>
      <c r="I24" s="32" t="s">
        <v>57</v>
      </c>
      <c r="J24" s="51">
        <v>1.0</v>
      </c>
      <c r="K24" s="32"/>
      <c r="L24" s="32">
        <v>2.0E-5</v>
      </c>
      <c r="M24" s="32" t="str">
        <f t="shared" si="2"/>
        <v/>
      </c>
      <c r="N24" s="32" t="str">
        <f t="shared" si="3"/>
        <v/>
      </c>
      <c r="O24" s="47" t="str">
        <f t="shared" si="4"/>
        <v/>
      </c>
      <c r="P24" s="49"/>
      <c r="Q24" s="31"/>
      <c r="R24" s="31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</row>
    <row r="25" ht="30.0" customHeight="1">
      <c r="A25" s="1"/>
      <c r="B25" s="31"/>
      <c r="C25" s="43"/>
      <c r="D25" s="44"/>
      <c r="E25" s="44"/>
      <c r="F25" s="45"/>
      <c r="G25" s="46" t="str">
        <f t="shared" si="1"/>
        <v/>
      </c>
      <c r="H25" s="31"/>
      <c r="I25" s="32" t="s">
        <v>58</v>
      </c>
      <c r="J25" s="51">
        <v>2.0</v>
      </c>
      <c r="K25" s="32"/>
      <c r="L25" s="32">
        <v>1.0E-5</v>
      </c>
      <c r="M25" s="32" t="str">
        <f t="shared" si="2"/>
        <v/>
      </c>
      <c r="N25" s="32" t="str">
        <f t="shared" si="3"/>
        <v/>
      </c>
      <c r="O25" s="47" t="str">
        <f t="shared" si="4"/>
        <v/>
      </c>
      <c r="P25" s="49"/>
      <c r="Q25" s="31"/>
      <c r="R25" s="31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</row>
    <row r="26" ht="30.0" customHeight="1">
      <c r="A26" s="1"/>
      <c r="B26" s="31"/>
      <c r="C26" s="53" t="s">
        <v>75</v>
      </c>
      <c r="D26" s="54"/>
      <c r="E26" s="54"/>
      <c r="F26" s="55" t="s">
        <v>60</v>
      </c>
      <c r="G26" s="56">
        <f>SUM(G6:G25)</f>
        <v>0</v>
      </c>
      <c r="H26" s="31"/>
      <c r="I26" s="32" t="s">
        <v>61</v>
      </c>
      <c r="J26" s="51">
        <v>3.0</v>
      </c>
      <c r="K26" s="32"/>
      <c r="L26" s="32"/>
      <c r="M26" s="32"/>
      <c r="N26" s="32"/>
      <c r="O26" s="47"/>
      <c r="P26" s="49"/>
      <c r="Q26" s="31"/>
      <c r="R26" s="31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</row>
    <row r="27" ht="30.0" customHeight="1">
      <c r="A27" s="1"/>
      <c r="B27" s="31"/>
      <c r="H27" s="31"/>
      <c r="I27" s="32" t="s">
        <v>62</v>
      </c>
      <c r="J27" s="51">
        <v>4.0</v>
      </c>
      <c r="K27" s="32"/>
      <c r="L27" s="32"/>
      <c r="M27" s="32"/>
      <c r="N27" s="32"/>
      <c r="O27" s="47"/>
      <c r="P27" s="49"/>
      <c r="Q27" s="31"/>
      <c r="R27" s="31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</row>
    <row r="28" ht="30.0" customHeight="1">
      <c r="A28" s="1"/>
      <c r="B28" s="31"/>
      <c r="H28" s="31"/>
      <c r="I28" s="32" t="s">
        <v>63</v>
      </c>
      <c r="J28" s="51">
        <v>5.0</v>
      </c>
      <c r="K28" s="32"/>
      <c r="L28" s="32"/>
      <c r="M28" s="32"/>
      <c r="N28" s="32"/>
      <c r="O28" s="47"/>
      <c r="P28" s="49"/>
      <c r="Q28" s="31"/>
      <c r="R28" s="31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</row>
    <row r="29" ht="30.0" customHeight="1">
      <c r="A29" s="1"/>
      <c r="B29" s="31"/>
      <c r="H29" s="31"/>
      <c r="I29" s="31"/>
      <c r="J29" s="31"/>
      <c r="K29" s="31"/>
      <c r="L29" s="31"/>
      <c r="M29" s="31"/>
      <c r="N29" s="31"/>
      <c r="O29" s="57"/>
      <c r="P29" s="49"/>
      <c r="Q29" s="31"/>
      <c r="R29" s="31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</row>
    <row r="30" ht="30.0" customHeight="1">
      <c r="A30" s="1"/>
      <c r="B30" s="31"/>
      <c r="H30" s="31"/>
      <c r="I30" s="31"/>
      <c r="J30" s="31"/>
      <c r="K30" s="31"/>
      <c r="L30" s="31"/>
      <c r="M30" s="31"/>
      <c r="N30" s="31"/>
      <c r="O30" s="57"/>
      <c r="P30" s="49"/>
      <c r="Q30" s="31"/>
      <c r="R30" s="31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</row>
    <row r="31" ht="30.0" customHeight="1">
      <c r="A31" s="1"/>
      <c r="B31" s="31"/>
      <c r="H31" s="31"/>
      <c r="I31" s="31"/>
      <c r="J31" s="31"/>
      <c r="K31" s="31"/>
      <c r="L31" s="31"/>
      <c r="M31" s="31"/>
      <c r="N31" s="31"/>
      <c r="O31" s="57"/>
      <c r="P31" s="49"/>
      <c r="Q31" s="31"/>
      <c r="R31" s="31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</row>
    <row r="32" ht="30.0" customHeight="1">
      <c r="A32" s="1"/>
      <c r="B32" s="31"/>
      <c r="H32" s="31"/>
      <c r="I32" s="31"/>
      <c r="J32" s="31"/>
      <c r="K32" s="31"/>
      <c r="L32" s="31"/>
      <c r="M32" s="31"/>
      <c r="N32" s="31"/>
      <c r="O32" s="57"/>
      <c r="P32" s="49"/>
      <c r="Q32" s="31"/>
      <c r="R32" s="31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</row>
    <row r="33" ht="30.0" customHeight="1">
      <c r="A33" s="1"/>
      <c r="B33" s="31"/>
      <c r="H33" s="31"/>
      <c r="I33" s="31"/>
      <c r="J33" s="31"/>
      <c r="K33" s="31"/>
      <c r="L33" s="31"/>
      <c r="M33" s="31"/>
      <c r="N33" s="31"/>
      <c r="O33" s="57"/>
      <c r="P33" s="49"/>
      <c r="Q33" s="31"/>
      <c r="R33" s="31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</row>
    <row r="34" ht="30.0" customHeight="1">
      <c r="A34" s="1"/>
      <c r="B34" s="31"/>
      <c r="H34" s="31"/>
      <c r="I34" s="31"/>
      <c r="J34" s="31"/>
      <c r="K34" s="31"/>
      <c r="L34" s="31"/>
      <c r="M34" s="31"/>
      <c r="N34" s="31"/>
      <c r="O34" s="57"/>
      <c r="P34" s="49"/>
      <c r="Q34" s="31"/>
      <c r="R34" s="31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</row>
    <row r="35" ht="30.0" customHeight="1">
      <c r="A35" s="1"/>
      <c r="B35" s="31"/>
      <c r="H35" s="31"/>
      <c r="I35" s="31"/>
      <c r="J35" s="31"/>
      <c r="K35" s="31"/>
      <c r="L35" s="31"/>
      <c r="M35" s="31"/>
      <c r="N35" s="31"/>
      <c r="O35" s="57"/>
      <c r="P35" s="49"/>
      <c r="Q35" s="31"/>
      <c r="R35" s="31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</row>
    <row r="36" ht="30.0" customHeight="1">
      <c r="A36" s="1"/>
      <c r="B36" s="31"/>
      <c r="H36" s="31"/>
      <c r="I36" s="31"/>
      <c r="J36" s="31"/>
      <c r="K36" s="31"/>
      <c r="L36" s="31"/>
      <c r="M36" s="31"/>
      <c r="N36" s="31"/>
      <c r="O36" s="57"/>
      <c r="P36" s="49"/>
      <c r="Q36" s="31"/>
      <c r="R36" s="31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</row>
    <row r="37" ht="30.0" customHeight="1">
      <c r="A37" s="1"/>
      <c r="B37" s="31"/>
      <c r="H37" s="31"/>
      <c r="I37" s="31"/>
      <c r="J37" s="31"/>
      <c r="K37" s="31"/>
      <c r="L37" s="31"/>
      <c r="M37" s="31"/>
      <c r="N37" s="31"/>
      <c r="O37" s="57"/>
      <c r="P37" s="49"/>
      <c r="Q37" s="31"/>
      <c r="R37" s="31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</row>
    <row r="38" ht="30.0" customHeight="1">
      <c r="A38" s="1"/>
      <c r="B38" s="31"/>
      <c r="H38" s="31"/>
      <c r="I38" s="31"/>
      <c r="J38" s="31"/>
      <c r="K38" s="31"/>
      <c r="L38" s="31"/>
      <c r="M38" s="31"/>
      <c r="N38" s="31"/>
      <c r="O38" s="57"/>
      <c r="P38" s="49"/>
      <c r="Q38" s="31"/>
      <c r="R38" s="31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</row>
    <row r="39" ht="30.0" customHeight="1">
      <c r="A39" s="1"/>
      <c r="B39" s="31"/>
      <c r="H39" s="31"/>
      <c r="I39" s="31"/>
      <c r="J39" s="31"/>
      <c r="K39" s="31"/>
      <c r="L39" s="31"/>
      <c r="M39" s="31"/>
      <c r="N39" s="31"/>
      <c r="O39" s="57"/>
      <c r="P39" s="49"/>
      <c r="Q39" s="31"/>
      <c r="R39" s="31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</row>
    <row r="40" ht="30.0" customHeight="1">
      <c r="A40" s="1"/>
      <c r="B40" s="31"/>
      <c r="H40" s="31"/>
      <c r="I40" s="31"/>
      <c r="J40" s="31"/>
      <c r="K40" s="31"/>
      <c r="L40" s="31"/>
      <c r="M40" s="31"/>
      <c r="N40" s="31"/>
      <c r="O40" s="57"/>
      <c r="P40" s="49"/>
      <c r="Q40" s="31"/>
      <c r="R40" s="31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</row>
    <row r="41" ht="30.0" customHeight="1">
      <c r="A41" s="1"/>
      <c r="B41" s="31"/>
      <c r="H41" s="31"/>
      <c r="I41" s="31"/>
      <c r="J41" s="31"/>
      <c r="K41" s="31"/>
      <c r="L41" s="31"/>
      <c r="M41" s="31"/>
      <c r="N41" s="31"/>
      <c r="O41" s="57"/>
      <c r="P41" s="49"/>
      <c r="Q41" s="31"/>
      <c r="R41" s="31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</row>
    <row r="42" ht="30.0" customHeight="1">
      <c r="A42" s="1"/>
      <c r="B42" s="31"/>
      <c r="H42" s="31"/>
      <c r="I42" s="31"/>
      <c r="J42" s="31"/>
      <c r="K42" s="31"/>
      <c r="L42" s="31"/>
      <c r="M42" s="31"/>
      <c r="N42" s="31"/>
      <c r="O42" s="57"/>
      <c r="P42" s="49"/>
      <c r="Q42" s="31"/>
      <c r="R42" s="31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</row>
    <row r="43" ht="30.0" customHeight="1">
      <c r="A43" s="1"/>
      <c r="B43" s="31"/>
      <c r="H43" s="31"/>
      <c r="I43" s="31"/>
      <c r="J43" s="31"/>
      <c r="K43" s="31"/>
      <c r="L43" s="31"/>
      <c r="M43" s="31"/>
      <c r="N43" s="31"/>
      <c r="O43" s="57"/>
      <c r="P43" s="49"/>
      <c r="Q43" s="31"/>
      <c r="R43" s="31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</row>
    <row r="44" ht="30.0" customHeight="1">
      <c r="A44" s="1"/>
      <c r="B44" s="31"/>
      <c r="H44" s="31"/>
      <c r="I44" s="31"/>
      <c r="J44" s="31"/>
      <c r="K44" s="31"/>
      <c r="L44" s="31"/>
      <c r="M44" s="31"/>
      <c r="N44" s="31"/>
      <c r="O44" s="57"/>
      <c r="P44" s="49"/>
      <c r="Q44" s="31"/>
      <c r="R44" s="31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</row>
    <row r="45" ht="30.0" customHeight="1">
      <c r="A45" s="1"/>
      <c r="B45" s="31"/>
      <c r="H45" s="31"/>
      <c r="I45" s="31"/>
      <c r="J45" s="31"/>
      <c r="K45" s="31"/>
      <c r="L45" s="31"/>
      <c r="M45" s="31"/>
      <c r="N45" s="31"/>
      <c r="O45" s="57"/>
      <c r="P45" s="66"/>
      <c r="Q45" s="31"/>
      <c r="R45" s="31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</row>
    <row r="46" ht="37.5" customHeight="1">
      <c r="A46" s="1"/>
      <c r="B46" s="31"/>
      <c r="H46" s="31"/>
      <c r="I46" s="31"/>
      <c r="J46" s="31"/>
      <c r="K46" s="31"/>
      <c r="L46" s="31"/>
      <c r="M46" s="31"/>
      <c r="N46" s="49"/>
      <c r="O46" s="31"/>
      <c r="P46" s="31"/>
      <c r="Q46" s="31"/>
      <c r="R46" s="31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</row>
    <row r="47" ht="30.0" customHeight="1">
      <c r="A47" s="1"/>
      <c r="B47" s="31"/>
      <c r="H47" s="31"/>
      <c r="I47" s="31"/>
      <c r="J47" s="31"/>
      <c r="K47" s="31"/>
      <c r="L47" s="31"/>
      <c r="M47" s="31"/>
      <c r="N47" s="49"/>
      <c r="O47" s="31"/>
      <c r="P47" s="31"/>
      <c r="Q47" s="31"/>
      <c r="R47" s="31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</row>
    <row r="48" ht="30.0" customHeight="1">
      <c r="A48" s="1"/>
      <c r="B48" s="31"/>
      <c r="H48" s="31"/>
      <c r="I48" s="31"/>
      <c r="J48" s="31"/>
      <c r="K48" s="31"/>
      <c r="L48" s="31"/>
      <c r="M48" s="31"/>
      <c r="N48" s="49"/>
      <c r="O48" s="31"/>
      <c r="P48" s="31"/>
      <c r="Q48" s="31"/>
      <c r="R48" s="31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</row>
    <row r="49" ht="30.0" customHeight="1">
      <c r="A49" s="1"/>
      <c r="B49" s="31"/>
      <c r="D49" s="58"/>
      <c r="E49" s="58"/>
      <c r="H49" s="31"/>
      <c r="I49" s="31"/>
      <c r="J49" s="31"/>
      <c r="K49" s="31"/>
      <c r="L49" s="31"/>
      <c r="M49" s="31"/>
      <c r="N49" s="49"/>
      <c r="O49" s="31"/>
      <c r="P49" s="31"/>
      <c r="Q49" s="31"/>
      <c r="R49" s="31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</row>
    <row r="50" ht="30.0" hidden="1" customHeight="1">
      <c r="A50" s="1"/>
      <c r="B50" s="31"/>
      <c r="D50" s="58"/>
      <c r="E50" s="58"/>
      <c r="H50" s="31"/>
      <c r="I50" s="31"/>
      <c r="J50" s="31"/>
      <c r="K50" s="31"/>
      <c r="L50" s="31"/>
      <c r="M50" s="31"/>
      <c r="N50" s="49"/>
      <c r="O50" s="31"/>
      <c r="P50" s="31"/>
      <c r="Q50" s="31"/>
      <c r="R50" s="31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</row>
    <row r="51" ht="30.0" hidden="1" customHeight="1">
      <c r="A51" s="1"/>
      <c r="B51" s="31"/>
      <c r="D51" s="58"/>
      <c r="E51" s="58"/>
      <c r="H51" s="31"/>
      <c r="I51" s="31"/>
      <c r="J51" s="31"/>
      <c r="K51" s="31"/>
      <c r="L51" s="31"/>
      <c r="M51" s="31"/>
      <c r="N51" s="49"/>
      <c r="O51" s="31"/>
      <c r="P51" s="31"/>
      <c r="Q51" s="31"/>
      <c r="R51" s="31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</row>
    <row r="52" ht="30.0" hidden="1" customHeight="1">
      <c r="A52" s="1"/>
      <c r="B52" s="31"/>
      <c r="D52" s="58"/>
      <c r="E52" s="58"/>
      <c r="H52" s="31"/>
      <c r="I52" s="31"/>
      <c r="J52" s="31"/>
      <c r="K52" s="31"/>
      <c r="L52" s="31"/>
      <c r="M52" s="31"/>
      <c r="N52" s="49"/>
      <c r="O52" s="31"/>
      <c r="P52" s="31"/>
      <c r="Q52" s="31"/>
      <c r="R52" s="31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</row>
    <row r="53" ht="30.0" hidden="1" customHeight="1">
      <c r="A53" s="1"/>
      <c r="B53" s="31"/>
      <c r="D53" s="58"/>
      <c r="E53" s="58"/>
      <c r="H53" s="31"/>
      <c r="I53" s="31"/>
      <c r="J53" s="31"/>
      <c r="K53" s="31"/>
      <c r="L53" s="31"/>
      <c r="M53" s="31"/>
      <c r="N53" s="49"/>
      <c r="O53" s="31"/>
      <c r="P53" s="31"/>
      <c r="Q53" s="31"/>
      <c r="R53" s="31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</row>
    <row r="54" ht="30.0" hidden="1" customHeight="1">
      <c r="A54" s="1"/>
      <c r="B54" s="31"/>
      <c r="D54" s="58"/>
      <c r="E54" s="58"/>
      <c r="H54" s="31"/>
      <c r="I54" s="31"/>
      <c r="J54" s="31"/>
      <c r="K54" s="31"/>
      <c r="L54" s="31"/>
      <c r="M54" s="31"/>
      <c r="N54" s="49"/>
      <c r="O54" s="31"/>
      <c r="P54" s="31"/>
      <c r="Q54" s="31"/>
      <c r="R54" s="31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</row>
    <row r="55" ht="30.0" hidden="1" customHeight="1">
      <c r="A55" s="1"/>
      <c r="D55" s="58"/>
      <c r="E55" s="58"/>
      <c r="H55" s="31"/>
      <c r="I55" s="31"/>
      <c r="J55" s="31"/>
      <c r="K55" s="31"/>
      <c r="L55" s="31"/>
      <c r="M55" s="31"/>
      <c r="N55" s="49"/>
      <c r="O55" s="31"/>
      <c r="P55" s="31"/>
      <c r="Q55" s="31"/>
      <c r="R55" s="31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</row>
    <row r="56" ht="30.0" hidden="1" customHeight="1">
      <c r="A56" s="1"/>
      <c r="D56" s="58"/>
      <c r="E56" s="58"/>
      <c r="H56" s="31"/>
      <c r="I56" s="31"/>
      <c r="J56" s="31"/>
      <c r="K56" s="31"/>
      <c r="L56" s="31"/>
      <c r="M56" s="31"/>
      <c r="N56" s="49"/>
      <c r="O56" s="31"/>
      <c r="P56" s="31"/>
      <c r="Q56" s="31"/>
      <c r="R56" s="31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</row>
    <row r="57" ht="30.0" hidden="1" customHeight="1">
      <c r="A57" s="1"/>
      <c r="D57" s="58"/>
      <c r="E57" s="58"/>
      <c r="H57" s="31"/>
      <c r="I57" s="31"/>
      <c r="J57" s="31"/>
      <c r="K57" s="31"/>
      <c r="L57" s="31"/>
      <c r="M57" s="31"/>
      <c r="N57" s="49"/>
      <c r="O57" s="31"/>
      <c r="P57" s="31"/>
      <c r="Q57" s="31"/>
      <c r="R57" s="31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</row>
    <row r="58" ht="30.0" hidden="1" customHeight="1">
      <c r="A58" s="1"/>
      <c r="D58" s="58"/>
      <c r="E58" s="58"/>
      <c r="H58" s="31"/>
      <c r="I58" s="31"/>
      <c r="J58" s="31"/>
      <c r="K58" s="31"/>
      <c r="L58" s="31"/>
      <c r="M58" s="31"/>
      <c r="N58" s="49"/>
      <c r="O58" s="31"/>
      <c r="P58" s="31"/>
      <c r="Q58" s="31"/>
      <c r="R58" s="31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</row>
    <row r="59" ht="30.0" hidden="1" customHeight="1">
      <c r="A59" s="1"/>
      <c r="D59" s="58"/>
      <c r="E59" s="58"/>
      <c r="H59" s="31"/>
      <c r="I59" s="31"/>
      <c r="J59" s="31"/>
      <c r="K59" s="31"/>
      <c r="L59" s="31"/>
      <c r="M59" s="31"/>
      <c r="N59" s="49"/>
      <c r="O59" s="31"/>
      <c r="P59" s="31"/>
      <c r="Q59" s="31"/>
      <c r="R59" s="31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</row>
    <row r="60" ht="30.0" hidden="1" customHeight="1">
      <c r="A60" s="1"/>
      <c r="D60" s="58"/>
      <c r="E60" s="58"/>
      <c r="H60" s="31"/>
      <c r="I60" s="31"/>
      <c r="J60" s="31"/>
      <c r="K60" s="31"/>
      <c r="L60" s="31"/>
      <c r="M60" s="31"/>
      <c r="N60" s="49"/>
      <c r="O60" s="31"/>
      <c r="P60" s="31"/>
      <c r="Q60" s="31"/>
      <c r="R60" s="31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</row>
    <row r="61" ht="30.0" hidden="1" customHeight="1">
      <c r="A61" s="1"/>
      <c r="D61" s="58"/>
      <c r="E61" s="58"/>
      <c r="H61" s="31"/>
      <c r="I61" s="31"/>
      <c r="J61" s="31"/>
      <c r="K61" s="31"/>
      <c r="L61" s="31"/>
      <c r="M61" s="31"/>
      <c r="N61" s="49"/>
      <c r="O61" s="31"/>
      <c r="P61" s="31"/>
      <c r="Q61" s="31"/>
      <c r="R61" s="31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</row>
    <row r="62" ht="30.0" hidden="1" customHeight="1">
      <c r="A62" s="1"/>
      <c r="D62" s="58"/>
      <c r="E62" s="58"/>
      <c r="H62" s="31"/>
      <c r="I62" s="31"/>
      <c r="J62" s="31"/>
      <c r="K62" s="31"/>
      <c r="L62" s="31"/>
      <c r="M62" s="31"/>
      <c r="N62" s="49"/>
      <c r="O62" s="31"/>
      <c r="P62" s="31"/>
      <c r="Q62" s="31"/>
      <c r="R62" s="31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</row>
    <row r="63" ht="30.0" hidden="1" customHeight="1">
      <c r="A63" s="1"/>
      <c r="D63" s="58"/>
      <c r="E63" s="58"/>
      <c r="H63" s="31"/>
      <c r="I63" s="31"/>
      <c r="J63" s="31"/>
      <c r="K63" s="31"/>
      <c r="L63" s="31"/>
      <c r="M63" s="31"/>
      <c r="N63" s="49"/>
      <c r="O63" s="31"/>
      <c r="P63" s="31"/>
      <c r="Q63" s="31"/>
      <c r="R63" s="31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</row>
    <row r="64" ht="30.0" hidden="1" customHeight="1">
      <c r="A64" s="1"/>
      <c r="D64" s="58"/>
      <c r="E64" s="58"/>
      <c r="H64" s="31"/>
      <c r="I64" s="31"/>
      <c r="J64" s="31"/>
      <c r="K64" s="31"/>
      <c r="L64" s="31"/>
      <c r="M64" s="31"/>
      <c r="N64" s="49"/>
      <c r="O64" s="31"/>
      <c r="P64" s="31"/>
      <c r="Q64" s="31"/>
      <c r="R64" s="31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</row>
    <row r="65" ht="15.75" hidden="1" customHeight="1">
      <c r="A65" s="1"/>
      <c r="D65" s="58"/>
      <c r="E65" s="58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</row>
    <row r="66" ht="15.75" hidden="1" customHeight="1">
      <c r="A66" s="1"/>
      <c r="D66" s="58"/>
      <c r="E66" s="58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</row>
    <row r="67" ht="15.75" hidden="1" customHeight="1">
      <c r="A67" s="1"/>
      <c r="D67" s="58"/>
      <c r="E67" s="58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</row>
    <row r="68" ht="15.75" hidden="1" customHeight="1">
      <c r="A68" s="1"/>
      <c r="D68" s="58"/>
      <c r="E68" s="58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</row>
    <row r="69" ht="15.0" customHeight="1">
      <c r="A69" s="1"/>
      <c r="D69" s="58"/>
      <c r="E69" s="58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</row>
    <row r="70" ht="15.0" customHeight="1">
      <c r="A70" s="1"/>
      <c r="D70" s="58"/>
      <c r="E70" s="58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</row>
    <row r="71" ht="15.0" customHeight="1">
      <c r="A71" s="1"/>
      <c r="D71" s="58"/>
      <c r="E71" s="58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</row>
    <row r="72" ht="15.75" customHeight="1">
      <c r="A72" s="1"/>
      <c r="D72" s="58"/>
      <c r="E72" s="58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</row>
    <row r="73" ht="15.75" customHeight="1">
      <c r="A73" s="1"/>
      <c r="D73" s="58"/>
      <c r="E73" s="58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</row>
    <row r="74" ht="15.75" customHeight="1">
      <c r="A74" s="1"/>
      <c r="D74" s="58"/>
      <c r="E74" s="58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</row>
    <row r="75" ht="15.75" customHeight="1">
      <c r="A75" s="1"/>
      <c r="D75" s="58"/>
      <c r="E75" s="58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</row>
    <row r="76" ht="15.75" customHeight="1">
      <c r="A76" s="1"/>
      <c r="D76" s="58"/>
      <c r="E76" s="58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</row>
    <row r="77" ht="15.75" customHeight="1">
      <c r="A77" s="1"/>
      <c r="D77" s="58"/>
      <c r="E77" s="58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</row>
    <row r="78" ht="15.75" customHeight="1">
      <c r="A78" s="1"/>
      <c r="D78" s="58"/>
      <c r="E78" s="58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</row>
    <row r="79" ht="15.75" customHeight="1">
      <c r="A79" s="1"/>
      <c r="D79" s="58"/>
      <c r="E79" s="58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</row>
    <row r="80" ht="15.75" customHeight="1">
      <c r="A80" s="1"/>
      <c r="D80" s="58"/>
      <c r="E80" s="58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</row>
    <row r="81" ht="15.75" customHeight="1">
      <c r="A81" s="1"/>
      <c r="D81" s="58"/>
      <c r="E81" s="58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</row>
    <row r="82" ht="15.75" customHeight="1">
      <c r="A82" s="1"/>
      <c r="D82" s="58"/>
      <c r="E82" s="58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</row>
    <row r="83" ht="15.75" customHeight="1">
      <c r="A83" s="1"/>
      <c r="D83" s="58"/>
      <c r="E83" s="58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</row>
    <row r="84" ht="15.75" customHeight="1">
      <c r="A84" s="1"/>
      <c r="D84" s="58"/>
      <c r="E84" s="58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</row>
    <row r="85" ht="15.75" customHeight="1">
      <c r="A85" s="1"/>
      <c r="D85" s="58"/>
      <c r="E85" s="58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</row>
    <row r="86" ht="15.75" customHeight="1">
      <c r="A86" s="1"/>
      <c r="D86" s="58"/>
      <c r="E86" s="58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</row>
    <row r="87" ht="15.75" customHeight="1">
      <c r="A87" s="1"/>
      <c r="D87" s="58"/>
      <c r="E87" s="58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</row>
    <row r="88" ht="15.75" customHeight="1">
      <c r="A88" s="1"/>
      <c r="D88" s="58"/>
      <c r="E88" s="58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</row>
    <row r="89" ht="15.75" customHeight="1">
      <c r="A89" s="1"/>
      <c r="D89" s="58"/>
      <c r="E89" s="58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</row>
    <row r="90" ht="15.75" customHeight="1">
      <c r="A90" s="1"/>
      <c r="D90" s="58"/>
      <c r="E90" s="58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</row>
    <row r="91" ht="15.75" customHeight="1">
      <c r="A91" s="1"/>
      <c r="D91" s="58"/>
      <c r="E91" s="58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</row>
    <row r="92" ht="15.75" customHeight="1">
      <c r="A92" s="1"/>
      <c r="D92" s="58"/>
      <c r="E92" s="58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</row>
    <row r="93" ht="15.75" customHeight="1">
      <c r="A93" s="1"/>
      <c r="D93" s="58"/>
      <c r="E93" s="58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</row>
    <row r="94" ht="15.75" customHeight="1">
      <c r="A94" s="1"/>
      <c r="D94" s="58"/>
      <c r="E94" s="58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</row>
    <row r="95" ht="15.75" customHeight="1">
      <c r="A95" s="1"/>
      <c r="D95" s="58"/>
      <c r="E95" s="58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</row>
    <row r="96" ht="15.75" customHeight="1">
      <c r="A96" s="1"/>
      <c r="D96" s="58"/>
      <c r="E96" s="58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</row>
    <row r="97" ht="15.75" customHeight="1">
      <c r="A97" s="1"/>
      <c r="D97" s="58"/>
      <c r="E97" s="58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</row>
    <row r="98" ht="15.75" customHeight="1">
      <c r="A98" s="1"/>
      <c r="D98" s="58"/>
      <c r="E98" s="58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</row>
    <row r="99" ht="15.75" customHeight="1">
      <c r="A99" s="1"/>
      <c r="D99" s="58"/>
      <c r="E99" s="58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</row>
    <row r="100" ht="15.75" customHeight="1">
      <c r="A100" s="1"/>
      <c r="D100" s="58"/>
      <c r="E100" s="58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</row>
    <row r="101" ht="15.75" customHeight="1">
      <c r="A101" s="1"/>
      <c r="D101" s="58"/>
      <c r="E101" s="58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</row>
    <row r="102" ht="15.75" customHeight="1">
      <c r="A102" s="1"/>
      <c r="D102" s="58"/>
      <c r="E102" s="58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</row>
    <row r="103" ht="15.75" customHeight="1">
      <c r="A103" s="1"/>
      <c r="D103" s="58"/>
      <c r="E103" s="58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</row>
    <row r="104" ht="15.75" customHeight="1">
      <c r="A104" s="1"/>
      <c r="D104" s="58"/>
      <c r="E104" s="58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</row>
    <row r="105" ht="15.75" customHeight="1">
      <c r="A105" s="1"/>
      <c r="D105" s="58"/>
      <c r="E105" s="58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</row>
    <row r="106" ht="15.75" customHeight="1">
      <c r="A106" s="1"/>
      <c r="D106" s="58"/>
      <c r="E106" s="58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</row>
    <row r="107" ht="15.75" customHeight="1">
      <c r="A107" s="1"/>
      <c r="D107" s="58"/>
      <c r="E107" s="58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</row>
    <row r="108" ht="15.75" customHeight="1">
      <c r="A108" s="1"/>
      <c r="D108" s="58"/>
      <c r="E108" s="58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</row>
    <row r="109" ht="15.75" customHeight="1">
      <c r="A109" s="1"/>
      <c r="D109" s="58"/>
      <c r="E109" s="58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</row>
    <row r="110" ht="15.75" customHeight="1">
      <c r="A110" s="1"/>
      <c r="D110" s="58"/>
      <c r="E110" s="58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</row>
    <row r="111" ht="15.75" customHeight="1">
      <c r="A111" s="1"/>
      <c r="D111" s="58"/>
      <c r="E111" s="58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</row>
    <row r="112" ht="15.75" customHeight="1">
      <c r="A112" s="1"/>
      <c r="D112" s="58"/>
      <c r="E112" s="58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</row>
    <row r="113" ht="15.75" customHeight="1">
      <c r="A113" s="1"/>
      <c r="D113" s="58"/>
      <c r="E113" s="58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</row>
    <row r="114" ht="15.75" customHeight="1">
      <c r="A114" s="1"/>
      <c r="D114" s="58"/>
      <c r="E114" s="58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</row>
    <row r="115" ht="15.75" customHeight="1">
      <c r="A115" s="1"/>
      <c r="D115" s="58"/>
      <c r="E115" s="58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</row>
    <row r="116" ht="15.75" customHeight="1">
      <c r="A116" s="1"/>
      <c r="D116" s="58"/>
      <c r="E116" s="58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</row>
    <row r="117" ht="15.75" customHeight="1">
      <c r="A117" s="1"/>
      <c r="D117" s="58"/>
      <c r="E117" s="58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</row>
    <row r="118" ht="15.75" customHeight="1">
      <c r="A118" s="1"/>
      <c r="D118" s="58"/>
      <c r="E118" s="58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</row>
    <row r="119" ht="15.75" customHeight="1">
      <c r="A119" s="1"/>
      <c r="D119" s="58"/>
      <c r="E119" s="58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</row>
    <row r="120" ht="15.75" customHeight="1">
      <c r="A120" s="1"/>
      <c r="D120" s="58"/>
      <c r="E120" s="58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</row>
    <row r="121" ht="15.75" customHeight="1">
      <c r="A121" s="1"/>
      <c r="D121" s="58"/>
      <c r="E121" s="58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</row>
    <row r="122" ht="15.75" customHeight="1">
      <c r="A122" s="1"/>
      <c r="D122" s="58"/>
      <c r="E122" s="58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</row>
    <row r="123" ht="15.75" customHeight="1">
      <c r="A123" s="1"/>
      <c r="D123" s="58"/>
      <c r="E123" s="58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</row>
    <row r="124" ht="15.75" customHeight="1">
      <c r="A124" s="1"/>
      <c r="D124" s="58"/>
      <c r="E124" s="58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</row>
    <row r="125" ht="15.75" customHeight="1">
      <c r="A125" s="1"/>
      <c r="D125" s="58"/>
      <c r="E125" s="58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</row>
    <row r="126" ht="15.75" customHeight="1">
      <c r="A126" s="1"/>
      <c r="D126" s="58"/>
      <c r="E126" s="58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</row>
    <row r="127" ht="15.75" customHeight="1">
      <c r="A127" s="1"/>
      <c r="D127" s="58"/>
      <c r="E127" s="58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</row>
    <row r="128" ht="15.75" customHeight="1">
      <c r="A128" s="1"/>
      <c r="D128" s="58"/>
      <c r="E128" s="58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</row>
    <row r="129" ht="15.75" customHeight="1">
      <c r="A129" s="1"/>
      <c r="D129" s="58"/>
      <c r="E129" s="58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</row>
    <row r="130" ht="15.75" customHeight="1">
      <c r="A130" s="1"/>
      <c r="D130" s="58"/>
      <c r="E130" s="58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</row>
    <row r="131" ht="15.75" customHeight="1">
      <c r="A131" s="1"/>
      <c r="D131" s="58"/>
      <c r="E131" s="58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</row>
    <row r="132" ht="15.75" customHeight="1">
      <c r="A132" s="1"/>
      <c r="D132" s="58"/>
      <c r="E132" s="58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</row>
    <row r="133" ht="15.75" customHeight="1">
      <c r="A133" s="1"/>
      <c r="D133" s="58"/>
      <c r="E133" s="58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</row>
    <row r="134" ht="15.75" customHeight="1">
      <c r="A134" s="1"/>
      <c r="D134" s="58"/>
      <c r="E134" s="58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</row>
    <row r="135" ht="15.75" customHeight="1">
      <c r="A135" s="1"/>
      <c r="D135" s="58"/>
      <c r="E135" s="58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</row>
    <row r="136" ht="15.75" customHeight="1">
      <c r="A136" s="1"/>
      <c r="D136" s="58"/>
      <c r="E136" s="58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</row>
    <row r="137" ht="15.75" customHeight="1">
      <c r="A137" s="1"/>
      <c r="D137" s="58"/>
      <c r="E137" s="58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</row>
    <row r="138" ht="15.75" customHeight="1">
      <c r="A138" s="1"/>
      <c r="D138" s="58"/>
      <c r="E138" s="58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</row>
    <row r="139" ht="15.75" customHeight="1">
      <c r="A139" s="1"/>
      <c r="D139" s="58"/>
      <c r="E139" s="58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</row>
    <row r="140" ht="15.75" customHeight="1">
      <c r="A140" s="1"/>
      <c r="D140" s="58"/>
      <c r="E140" s="58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</row>
    <row r="141" ht="15.75" customHeight="1">
      <c r="A141" s="1"/>
      <c r="D141" s="58"/>
      <c r="E141" s="58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</row>
    <row r="142" ht="15.75" customHeight="1">
      <c r="A142" s="1"/>
      <c r="D142" s="58"/>
      <c r="E142" s="58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</row>
    <row r="143" ht="15.75" customHeight="1">
      <c r="A143" s="1"/>
      <c r="D143" s="58"/>
      <c r="E143" s="58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</row>
    <row r="144" ht="15.75" customHeight="1">
      <c r="A144" s="1"/>
      <c r="D144" s="58"/>
      <c r="E144" s="58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</row>
    <row r="145" ht="15.75" customHeight="1">
      <c r="A145" s="1"/>
      <c r="D145" s="58"/>
      <c r="E145" s="58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</row>
    <row r="146" ht="15.75" customHeight="1">
      <c r="A146" s="1"/>
      <c r="D146" s="58"/>
      <c r="E146" s="58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</row>
    <row r="147" ht="15.75" customHeight="1">
      <c r="A147" s="1"/>
      <c r="D147" s="58"/>
      <c r="E147" s="58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</row>
    <row r="148" ht="15.75" customHeight="1">
      <c r="A148" s="1"/>
      <c r="D148" s="58"/>
      <c r="E148" s="58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</row>
    <row r="149" ht="15.75" customHeight="1">
      <c r="A149" s="1"/>
      <c r="D149" s="58"/>
      <c r="E149" s="58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</row>
    <row r="150" ht="15.75" customHeight="1">
      <c r="A150" s="1"/>
      <c r="D150" s="58"/>
      <c r="E150" s="58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</row>
    <row r="151" ht="15.75" customHeight="1">
      <c r="A151" s="1"/>
      <c r="D151" s="58"/>
      <c r="E151" s="58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</row>
    <row r="152" ht="15.75" customHeight="1">
      <c r="A152" s="1"/>
      <c r="D152" s="58"/>
      <c r="E152" s="58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</row>
    <row r="153" ht="15.75" customHeight="1">
      <c r="A153" s="1"/>
      <c r="D153" s="58"/>
      <c r="E153" s="58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</row>
    <row r="154" ht="15.75" customHeight="1">
      <c r="A154" s="1"/>
      <c r="D154" s="58"/>
      <c r="E154" s="58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</row>
    <row r="155" ht="15.75" customHeight="1">
      <c r="A155" s="1"/>
      <c r="D155" s="58"/>
      <c r="E155" s="58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</row>
    <row r="156" ht="15.75" customHeight="1">
      <c r="A156" s="1"/>
      <c r="D156" s="58"/>
      <c r="E156" s="58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</row>
    <row r="157" ht="15.75" customHeight="1">
      <c r="A157" s="1"/>
      <c r="D157" s="58"/>
      <c r="E157" s="58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</row>
    <row r="158" ht="15.75" customHeight="1">
      <c r="A158" s="1"/>
      <c r="D158" s="58"/>
      <c r="E158" s="58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</row>
    <row r="159" ht="15.75" customHeight="1">
      <c r="A159" s="1"/>
      <c r="D159" s="58"/>
      <c r="E159" s="58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</row>
    <row r="160" ht="15.75" customHeight="1">
      <c r="A160" s="1"/>
      <c r="D160" s="58"/>
      <c r="E160" s="58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</row>
    <row r="161" ht="15.75" customHeight="1">
      <c r="A161" s="1"/>
      <c r="D161" s="58"/>
      <c r="E161" s="58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</row>
    <row r="162" ht="15.75" customHeight="1">
      <c r="A162" s="1"/>
      <c r="D162" s="58"/>
      <c r="E162" s="58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</row>
    <row r="163" ht="15.75" customHeight="1">
      <c r="A163" s="1"/>
      <c r="D163" s="58"/>
      <c r="E163" s="58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</row>
    <row r="164" ht="15.75" customHeight="1">
      <c r="A164" s="1"/>
      <c r="D164" s="58"/>
      <c r="E164" s="58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</row>
    <row r="165" ht="15.75" customHeight="1">
      <c r="A165" s="1"/>
      <c r="D165" s="58"/>
      <c r="E165" s="58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</row>
    <row r="166" ht="15.75" customHeight="1">
      <c r="A166" s="1"/>
      <c r="D166" s="58"/>
      <c r="E166" s="58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</row>
    <row r="167" ht="15.75" customHeight="1">
      <c r="A167" s="1"/>
      <c r="D167" s="58"/>
      <c r="E167" s="58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</row>
    <row r="168" ht="15.75" customHeight="1">
      <c r="A168" s="1"/>
      <c r="D168" s="58"/>
      <c r="E168" s="58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</row>
    <row r="169" ht="15.75" customHeight="1">
      <c r="A169" s="1"/>
      <c r="D169" s="58"/>
      <c r="E169" s="58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</row>
    <row r="170" ht="15.75" customHeight="1">
      <c r="A170" s="1"/>
      <c r="D170" s="58"/>
      <c r="E170" s="58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</row>
    <row r="171" ht="15.75" customHeight="1">
      <c r="A171" s="1"/>
      <c r="D171" s="58"/>
      <c r="E171" s="58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</row>
    <row r="172" ht="15.75" customHeight="1">
      <c r="A172" s="1"/>
      <c r="D172" s="58"/>
      <c r="E172" s="58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</row>
    <row r="173" ht="15.75" customHeight="1">
      <c r="A173" s="1"/>
      <c r="D173" s="58"/>
      <c r="E173" s="58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</row>
    <row r="174" ht="15.75" customHeight="1">
      <c r="A174" s="1"/>
      <c r="D174" s="58"/>
      <c r="E174" s="58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</row>
    <row r="175" ht="15.75" customHeight="1">
      <c r="A175" s="1"/>
      <c r="D175" s="58"/>
      <c r="E175" s="58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</row>
    <row r="176" ht="15.75" customHeight="1">
      <c r="A176" s="1"/>
      <c r="D176" s="58"/>
      <c r="E176" s="58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</row>
    <row r="177" ht="15.75" customHeight="1">
      <c r="A177" s="1"/>
      <c r="D177" s="58"/>
      <c r="E177" s="58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</row>
    <row r="178" ht="15.75" customHeight="1">
      <c r="A178" s="1"/>
      <c r="D178" s="58"/>
      <c r="E178" s="58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</row>
    <row r="179" ht="15.75" customHeight="1">
      <c r="A179" s="1"/>
      <c r="D179" s="58"/>
      <c r="E179" s="58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</row>
    <row r="180" ht="15.75" customHeight="1">
      <c r="A180" s="1"/>
      <c r="D180" s="58"/>
      <c r="E180" s="58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</row>
    <row r="181" ht="15.75" customHeight="1">
      <c r="A181" s="1"/>
      <c r="D181" s="58"/>
      <c r="E181" s="58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</row>
    <row r="182" ht="15.75" customHeight="1">
      <c r="A182" s="1"/>
      <c r="D182" s="58"/>
      <c r="E182" s="58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</row>
    <row r="183" ht="15.75" customHeight="1">
      <c r="A183" s="1"/>
      <c r="D183" s="58"/>
      <c r="E183" s="58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</row>
    <row r="184" ht="15.75" customHeight="1">
      <c r="A184" s="1"/>
      <c r="D184" s="58"/>
      <c r="E184" s="58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</row>
    <row r="185" ht="15.75" customHeight="1">
      <c r="A185" s="1"/>
      <c r="D185" s="58"/>
      <c r="E185" s="58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</row>
    <row r="186" ht="15.75" customHeight="1">
      <c r="A186" s="1"/>
      <c r="D186" s="58"/>
      <c r="E186" s="58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</row>
    <row r="187" ht="15.75" customHeight="1">
      <c r="A187" s="1"/>
      <c r="D187" s="58"/>
      <c r="E187" s="58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</row>
    <row r="188" ht="15.75" customHeight="1">
      <c r="A188" s="1"/>
      <c r="D188" s="58"/>
      <c r="E188" s="58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</row>
    <row r="189" ht="15.75" customHeight="1">
      <c r="A189" s="1"/>
      <c r="D189" s="58"/>
      <c r="E189" s="58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</row>
    <row r="190" ht="15.75" customHeight="1">
      <c r="A190" s="1"/>
      <c r="D190" s="58"/>
      <c r="E190" s="58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</row>
    <row r="191" ht="15.75" customHeight="1">
      <c r="A191" s="1"/>
      <c r="D191" s="58"/>
      <c r="E191" s="58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</row>
    <row r="192" ht="15.75" customHeight="1">
      <c r="A192" s="1"/>
      <c r="D192" s="58"/>
      <c r="E192" s="58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</row>
    <row r="193" ht="15.75" customHeight="1">
      <c r="A193" s="1"/>
      <c r="D193" s="58"/>
      <c r="E193" s="58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</row>
    <row r="194" ht="15.75" customHeight="1">
      <c r="A194" s="1"/>
      <c r="D194" s="58"/>
      <c r="E194" s="58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</row>
    <row r="195" ht="15.75" customHeight="1">
      <c r="A195" s="1"/>
      <c r="D195" s="58"/>
      <c r="E195" s="58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</row>
    <row r="196" ht="15.75" customHeight="1">
      <c r="A196" s="1"/>
      <c r="D196" s="58"/>
      <c r="E196" s="58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</row>
    <row r="197" ht="15.75" customHeight="1">
      <c r="A197" s="1"/>
      <c r="D197" s="58"/>
      <c r="E197" s="58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</row>
    <row r="198" ht="15.75" customHeight="1">
      <c r="A198" s="1"/>
      <c r="D198" s="58"/>
      <c r="E198" s="58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</row>
    <row r="199" ht="15.75" customHeight="1">
      <c r="A199" s="1"/>
      <c r="D199" s="58"/>
      <c r="E199" s="58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</row>
    <row r="200" ht="15.75" customHeight="1">
      <c r="A200" s="1"/>
      <c r="D200" s="58"/>
      <c r="E200" s="58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</row>
    <row r="201" ht="15.75" customHeight="1">
      <c r="A201" s="1"/>
      <c r="D201" s="58"/>
      <c r="E201" s="58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</row>
    <row r="202" ht="15.75" customHeight="1">
      <c r="A202" s="1"/>
      <c r="D202" s="58"/>
      <c r="E202" s="58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</row>
    <row r="203" ht="15.75" customHeight="1">
      <c r="A203" s="1"/>
      <c r="D203" s="58"/>
      <c r="E203" s="58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</row>
    <row r="204" ht="15.75" customHeight="1">
      <c r="A204" s="1"/>
      <c r="D204" s="58"/>
      <c r="E204" s="58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</row>
    <row r="205" ht="15.75" customHeight="1">
      <c r="A205" s="1"/>
      <c r="D205" s="58"/>
      <c r="E205" s="58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</row>
    <row r="206" ht="15.75" customHeight="1">
      <c r="A206" s="1"/>
      <c r="D206" s="58"/>
      <c r="E206" s="58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</row>
    <row r="207" ht="15.75" customHeight="1">
      <c r="A207" s="1"/>
      <c r="D207" s="58"/>
      <c r="E207" s="58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</row>
    <row r="208" ht="15.75" customHeight="1">
      <c r="A208" s="1"/>
      <c r="D208" s="58"/>
      <c r="E208" s="58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</row>
    <row r="209" ht="15.75" customHeight="1">
      <c r="A209" s="1"/>
      <c r="D209" s="58"/>
      <c r="E209" s="58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</row>
    <row r="210" ht="15.75" customHeight="1">
      <c r="A210" s="1"/>
      <c r="D210" s="58"/>
      <c r="E210" s="58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</row>
    <row r="211" ht="15.75" customHeight="1">
      <c r="A211" s="1"/>
      <c r="D211" s="58"/>
      <c r="E211" s="58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</row>
    <row r="212" ht="15.75" customHeight="1">
      <c r="A212" s="1"/>
      <c r="D212" s="58"/>
      <c r="E212" s="58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</row>
    <row r="213" ht="15.75" customHeight="1">
      <c r="A213" s="1"/>
      <c r="D213" s="58"/>
      <c r="E213" s="58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</row>
    <row r="214" ht="15.75" customHeight="1">
      <c r="A214" s="1"/>
      <c r="D214" s="58"/>
      <c r="E214" s="58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</row>
    <row r="215" ht="15.75" customHeight="1">
      <c r="A215" s="1"/>
      <c r="D215" s="58"/>
      <c r="E215" s="58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</row>
    <row r="216" ht="15.75" customHeight="1">
      <c r="A216" s="1"/>
      <c r="D216" s="58"/>
      <c r="E216" s="58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</row>
    <row r="217" ht="15.75" customHeight="1">
      <c r="A217" s="1"/>
      <c r="D217" s="58"/>
      <c r="E217" s="58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</row>
    <row r="218" ht="15.75" customHeight="1">
      <c r="A218" s="1"/>
      <c r="D218" s="58"/>
      <c r="E218" s="58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</row>
    <row r="219" ht="15.75" customHeight="1">
      <c r="A219" s="1"/>
      <c r="D219" s="58"/>
      <c r="E219" s="58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</row>
    <row r="220" ht="15.75" customHeight="1">
      <c r="A220" s="1"/>
      <c r="D220" s="58"/>
      <c r="E220" s="58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</row>
    <row r="221" ht="15.75" customHeight="1">
      <c r="A221" s="1"/>
      <c r="D221" s="58"/>
      <c r="E221" s="58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</row>
    <row r="222" ht="15.75" customHeight="1">
      <c r="A222" s="1"/>
      <c r="D222" s="58"/>
      <c r="E222" s="58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</row>
    <row r="223" ht="15.75" customHeight="1">
      <c r="A223" s="1"/>
      <c r="D223" s="58"/>
      <c r="E223" s="58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</row>
    <row r="224" ht="15.75" customHeight="1">
      <c r="A224" s="1"/>
      <c r="D224" s="58"/>
      <c r="E224" s="58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</row>
    <row r="225" ht="15.75" customHeight="1">
      <c r="A225" s="1"/>
      <c r="D225" s="58"/>
      <c r="E225" s="58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</row>
    <row r="226" ht="15.75" customHeight="1">
      <c r="A226" s="1"/>
      <c r="D226" s="58"/>
      <c r="E226" s="58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</row>
    <row r="227" ht="15.75" customHeight="1">
      <c r="A227" s="1"/>
      <c r="D227" s="58"/>
      <c r="E227" s="58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</row>
    <row r="228" ht="15.75" customHeight="1">
      <c r="A228" s="1"/>
      <c r="D228" s="58"/>
      <c r="E228" s="58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6:E26"/>
  </mergeCells>
  <conditionalFormatting sqref="G6:G25">
    <cfRule type="containsText" dxfId="1" priority="1" operator="containsText" text="POUCA IMPORTÂNCIA">
      <formula>NOT(ISERROR(SEARCH(("POUCA IMPORTÂNCIA"),(G6))))</formula>
    </cfRule>
  </conditionalFormatting>
  <conditionalFormatting sqref="G6:G25">
    <cfRule type="containsText" dxfId="0" priority="2" operator="containsText" text="TOTALMENTE SEM IMPORTÂNCIA">
      <formula>NOT(ISERROR(SEARCH(("TOTALMENTE SEM IMPORTÂNCIA"),(G6))))</formula>
    </cfRule>
  </conditionalFormatting>
  <conditionalFormatting sqref="G6:G25">
    <cfRule type="containsText" dxfId="3" priority="3" operator="containsText" text="MUITO IMPORTANTE">
      <formula>NOT(ISERROR(SEARCH(("MUITO IMPORTANTE"),(G6))))</formula>
    </cfRule>
  </conditionalFormatting>
  <conditionalFormatting sqref="G6:G25">
    <cfRule type="containsText" dxfId="2" priority="4" operator="containsText" text="TOTALMENTE IMPORTANTE">
      <formula>NOT(ISERROR(SEARCH(("TOTALMENTE IMPORTANTE"),(G6))))</formula>
    </cfRule>
  </conditionalFormatting>
  <conditionalFormatting sqref="D6:D25">
    <cfRule type="containsText" dxfId="1" priority="5" operator="containsText" text="Muito">
      <formula>NOT(ISERROR(SEARCH(("Muito"),(D6))))</formula>
    </cfRule>
  </conditionalFormatting>
  <conditionalFormatting sqref="D6:D25">
    <cfRule type="containsText" dxfId="0" priority="6" operator="containsText" text="Totalmente">
      <formula>NOT(ISERROR(SEARCH(("Totalmente"),(D6))))</formula>
    </cfRule>
  </conditionalFormatting>
  <conditionalFormatting sqref="D6:D25">
    <cfRule type="containsText" dxfId="3" priority="7" operator="containsText" text="Pouco">
      <formula>NOT(ISERROR(SEARCH(("Pouco"),(D6))))</formula>
    </cfRule>
  </conditionalFormatting>
  <conditionalFormatting sqref="D6:D25">
    <cfRule type="containsText" dxfId="2" priority="8" operator="containsText" text="Sem">
      <formula>NOT(ISERROR(SEARCH(("Sem"),(D6))))</formula>
    </cfRule>
  </conditionalFormatting>
  <conditionalFormatting sqref="E6:E25">
    <cfRule type="containsText" dxfId="1" priority="9" operator="containsText" text="Muito">
      <formula>NOT(ISERROR(SEARCH(("Muito"),(E6))))</formula>
    </cfRule>
  </conditionalFormatting>
  <conditionalFormatting sqref="E6:E25">
    <cfRule type="containsText" dxfId="0" priority="10" operator="containsText" text="Pra">
      <formula>NOT(ISERROR(SEARCH(("Pra"),(E6))))</formula>
    </cfRule>
  </conditionalFormatting>
  <conditionalFormatting sqref="E6:E25">
    <cfRule type="containsText" dxfId="3" priority="11" operator="containsText" text="Pouco">
      <formula>NOT(ISERROR(SEARCH(("Pouco"),(E6))))</formula>
    </cfRule>
  </conditionalFormatting>
  <conditionalFormatting sqref="E6:E25">
    <cfRule type="containsText" dxfId="2" priority="12" operator="containsText" text="Nada">
      <formula>NOT(ISERROR(SEARCH(("Nada"),(E6))))</formula>
    </cfRule>
  </conditionalFormatting>
  <conditionalFormatting sqref="F6:F25">
    <cfRule type="containsText" dxfId="0" priority="13" operator="containsText" text="Piora muito">
      <formula>NOT(ISERROR(SEARCH(("Piora muito"),(F6))))</formula>
    </cfRule>
  </conditionalFormatting>
  <conditionalFormatting sqref="F6:F25">
    <cfRule type="containsText" dxfId="1" priority="14" operator="containsText" text="Piora">
      <formula>NOT(ISERROR(SEARCH(("Piora"),(F6))))</formula>
    </cfRule>
  </conditionalFormatting>
  <conditionalFormatting sqref="F6:F25">
    <cfRule type="containsText" dxfId="2" priority="15" operator="containsText" text="Melhora muito">
      <formula>NOT(ISERROR(SEARCH(("Melhora muito"),(F6))))</formula>
    </cfRule>
  </conditionalFormatting>
  <conditionalFormatting sqref="F6:F25">
    <cfRule type="containsText" dxfId="3" priority="16" operator="containsText" text="Melhora">
      <formula>NOT(ISERROR(SEARCH(("Melhora"),(F6))))</formula>
    </cfRule>
  </conditionalFormatting>
  <dataValidations>
    <dataValidation type="list" allowBlank="1" showErrorMessage="1" sqref="D6:D25">
      <formula1>$I$8:$I$12</formula1>
    </dataValidation>
    <dataValidation type="list" allowBlank="1" showErrorMessage="1" sqref="F6:F25">
      <formula1>$I$24:$I$28</formula1>
    </dataValidation>
    <dataValidation type="list" allowBlank="1" showErrorMessage="1" sqref="E6:E25">
      <formula1>$I$16:$I$20</formula1>
    </dataValidation>
  </dataValidations>
  <printOptions verticalCentered="1"/>
  <pageMargins bottom="0.7480314960629921" footer="0.0" header="0.0" left="0.2362204724409449" right="0.2362204724409449" top="0.7480314960629921"/>
  <pageSetup paperSize="9" scale="73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7.71"/>
    <col customWidth="1" min="2" max="2" width="4.29"/>
    <col customWidth="1" min="3" max="3" width="71.43"/>
    <col customWidth="1" min="4" max="4" width="11.43"/>
    <col customWidth="1" min="5" max="5" width="71.43"/>
    <col customWidth="1" min="6" max="6" width="11.43"/>
    <col customWidth="1" min="7" max="11" width="10.43"/>
    <col customWidth="1" min="12" max="12" width="20.43"/>
    <col customWidth="1" min="13" max="26" width="8.71"/>
    <col customWidth="1" min="27" max="28" width="9.29"/>
  </cols>
  <sheetData>
    <row r="1" ht="33.75" customHeight="1">
      <c r="A1" s="1"/>
      <c r="B1" s="23"/>
      <c r="C1" s="67" t="s">
        <v>76</v>
      </c>
      <c r="D1" s="68"/>
      <c r="E1" s="25"/>
      <c r="F1" s="25"/>
      <c r="G1" s="69"/>
      <c r="H1" s="69"/>
      <c r="I1" s="69"/>
      <c r="J1" s="69"/>
      <c r="K1" s="69"/>
      <c r="L1" s="70"/>
      <c r="M1" s="70"/>
      <c r="N1" s="70"/>
      <c r="O1" s="70"/>
      <c r="P1" s="70"/>
      <c r="Q1" s="70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ht="37.5" customHeight="1">
      <c r="A2" s="1"/>
      <c r="B2" s="23"/>
      <c r="C2" s="71"/>
      <c r="D2" s="68"/>
      <c r="E2" s="25"/>
      <c r="F2" s="25"/>
      <c r="G2" s="69"/>
      <c r="H2" s="69"/>
      <c r="I2" s="69"/>
      <c r="J2" s="69"/>
      <c r="K2" s="69"/>
      <c r="L2" s="70"/>
      <c r="M2" s="70"/>
      <c r="N2" s="70"/>
      <c r="O2" s="70"/>
      <c r="P2" s="70"/>
      <c r="Q2" s="70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ht="7.5" customHeight="1">
      <c r="A3" s="1"/>
      <c r="D3" s="72"/>
      <c r="G3" s="58"/>
      <c r="H3" s="58"/>
      <c r="I3" s="58"/>
      <c r="J3" s="58"/>
      <c r="K3" s="58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 ht="30.0" customHeight="1">
      <c r="A4" s="1"/>
      <c r="C4" s="73" t="s">
        <v>77</v>
      </c>
      <c r="G4" s="58"/>
      <c r="H4" s="58"/>
      <c r="I4" s="58"/>
      <c r="J4" s="58"/>
      <c r="K4" s="58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 ht="30.0" customHeight="1">
      <c r="A5" s="13"/>
      <c r="B5" s="14"/>
      <c r="C5" s="74" t="s">
        <v>78</v>
      </c>
      <c r="D5" s="75">
        <f>SUM(D6:D10)</f>
        <v>0</v>
      </c>
      <c r="E5" s="76" t="s">
        <v>79</v>
      </c>
      <c r="F5" s="77">
        <f>SUM(F6:F10)</f>
        <v>0</v>
      </c>
      <c r="G5" s="78"/>
      <c r="H5" s="32">
        <v>2.0E-4</v>
      </c>
      <c r="I5" s="47">
        <f t="shared" ref="I5:I24" si="1">H5+L5</f>
        <v>0.0002</v>
      </c>
      <c r="J5" s="79" t="str">
        <f t="shared" ref="J5:J9" si="2">C6</f>
        <v/>
      </c>
      <c r="K5" s="80" t="s">
        <v>80</v>
      </c>
      <c r="L5" s="81">
        <f t="shared" ref="L5:L9" si="3">D6</f>
        <v>0</v>
      </c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</row>
    <row r="6" ht="105.75" customHeight="1">
      <c r="A6" s="82"/>
      <c r="B6" s="83">
        <v>1.0</v>
      </c>
      <c r="C6" s="84" t="str">
        <f>IF(ISERROR(VLOOKUP(LARGE('Forças'!$M$6:$M$25,$B6),'Forças'!$M$6:$N$25,2,FALSE)),"",VLOOKUP(LARGE('Forças'!$M$6:$M$25,$B6),'Forças'!$M$6:$N$25,2,FALSE))</f>
        <v/>
      </c>
      <c r="D6" s="85">
        <f>IF(ISERROR(VLOOKUP(LARGE('Forças'!$M$6:$M$25,$B6),'Forças'!$M$6:$O$25,3,FALSE)),0,VLOOKUP(LARGE('Forças'!$M$6:$M$25,$B6),'Forças'!$M$6:$O$25,3,FALSE))</f>
        <v>0</v>
      </c>
      <c r="E6" s="86" t="str">
        <f>IF(ISERROR(VLOOKUP(LARGE(Fraquezas!$M$6:$M$25,$B6),Fraquezas!$M$6:$N$25,2,FALSE)),"",VLOOKUP(LARGE(Fraquezas!$M$6:$M$25,$B6),Fraquezas!$M$6:$N$25,2,FALSE))</f>
        <v/>
      </c>
      <c r="F6" s="87">
        <f>IF(ISERROR(VLOOKUP(LARGE(Fraquezas!$M$6:$M$25,$B6),Fraquezas!$M$6:$O$25,3,FALSE)),0,VLOOKUP(LARGE(Fraquezas!$M$6:$M$25,$B6),Fraquezas!$M$6:$O$25,3,FALSE))</f>
        <v>0</v>
      </c>
      <c r="G6" s="78"/>
      <c r="H6" s="32">
        <v>1.9E-4</v>
      </c>
      <c r="I6" s="47">
        <f t="shared" si="1"/>
        <v>0.00019</v>
      </c>
      <c r="J6" s="79" t="str">
        <f t="shared" si="2"/>
        <v/>
      </c>
      <c r="K6" s="80" t="s">
        <v>80</v>
      </c>
      <c r="L6" s="81">
        <f t="shared" si="3"/>
        <v>0</v>
      </c>
      <c r="M6" s="80"/>
      <c r="N6" s="83"/>
      <c r="O6" s="83"/>
      <c r="P6" s="83"/>
      <c r="Q6" s="80"/>
      <c r="R6" s="83"/>
      <c r="S6" s="83"/>
      <c r="T6" s="83"/>
      <c r="U6" s="83"/>
      <c r="V6" s="83"/>
      <c r="W6" s="83"/>
      <c r="X6" s="83"/>
      <c r="Y6" s="83"/>
      <c r="Z6" s="83"/>
      <c r="AA6" s="80"/>
      <c r="AB6" s="83"/>
    </row>
    <row r="7" ht="25.5" customHeight="1">
      <c r="A7" s="13"/>
      <c r="B7" s="80">
        <v>2.0</v>
      </c>
      <c r="C7" s="84" t="str">
        <f>IF(ISERROR(VLOOKUP(LARGE('Forças'!$M$6:$M$25,$B7),'Forças'!$M$6:$N$25,2,FALSE)),"",VLOOKUP(LARGE('Forças'!$M$6:$M$25,$B7),'Forças'!$M$6:$N$25,2,FALSE))</f>
        <v/>
      </c>
      <c r="D7" s="85">
        <f>IF(ISERROR(VLOOKUP(LARGE('Forças'!$M$6:$M$25,$B7),'Forças'!$M$6:$O$25,3,FALSE)),0,VLOOKUP(LARGE('Forças'!$M$6:$M$25,$B7),'Forças'!$M$6:$O$25,3,FALSE))</f>
        <v>0</v>
      </c>
      <c r="E7" s="86" t="str">
        <f>IF(ISERROR(VLOOKUP(LARGE(Fraquezas!$M$6:$M$25,$B7),Fraquezas!$M$6:$N$25,2,FALSE)),"",VLOOKUP(LARGE(Fraquezas!$M$6:$M$25,$B7),Fraquezas!$M$6:$N$25,2,FALSE))</f>
        <v/>
      </c>
      <c r="F7" s="87">
        <f>IF(ISERROR(VLOOKUP(LARGE(Fraquezas!$M$6:$M$25,$B7),Fraquezas!$M$6:$O$25,3,FALSE)),0,VLOOKUP(LARGE(Fraquezas!$M$6:$M$25,$B7),Fraquezas!$M$6:$O$25,3,FALSE))</f>
        <v>0</v>
      </c>
      <c r="G7" s="78"/>
      <c r="H7" s="32">
        <v>1.8E-4</v>
      </c>
      <c r="I7" s="47">
        <f t="shared" si="1"/>
        <v>0.00018</v>
      </c>
      <c r="J7" s="79" t="str">
        <f t="shared" si="2"/>
        <v/>
      </c>
      <c r="K7" s="80" t="s">
        <v>80</v>
      </c>
      <c r="L7" s="81">
        <f t="shared" si="3"/>
        <v>0</v>
      </c>
      <c r="M7" s="80"/>
      <c r="N7" s="83"/>
      <c r="O7" s="83"/>
      <c r="P7" s="83"/>
      <c r="Q7" s="80"/>
      <c r="R7" s="83"/>
      <c r="S7" s="83"/>
      <c r="T7" s="83"/>
      <c r="U7" s="83"/>
      <c r="V7" s="83"/>
      <c r="W7" s="83"/>
      <c r="X7" s="83"/>
      <c r="Y7" s="83"/>
      <c r="Z7" s="83"/>
      <c r="AA7" s="80"/>
      <c r="AB7" s="80"/>
    </row>
    <row r="8" ht="25.5" customHeight="1">
      <c r="A8" s="13"/>
      <c r="B8" s="83">
        <v>3.0</v>
      </c>
      <c r="C8" s="84" t="str">
        <f>IF(ISERROR(VLOOKUP(LARGE('Forças'!$M$6:$M$25,$B8),'Forças'!$M$6:$N$25,2,FALSE)),"",VLOOKUP(LARGE('Forças'!$M$6:$M$25,$B8),'Forças'!$M$6:$N$25,2,FALSE))</f>
        <v/>
      </c>
      <c r="D8" s="85">
        <f>IF(ISERROR(VLOOKUP(LARGE('Forças'!$M$6:$M$25,$B8),'Forças'!$M$6:$O$25,3,FALSE)),0,VLOOKUP(LARGE('Forças'!$M$6:$M$25,$B8),'Forças'!$M$6:$O$25,3,FALSE))</f>
        <v>0</v>
      </c>
      <c r="E8" s="86" t="str">
        <f>IF(ISERROR(VLOOKUP(LARGE(Fraquezas!$M$6:$M$25,$B8),Fraquezas!$M$6:$N$25,2,FALSE)),"",VLOOKUP(LARGE(Fraquezas!$M$6:$M$25,$B8),Fraquezas!$M$6:$N$25,2,FALSE))</f>
        <v/>
      </c>
      <c r="F8" s="87">
        <f>IF(ISERROR(VLOOKUP(LARGE(Fraquezas!$M$6:$M$25,$B8),Fraquezas!$M$6:$O$25,3,FALSE)),0,VLOOKUP(LARGE(Fraquezas!$M$6:$M$25,$B8),Fraquezas!$M$6:$O$25,3,FALSE))</f>
        <v>0</v>
      </c>
      <c r="G8" s="78"/>
      <c r="H8" s="32">
        <v>1.7E-4</v>
      </c>
      <c r="I8" s="47">
        <f t="shared" si="1"/>
        <v>0.00017</v>
      </c>
      <c r="J8" s="79" t="str">
        <f t="shared" si="2"/>
        <v/>
      </c>
      <c r="K8" s="80" t="s">
        <v>80</v>
      </c>
      <c r="L8" s="81">
        <f t="shared" si="3"/>
        <v>0</v>
      </c>
      <c r="M8" s="80"/>
      <c r="N8" s="83"/>
      <c r="O8" s="83"/>
      <c r="P8" s="83"/>
      <c r="Q8" s="80"/>
      <c r="R8" s="83"/>
      <c r="S8" s="83"/>
      <c r="T8" s="83"/>
      <c r="U8" s="83"/>
      <c r="V8" s="83"/>
      <c r="W8" s="83"/>
      <c r="X8" s="83"/>
      <c r="Y8" s="83"/>
      <c r="Z8" s="83"/>
      <c r="AA8" s="80"/>
      <c r="AB8" s="80"/>
    </row>
    <row r="9" ht="25.5" customHeight="1">
      <c r="A9" s="13"/>
      <c r="B9" s="80">
        <v>4.0</v>
      </c>
      <c r="C9" s="84" t="str">
        <f>IF(ISERROR(VLOOKUP(LARGE('Forças'!$M$6:$M$25,$B9),'Forças'!$M$6:$N$25,2,FALSE)),"",VLOOKUP(LARGE('Forças'!$M$6:$M$25,$B9),'Forças'!$M$6:$N$25,2,FALSE))</f>
        <v/>
      </c>
      <c r="D9" s="85">
        <f>IF(ISERROR(VLOOKUP(LARGE('Forças'!$M$6:$M$25,$B9),'Forças'!$M$6:$O$25,3,FALSE)),0,VLOOKUP(LARGE('Forças'!$M$6:$M$25,$B9),'Forças'!$M$6:$O$25,3,FALSE))</f>
        <v>0</v>
      </c>
      <c r="E9" s="86" t="str">
        <f>IF(ISERROR(VLOOKUP(LARGE(Fraquezas!$M$6:$M$25,$B9),Fraquezas!$M$6:$N$25,2,FALSE)),"",VLOOKUP(LARGE(Fraquezas!$M$6:$M$25,$B9),Fraquezas!$M$6:$N$25,2,FALSE))</f>
        <v/>
      </c>
      <c r="F9" s="87">
        <f>IF(ISERROR(VLOOKUP(LARGE(Fraquezas!$M$6:$M$25,$B9),Fraquezas!$M$6:$O$25,3,FALSE)),0,VLOOKUP(LARGE(Fraquezas!$M$6:$M$25,$B9),Fraquezas!$M$6:$O$25,3,FALSE))</f>
        <v>0</v>
      </c>
      <c r="G9" s="78"/>
      <c r="H9" s="32">
        <v>1.6E-4</v>
      </c>
      <c r="I9" s="32">
        <f t="shared" si="1"/>
        <v>0.00016</v>
      </c>
      <c r="J9" s="79" t="str">
        <f t="shared" si="2"/>
        <v/>
      </c>
      <c r="K9" s="80" t="s">
        <v>80</v>
      </c>
      <c r="L9" s="80">
        <f t="shared" si="3"/>
        <v>0</v>
      </c>
      <c r="M9" s="80"/>
      <c r="N9" s="83"/>
      <c r="O9" s="83"/>
      <c r="P9" s="83"/>
      <c r="Q9" s="80"/>
      <c r="R9" s="83"/>
      <c r="S9" s="83"/>
      <c r="T9" s="83"/>
      <c r="U9" s="83"/>
      <c r="V9" s="83"/>
      <c r="W9" s="83"/>
      <c r="X9" s="83"/>
      <c r="Y9" s="83"/>
      <c r="Z9" s="83"/>
      <c r="AA9" s="80"/>
      <c r="AB9" s="80"/>
    </row>
    <row r="10" ht="25.5" customHeight="1">
      <c r="A10" s="13"/>
      <c r="B10" s="83">
        <v>5.0</v>
      </c>
      <c r="C10" s="84" t="str">
        <f>IF(ISERROR(VLOOKUP(LARGE('Forças'!$M$6:$M$25,$B10),'Forças'!$M$6:$N$25,2,FALSE)),"",VLOOKUP(LARGE('Forças'!$M$6:$M$25,$B10),'Forças'!$M$6:$N$25,2,FALSE))</f>
        <v/>
      </c>
      <c r="D10" s="88">
        <f>IF(ISERROR(VLOOKUP(LARGE('Forças'!$M$6:$M$25,$B10),'Forças'!$M$6:$O$25,3,FALSE)),0,VLOOKUP(LARGE('Forças'!$M$6:$M$25,$B10),'Forças'!$M$6:$O$25,3,FALSE))</f>
        <v>0</v>
      </c>
      <c r="E10" s="86" t="str">
        <f>IF(ISERROR(VLOOKUP(LARGE(Fraquezas!$M$6:$M$25,$B10),Fraquezas!$M$6:$N$25,2,FALSE)),"",VLOOKUP(LARGE(Fraquezas!$M$6:$M$25,$B10),Fraquezas!$M$6:$N$25,2,FALSE))</f>
        <v/>
      </c>
      <c r="F10" s="87">
        <f>IF(ISERROR(VLOOKUP(LARGE(Fraquezas!$M$6:$M$25,$B10),Fraquezas!$M$6:$O$25,3,FALSE)),0,VLOOKUP(LARGE(Fraquezas!$M$6:$M$25,$B10),Fraquezas!$M$6:$O$25,3,FALSE))</f>
        <v>0</v>
      </c>
      <c r="G10" s="78"/>
      <c r="H10" s="32">
        <v>1.5E-4</v>
      </c>
      <c r="I10" s="47">
        <f t="shared" si="1"/>
        <v>0.00015</v>
      </c>
      <c r="J10" s="79" t="str">
        <f t="shared" ref="J10:J14" si="4">E6</f>
        <v/>
      </c>
      <c r="K10" s="80" t="s">
        <v>81</v>
      </c>
      <c r="L10" s="81">
        <f t="shared" ref="L10:L14" si="5">F6</f>
        <v>0</v>
      </c>
      <c r="M10" s="80"/>
      <c r="N10" s="83"/>
      <c r="O10" s="83"/>
      <c r="P10" s="83"/>
      <c r="Q10" s="80"/>
      <c r="R10" s="83"/>
      <c r="S10" s="83"/>
      <c r="T10" s="83"/>
      <c r="U10" s="83"/>
      <c r="V10" s="83"/>
      <c r="W10" s="83"/>
      <c r="X10" s="83"/>
      <c r="Y10" s="83"/>
      <c r="Z10" s="83"/>
      <c r="AA10" s="80"/>
      <c r="AB10" s="80"/>
    </row>
    <row r="11" ht="15.0" customHeight="1">
      <c r="A11" s="1"/>
      <c r="B11" s="32"/>
      <c r="D11" s="72"/>
      <c r="G11" s="58"/>
      <c r="H11" s="32">
        <v>1.4E-4</v>
      </c>
      <c r="I11" s="47">
        <f t="shared" si="1"/>
        <v>0.00014</v>
      </c>
      <c r="J11" s="79" t="str">
        <f t="shared" si="4"/>
        <v/>
      </c>
      <c r="K11" s="80" t="s">
        <v>81</v>
      </c>
      <c r="L11" s="81">
        <f t="shared" si="5"/>
        <v>0</v>
      </c>
      <c r="M11" s="32"/>
      <c r="N11" s="32"/>
      <c r="O11" s="32"/>
      <c r="P11" s="32"/>
      <c r="Q11" s="32"/>
      <c r="R11" s="32"/>
      <c r="S11" s="32"/>
      <c r="T11" s="32"/>
      <c r="U11" s="48"/>
      <c r="V11" s="32"/>
      <c r="W11" s="32"/>
      <c r="X11" s="32"/>
      <c r="Y11" s="32"/>
      <c r="Z11" s="32"/>
      <c r="AA11" s="32"/>
      <c r="AB11" s="32"/>
    </row>
    <row r="12" ht="30.0" customHeight="1">
      <c r="A12" s="1"/>
      <c r="B12" s="32"/>
      <c r="C12" s="73" t="s">
        <v>82</v>
      </c>
      <c r="D12" s="72"/>
      <c r="G12" s="58"/>
      <c r="H12" s="32">
        <v>1.3E-4</v>
      </c>
      <c r="I12" s="47">
        <f t="shared" si="1"/>
        <v>0.00013</v>
      </c>
      <c r="J12" s="79" t="str">
        <f t="shared" si="4"/>
        <v/>
      </c>
      <c r="K12" s="80" t="s">
        <v>81</v>
      </c>
      <c r="L12" s="81">
        <f t="shared" si="5"/>
        <v>0</v>
      </c>
      <c r="M12" s="32"/>
      <c r="N12" s="32"/>
      <c r="O12" s="32"/>
      <c r="P12" s="32"/>
      <c r="Q12" s="32"/>
      <c r="R12" s="32"/>
      <c r="S12" s="32"/>
      <c r="T12" s="32"/>
      <c r="U12" s="48"/>
      <c r="V12" s="32"/>
      <c r="W12" s="32"/>
      <c r="X12" s="32"/>
      <c r="Y12" s="32"/>
      <c r="Z12" s="32"/>
      <c r="AA12" s="32"/>
      <c r="AB12" s="32"/>
    </row>
    <row r="13" ht="30.0" customHeight="1">
      <c r="A13" s="1"/>
      <c r="B13" s="32"/>
      <c r="C13" s="74" t="s">
        <v>83</v>
      </c>
      <c r="D13" s="75">
        <f>SUM(D14:D18)</f>
        <v>0</v>
      </c>
      <c r="E13" s="76" t="s">
        <v>84</v>
      </c>
      <c r="F13" s="77">
        <f>SUM(F14:F18)</f>
        <v>0</v>
      </c>
      <c r="G13" s="58"/>
      <c r="H13" s="32">
        <v>1.2E-4</v>
      </c>
      <c r="I13" s="47">
        <f t="shared" si="1"/>
        <v>0.00012</v>
      </c>
      <c r="J13" s="79" t="str">
        <f t="shared" si="4"/>
        <v/>
      </c>
      <c r="K13" s="80" t="s">
        <v>81</v>
      </c>
      <c r="L13" s="81">
        <f t="shared" si="5"/>
        <v>0</v>
      </c>
      <c r="M13" s="32"/>
      <c r="N13" s="32"/>
      <c r="O13" s="32"/>
      <c r="P13" s="32"/>
      <c r="Q13" s="32"/>
      <c r="R13" s="32"/>
      <c r="S13" s="32"/>
      <c r="T13" s="32"/>
      <c r="U13" s="48"/>
      <c r="V13" s="32"/>
      <c r="W13" s="32"/>
      <c r="X13" s="32"/>
      <c r="Y13" s="32"/>
      <c r="Z13" s="32"/>
      <c r="AA13" s="32"/>
      <c r="AB13" s="32"/>
    </row>
    <row r="14" ht="25.5" customHeight="1">
      <c r="A14" s="1"/>
      <c r="B14" s="83">
        <v>1.0</v>
      </c>
      <c r="C14" s="84" t="str">
        <f>IF(ISERROR(VLOOKUP(LARGE(Oportunidades!$M$6:$M$25,$B14),Oportunidades!$M$6:$N$25,2,FALSE)),"",VLOOKUP(LARGE(Oportunidades!$M$6:$M$25,$B14),Oportunidades!$M$6:$N$25,2,FALSE))</f>
        <v/>
      </c>
      <c r="D14" s="85">
        <f>IF(ISERROR(VLOOKUP(LARGE(Oportunidades!$M$6:$M$25,$B14),Oportunidades!$M$6:$O$25,3,FALSE)),0,VLOOKUP(LARGE(Oportunidades!$M$6:$M$25,$B14),Oportunidades!$M$6:$O$25,3,FALSE))</f>
        <v>0</v>
      </c>
      <c r="E14" s="86" t="str">
        <f>IF(ISERROR(VLOOKUP(LARGE('Ameaças'!$M$6:$M$25,$B14),'Ameaças'!$M$6:$N$25,2,FALSE)),"",VLOOKUP(LARGE('Ameaças'!$M$6:$M$25,$B14),'Ameaças'!$M$6:$N$25,2,FALSE))</f>
        <v/>
      </c>
      <c r="F14" s="87">
        <f>IF(ISERROR(VLOOKUP(LARGE('Ameaças'!$M$6:$M$25,$B14),'Ameaças'!$M$6:$O$25,3,FALSE)),0,VLOOKUP(LARGE('Ameaças'!$M$6:$M$25,$B14),'Ameaças'!$M$6:$O$25,3,FALSE))</f>
        <v>0</v>
      </c>
      <c r="G14" s="58"/>
      <c r="H14" s="32">
        <v>1.1E-4</v>
      </c>
      <c r="I14" s="47">
        <f t="shared" si="1"/>
        <v>0.00011</v>
      </c>
      <c r="J14" s="79" t="str">
        <f t="shared" si="4"/>
        <v/>
      </c>
      <c r="K14" s="80" t="s">
        <v>81</v>
      </c>
      <c r="L14" s="81">
        <f t="shared" si="5"/>
        <v>0</v>
      </c>
      <c r="M14" s="32"/>
      <c r="N14" s="32"/>
      <c r="O14" s="32"/>
      <c r="P14" s="32"/>
      <c r="Q14" s="32"/>
      <c r="R14" s="32"/>
      <c r="S14" s="32"/>
      <c r="T14" s="32"/>
      <c r="U14" s="48"/>
      <c r="V14" s="32"/>
      <c r="W14" s="32"/>
      <c r="X14" s="32"/>
      <c r="Y14" s="32"/>
      <c r="Z14" s="32"/>
      <c r="AA14" s="32"/>
      <c r="AB14" s="32"/>
    </row>
    <row r="15" ht="25.5" customHeight="1">
      <c r="A15" s="1"/>
      <c r="B15" s="80">
        <v>2.0</v>
      </c>
      <c r="C15" s="84" t="str">
        <f>IF(ISERROR(VLOOKUP(LARGE(Oportunidades!$M$6:$M$25,$B15),Oportunidades!$M$6:$N$25,2,FALSE)),"",VLOOKUP(LARGE(Oportunidades!$M$6:$M$25,$B15),Oportunidades!$M$6:$N$25,2,FALSE))</f>
        <v/>
      </c>
      <c r="D15" s="85">
        <f>IF(ISERROR(VLOOKUP(LARGE(Oportunidades!$M$6:$M$25,$B15),Oportunidades!$M$6:$O$25,3,FALSE)),0,VLOOKUP(LARGE(Oportunidades!$M$6:$M$25,$B15),Oportunidades!$M$6:$O$25,3,FALSE))</f>
        <v>0</v>
      </c>
      <c r="E15" s="86" t="str">
        <f>IF(ISERROR(VLOOKUP(LARGE('Ameaças'!$M$6:$M$25,$B15),'Ameaças'!$M$6:$N$25,2,FALSE)),"",VLOOKUP(LARGE('Ameaças'!$M$6:$M$25,$B15),'Ameaças'!$M$6:$N$25,2,FALSE))</f>
        <v/>
      </c>
      <c r="F15" s="87">
        <f>IF(ISERROR(VLOOKUP(LARGE('Ameaças'!$M$6:$M$25,$B15),'Ameaças'!$M$6:$O$25,3,FALSE)),0,VLOOKUP(LARGE('Ameaças'!$M$6:$M$25,$B15),'Ameaças'!$M$6:$O$25,3,FALSE))</f>
        <v>0</v>
      </c>
      <c r="G15" s="58"/>
      <c r="H15" s="32">
        <v>1.0E-4</v>
      </c>
      <c r="I15" s="47">
        <f t="shared" si="1"/>
        <v>0.0001</v>
      </c>
      <c r="J15" s="48" t="str">
        <f t="shared" ref="J15:J19" si="6">C14</f>
        <v/>
      </c>
      <c r="K15" s="32" t="s">
        <v>85</v>
      </c>
      <c r="L15" s="47">
        <f t="shared" ref="L15:L19" si="7">D14</f>
        <v>0</v>
      </c>
      <c r="M15" s="32"/>
      <c r="N15" s="32"/>
      <c r="O15" s="32"/>
      <c r="P15" s="32"/>
      <c r="Q15" s="32"/>
      <c r="R15" s="32"/>
      <c r="S15" s="32"/>
      <c r="T15" s="32"/>
      <c r="U15" s="48"/>
      <c r="V15" s="32"/>
      <c r="W15" s="32"/>
      <c r="X15" s="32"/>
      <c r="Y15" s="32"/>
      <c r="Z15" s="32"/>
      <c r="AA15" s="32"/>
      <c r="AB15" s="32"/>
    </row>
    <row r="16" ht="25.5" customHeight="1">
      <c r="A16" s="1"/>
      <c r="B16" s="83">
        <v>3.0</v>
      </c>
      <c r="C16" s="84" t="str">
        <f>IF(ISERROR(VLOOKUP(LARGE(Oportunidades!$M$6:$M$25,$B16),Oportunidades!$M$6:$N$25,2,FALSE)),"",VLOOKUP(LARGE(Oportunidades!$M$6:$M$25,$B16),Oportunidades!$M$6:$N$25,2,FALSE))</f>
        <v/>
      </c>
      <c r="D16" s="85">
        <f>IF(ISERROR(VLOOKUP(LARGE(Oportunidades!$M$6:$M$25,$B16),Oportunidades!$M$6:$O$25,3,FALSE)),0,VLOOKUP(LARGE(Oportunidades!$M$6:$M$25,$B16),Oportunidades!$M$6:$O$25,3,FALSE))</f>
        <v>0</v>
      </c>
      <c r="E16" s="89" t="str">
        <f>IF(ISERROR(VLOOKUP(LARGE('Ameaças'!$M$6:$M$25,$B16),'Ameaças'!$M$6:$N$25,2,FALSE)),"",VLOOKUP(LARGE('Ameaças'!$M$6:$M$25,$B16),'Ameaças'!$M$6:$N$25,2,FALSE))</f>
        <v/>
      </c>
      <c r="F16" s="90">
        <f>IF(ISERROR(VLOOKUP(LARGE('Ameaças'!$M$6:$M$25,$B16),'Ameaças'!$M$6:$O$25,3,FALSE)),0,VLOOKUP(LARGE('Ameaças'!$M$6:$M$25,$B16),'Ameaças'!$M$6:$O$25,3,FALSE))</f>
        <v>0</v>
      </c>
      <c r="G16" s="58"/>
      <c r="H16" s="32">
        <v>9.0E-5</v>
      </c>
      <c r="I16" s="47">
        <f t="shared" si="1"/>
        <v>0.00009</v>
      </c>
      <c r="J16" s="48" t="str">
        <f t="shared" si="6"/>
        <v/>
      </c>
      <c r="K16" s="32" t="s">
        <v>85</v>
      </c>
      <c r="L16" s="47">
        <f t="shared" si="7"/>
        <v>0</v>
      </c>
      <c r="M16" s="32"/>
      <c r="N16" s="32"/>
      <c r="O16" s="32"/>
      <c r="P16" s="32"/>
      <c r="Q16" s="32"/>
      <c r="R16" s="32"/>
      <c r="S16" s="32"/>
      <c r="T16" s="32"/>
      <c r="U16" s="48"/>
      <c r="V16" s="32"/>
      <c r="W16" s="32"/>
      <c r="X16" s="32"/>
      <c r="Y16" s="32"/>
      <c r="Z16" s="32"/>
      <c r="AA16" s="32"/>
      <c r="AB16" s="32"/>
    </row>
    <row r="17" ht="25.5" customHeight="1">
      <c r="A17" s="1"/>
      <c r="B17" s="80">
        <v>4.0</v>
      </c>
      <c r="C17" s="84" t="str">
        <f>IF(ISERROR(VLOOKUP(LARGE(Oportunidades!$M$6:$M$25,$B17),Oportunidades!$M$6:$N$25,2,FALSE)),"",VLOOKUP(LARGE(Oportunidades!$M$6:$M$25,$B17),Oportunidades!$M$6:$N$25,2,FALSE))</f>
        <v/>
      </c>
      <c r="D17" s="85">
        <f>IF(ISERROR(VLOOKUP(LARGE(Oportunidades!$M$6:$M$25,$B17),Oportunidades!$M$6:$O$25,3,FALSE)),0,VLOOKUP(LARGE(Oportunidades!$M$6:$M$25,$B17),Oportunidades!$M$6:$O$25,3,FALSE))</f>
        <v>0</v>
      </c>
      <c r="E17" s="89" t="str">
        <f>IF(ISERROR(VLOOKUP(LARGE('Ameaças'!$M$6:$M$25,$B17),'Ameaças'!$M$6:$N$25,2,FALSE)),"",VLOOKUP(LARGE('Ameaças'!$M$6:$M$25,$B17),'Ameaças'!$M$6:$N$25,2,FALSE))</f>
        <v/>
      </c>
      <c r="F17" s="90">
        <f>IF(ISERROR(VLOOKUP(LARGE('Ameaças'!$M$6:$M$25,$B17),'Ameaças'!$M$6:$O$25,3,FALSE)),0,VLOOKUP(LARGE('Ameaças'!$M$6:$M$25,$B17),'Ameaças'!$M$6:$O$25,3,FALSE))</f>
        <v>0</v>
      </c>
      <c r="G17" s="58"/>
      <c r="H17" s="32">
        <v>8.0E-5</v>
      </c>
      <c r="I17" s="47">
        <f t="shared" si="1"/>
        <v>0.00008</v>
      </c>
      <c r="J17" s="48" t="str">
        <f t="shared" si="6"/>
        <v/>
      </c>
      <c r="K17" s="32" t="s">
        <v>85</v>
      </c>
      <c r="L17" s="47">
        <f t="shared" si="7"/>
        <v>0</v>
      </c>
      <c r="M17" s="32"/>
      <c r="N17" s="32"/>
      <c r="O17" s="32"/>
      <c r="P17" s="32"/>
      <c r="Q17" s="32"/>
      <c r="R17" s="32"/>
      <c r="S17" s="32"/>
      <c r="T17" s="32"/>
      <c r="U17" s="48"/>
      <c r="V17" s="32"/>
      <c r="W17" s="32"/>
      <c r="X17" s="32"/>
      <c r="Y17" s="32"/>
      <c r="Z17" s="32"/>
      <c r="AA17" s="32"/>
      <c r="AB17" s="32"/>
    </row>
    <row r="18" ht="25.5" customHeight="1">
      <c r="A18" s="1"/>
      <c r="B18" s="83">
        <v>5.0</v>
      </c>
      <c r="C18" s="84" t="str">
        <f>IF(ISERROR(VLOOKUP(LARGE(Oportunidades!$M$6:$M$25,$B18),Oportunidades!$M$6:$N$25,2,FALSE)),"",VLOOKUP(LARGE(Oportunidades!$M$6:$M$25,$B18),Oportunidades!$M$6:$N$25,2,FALSE))</f>
        <v/>
      </c>
      <c r="D18" s="85">
        <f>IF(ISERROR(VLOOKUP(LARGE(Oportunidades!$M$6:$M$25,$B18),Oportunidades!$M$6:$O$25,3,FALSE)),0,VLOOKUP(LARGE(Oportunidades!$M$6:$M$25,$B18),Oportunidades!$M$6:$O$25,3,FALSE))</f>
        <v>0</v>
      </c>
      <c r="E18" s="89" t="str">
        <f>IF(ISERROR(VLOOKUP(LARGE('Ameaças'!$M$6:$M$25,$B18),'Ameaças'!$M$6:$N$25,2,FALSE)),"",VLOOKUP(LARGE('Ameaças'!$M$6:$M$25,$B18),'Ameaças'!$M$6:$N$25,2,FALSE))</f>
        <v/>
      </c>
      <c r="F18" s="90">
        <f>IF(ISERROR(VLOOKUP(LARGE('Ameaças'!$M$6:$M$25,$B18),'Ameaças'!$M$6:$O$25,3,FALSE)),0,VLOOKUP(LARGE('Ameaças'!$M$6:$M$25,$B18),'Ameaças'!$M$6:$O$25,3,FALSE))</f>
        <v>0</v>
      </c>
      <c r="G18" s="58"/>
      <c r="H18" s="32">
        <v>7.0E-5</v>
      </c>
      <c r="I18" s="47">
        <f t="shared" si="1"/>
        <v>0.00007</v>
      </c>
      <c r="J18" s="48" t="str">
        <f t="shared" si="6"/>
        <v/>
      </c>
      <c r="K18" s="32" t="s">
        <v>85</v>
      </c>
      <c r="L18" s="47">
        <f t="shared" si="7"/>
        <v>0</v>
      </c>
      <c r="M18" s="32"/>
      <c r="N18" s="32"/>
      <c r="O18" s="32"/>
      <c r="P18" s="32"/>
      <c r="Q18" s="32"/>
      <c r="R18" s="32"/>
      <c r="S18" s="32"/>
      <c r="T18" s="32"/>
      <c r="U18" s="48"/>
      <c r="V18" s="32"/>
      <c r="W18" s="32"/>
      <c r="X18" s="32"/>
      <c r="Y18" s="32"/>
      <c r="Z18" s="32"/>
      <c r="AA18" s="32"/>
      <c r="AB18" s="32"/>
    </row>
    <row r="19" ht="30.0" customHeight="1">
      <c r="A19" s="1"/>
      <c r="D19" s="72"/>
      <c r="G19" s="58"/>
      <c r="H19" s="32">
        <v>6.0E-5</v>
      </c>
      <c r="I19" s="47">
        <f t="shared" si="1"/>
        <v>0.00006</v>
      </c>
      <c r="J19" s="48" t="str">
        <f t="shared" si="6"/>
        <v/>
      </c>
      <c r="K19" s="32" t="s">
        <v>85</v>
      </c>
      <c r="L19" s="47">
        <f t="shared" si="7"/>
        <v>0</v>
      </c>
      <c r="M19" s="32"/>
      <c r="N19" s="32"/>
      <c r="O19" s="32"/>
      <c r="P19" s="32"/>
      <c r="Q19" s="32"/>
      <c r="R19" s="32"/>
      <c r="S19" s="32"/>
      <c r="T19" s="32"/>
      <c r="U19" s="48"/>
      <c r="V19" s="32"/>
      <c r="W19" s="32"/>
      <c r="X19" s="32"/>
      <c r="Y19" s="32"/>
      <c r="Z19" s="32"/>
      <c r="AA19" s="32"/>
      <c r="AB19" s="32"/>
    </row>
    <row r="20" ht="30.0" customHeight="1">
      <c r="A20" s="1"/>
      <c r="D20" s="72"/>
      <c r="G20" s="58"/>
      <c r="H20" s="32">
        <v>5.0E-5</v>
      </c>
      <c r="I20" s="47">
        <f t="shared" si="1"/>
        <v>0.00005</v>
      </c>
      <c r="J20" s="48" t="str">
        <f t="shared" ref="J20:J24" si="8">E14</f>
        <v/>
      </c>
      <c r="K20" s="32" t="s">
        <v>86</v>
      </c>
      <c r="L20" s="47">
        <f t="shared" ref="L20:L24" si="9">F14</f>
        <v>0</v>
      </c>
      <c r="M20" s="32"/>
      <c r="N20" s="32"/>
      <c r="O20" s="32"/>
      <c r="P20" s="32"/>
      <c r="Q20" s="32"/>
      <c r="R20" s="32"/>
      <c r="S20" s="32"/>
      <c r="T20" s="32"/>
      <c r="U20" s="48"/>
      <c r="V20" s="32"/>
      <c r="W20" s="32"/>
      <c r="X20" s="32"/>
      <c r="Y20" s="32"/>
      <c r="Z20" s="32"/>
      <c r="AA20" s="32"/>
      <c r="AB20" s="32"/>
    </row>
    <row r="21" ht="30.0" customHeight="1">
      <c r="A21" s="1"/>
      <c r="D21" s="72"/>
      <c r="G21" s="58"/>
      <c r="H21" s="32">
        <v>4.0E-5</v>
      </c>
      <c r="I21" s="47">
        <f t="shared" si="1"/>
        <v>0.00004</v>
      </c>
      <c r="J21" s="48" t="str">
        <f t="shared" si="8"/>
        <v/>
      </c>
      <c r="K21" s="32" t="s">
        <v>86</v>
      </c>
      <c r="L21" s="47">
        <f t="shared" si="9"/>
        <v>0</v>
      </c>
      <c r="M21" s="32"/>
      <c r="N21" s="32"/>
      <c r="O21" s="32"/>
      <c r="P21" s="32"/>
      <c r="Q21" s="32"/>
      <c r="R21" s="32"/>
      <c r="S21" s="32"/>
      <c r="T21" s="32"/>
      <c r="U21" s="48"/>
      <c r="V21" s="32"/>
      <c r="W21" s="32"/>
      <c r="X21" s="32"/>
      <c r="Y21" s="32"/>
      <c r="Z21" s="32"/>
      <c r="AA21" s="32"/>
      <c r="AB21" s="32"/>
    </row>
    <row r="22" ht="14.25" customHeight="1">
      <c r="A22" s="1"/>
      <c r="D22" s="72"/>
      <c r="G22" s="58"/>
      <c r="H22" s="32">
        <v>3.0E-5</v>
      </c>
      <c r="I22" s="32">
        <f t="shared" si="1"/>
        <v>0.00003</v>
      </c>
      <c r="J22" s="32" t="str">
        <f t="shared" si="8"/>
        <v/>
      </c>
      <c r="K22" s="32" t="s">
        <v>86</v>
      </c>
      <c r="L22" s="32">
        <f t="shared" si="9"/>
        <v>0</v>
      </c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 ht="14.25" customHeight="1">
      <c r="A23" s="1"/>
      <c r="D23" s="72"/>
      <c r="G23" s="58"/>
      <c r="H23" s="32">
        <v>2.0E-5</v>
      </c>
      <c r="I23" s="32">
        <f t="shared" si="1"/>
        <v>0.00002</v>
      </c>
      <c r="J23" s="32" t="str">
        <f t="shared" si="8"/>
        <v/>
      </c>
      <c r="K23" s="32" t="s">
        <v>86</v>
      </c>
      <c r="L23" s="32">
        <f t="shared" si="9"/>
        <v>0</v>
      </c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</row>
    <row r="24" ht="14.25" customHeight="1">
      <c r="A24" s="1"/>
      <c r="D24" s="72"/>
      <c r="G24" s="58"/>
      <c r="H24" s="32">
        <v>1.0E-5</v>
      </c>
      <c r="I24" s="32">
        <f t="shared" si="1"/>
        <v>0.00001</v>
      </c>
      <c r="J24" s="32" t="str">
        <f t="shared" si="8"/>
        <v/>
      </c>
      <c r="K24" s="32" t="s">
        <v>86</v>
      </c>
      <c r="L24" s="32">
        <f t="shared" si="9"/>
        <v>0</v>
      </c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</row>
    <row r="25" ht="14.25" customHeight="1">
      <c r="A25" s="1"/>
      <c r="D25" s="72"/>
      <c r="G25" s="58"/>
      <c r="H25" s="58"/>
      <c r="I25" s="58"/>
      <c r="J25" s="58"/>
      <c r="K25" s="58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 ht="14.25" customHeight="1">
      <c r="A26" s="1"/>
      <c r="D26" s="91"/>
      <c r="E26" s="58"/>
      <c r="G26" s="58"/>
      <c r="H26" s="58"/>
      <c r="I26" s="58"/>
      <c r="J26" s="58"/>
      <c r="K26" s="58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 ht="14.25" customHeight="1">
      <c r="A27" s="1"/>
      <c r="D27" s="91"/>
      <c r="E27" s="58"/>
      <c r="G27" s="58"/>
      <c r="H27" s="58"/>
      <c r="I27" s="58"/>
      <c r="J27" s="58"/>
      <c r="K27" s="58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</row>
    <row r="28" ht="14.25" customHeight="1">
      <c r="A28" s="1"/>
      <c r="D28" s="91"/>
      <c r="E28" s="58"/>
      <c r="G28" s="58"/>
      <c r="H28" s="58"/>
      <c r="I28" s="58"/>
      <c r="J28" s="58"/>
      <c r="K28" s="58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 ht="14.25" customHeight="1">
      <c r="A29" s="1"/>
      <c r="D29" s="91"/>
      <c r="E29" s="58"/>
      <c r="G29" s="58"/>
      <c r="H29" s="58"/>
      <c r="I29" s="58"/>
      <c r="J29" s="58"/>
      <c r="K29" s="58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</row>
    <row r="30" ht="14.25" customHeight="1">
      <c r="A30" s="1"/>
      <c r="D30" s="91"/>
      <c r="E30" s="58"/>
      <c r="G30" s="58"/>
      <c r="H30" s="58"/>
      <c r="I30" s="58"/>
      <c r="J30" s="58"/>
      <c r="K30" s="58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 ht="14.25" customHeight="1">
      <c r="A31" s="1"/>
      <c r="D31" s="91"/>
      <c r="E31" s="58"/>
      <c r="G31" s="58"/>
      <c r="H31" s="58"/>
      <c r="I31" s="58"/>
      <c r="J31" s="58"/>
      <c r="K31" s="58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</row>
    <row r="32" ht="14.25" customHeight="1">
      <c r="A32" s="1"/>
      <c r="D32" s="91"/>
      <c r="E32" s="58"/>
      <c r="G32" s="58"/>
      <c r="H32" s="58"/>
      <c r="I32" s="58"/>
      <c r="J32" s="58"/>
      <c r="K32" s="58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14.25" customHeight="1">
      <c r="A33" s="1"/>
      <c r="D33" s="91"/>
      <c r="E33" s="58"/>
      <c r="G33" s="58"/>
      <c r="H33" s="58"/>
      <c r="I33" s="58"/>
      <c r="J33" s="58"/>
      <c r="K33" s="58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4.25" customHeight="1">
      <c r="A34" s="1"/>
      <c r="D34" s="91"/>
      <c r="E34" s="58"/>
      <c r="G34" s="58"/>
      <c r="H34" s="58"/>
      <c r="I34" s="58"/>
      <c r="J34" s="58"/>
      <c r="K34" s="58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4.25" customHeight="1">
      <c r="A35" s="1"/>
      <c r="D35" s="91"/>
      <c r="E35" s="58"/>
      <c r="G35" s="58"/>
      <c r="H35" s="58"/>
      <c r="I35" s="58"/>
      <c r="J35" s="58"/>
      <c r="K35" s="58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4.25" customHeight="1">
      <c r="A36" s="1"/>
      <c r="D36" s="91"/>
      <c r="E36" s="58"/>
      <c r="G36" s="58"/>
      <c r="H36" s="58"/>
      <c r="I36" s="58"/>
      <c r="J36" s="58"/>
      <c r="K36" s="58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ht="14.25" customHeight="1">
      <c r="A37" s="1"/>
      <c r="D37" s="91"/>
      <c r="E37" s="58"/>
      <c r="G37" s="58"/>
      <c r="H37" s="58"/>
      <c r="I37" s="58"/>
      <c r="J37" s="58"/>
      <c r="K37" s="58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 ht="14.25" customHeight="1">
      <c r="A38" s="1"/>
      <c r="D38" s="91"/>
      <c r="E38" s="58"/>
      <c r="G38" s="58"/>
      <c r="H38" s="58"/>
      <c r="I38" s="58"/>
      <c r="J38" s="58"/>
      <c r="K38" s="58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ht="14.25" customHeight="1">
      <c r="A39" s="1"/>
      <c r="D39" s="91"/>
      <c r="E39" s="58"/>
      <c r="G39" s="58"/>
      <c r="H39" s="58"/>
      <c r="I39" s="58"/>
      <c r="J39" s="58"/>
      <c r="K39" s="58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ht="14.25" customHeight="1">
      <c r="A40" s="1"/>
      <c r="D40" s="91"/>
      <c r="E40" s="58"/>
      <c r="G40" s="58"/>
      <c r="H40" s="58"/>
      <c r="I40" s="58"/>
      <c r="J40" s="58"/>
      <c r="K40" s="58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</row>
    <row r="41" ht="14.25" customHeight="1">
      <c r="A41" s="1"/>
      <c r="D41" s="91"/>
      <c r="E41" s="58"/>
      <c r="G41" s="58"/>
      <c r="H41" s="58"/>
      <c r="I41" s="58"/>
      <c r="J41" s="58"/>
      <c r="K41" s="58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 ht="14.25" customHeight="1">
      <c r="A42" s="1"/>
      <c r="D42" s="91"/>
      <c r="E42" s="58"/>
      <c r="G42" s="58"/>
      <c r="H42" s="58"/>
      <c r="I42" s="58"/>
      <c r="J42" s="58"/>
      <c r="K42" s="58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ht="14.25" customHeight="1">
      <c r="A43" s="1"/>
      <c r="D43" s="91"/>
      <c r="E43" s="58"/>
      <c r="G43" s="58"/>
      <c r="H43" s="58"/>
      <c r="I43" s="58"/>
      <c r="J43" s="58"/>
      <c r="K43" s="58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 ht="14.25" customHeight="1">
      <c r="A44" s="1"/>
      <c r="D44" s="91"/>
      <c r="E44" s="58"/>
      <c r="G44" s="58"/>
      <c r="H44" s="58"/>
      <c r="I44" s="58"/>
      <c r="J44" s="58"/>
      <c r="K44" s="58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</row>
    <row r="45" ht="14.25" customHeight="1">
      <c r="A45" s="1"/>
      <c r="D45" s="91"/>
      <c r="E45" s="58"/>
      <c r="G45" s="58"/>
      <c r="H45" s="58"/>
      <c r="I45" s="58"/>
      <c r="J45" s="58"/>
      <c r="K45" s="58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 ht="14.25" customHeight="1">
      <c r="A46" s="1"/>
      <c r="D46" s="91"/>
      <c r="E46" s="58"/>
      <c r="G46" s="58"/>
      <c r="H46" s="58"/>
      <c r="I46" s="58"/>
      <c r="J46" s="58"/>
      <c r="K46" s="58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</row>
    <row r="47" ht="14.25" customHeight="1">
      <c r="A47" s="1"/>
      <c r="D47" s="91"/>
      <c r="E47" s="58"/>
      <c r="G47" s="58"/>
      <c r="H47" s="58"/>
      <c r="I47" s="58"/>
      <c r="J47" s="58"/>
      <c r="K47" s="58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</row>
    <row r="48" ht="14.25" customHeight="1">
      <c r="A48" s="1"/>
      <c r="D48" s="91"/>
      <c r="E48" s="58"/>
      <c r="G48" s="58"/>
      <c r="H48" s="58"/>
      <c r="I48" s="58"/>
      <c r="J48" s="58"/>
      <c r="K48" s="58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ht="14.25" customHeight="1">
      <c r="A49" s="1"/>
      <c r="D49" s="91"/>
      <c r="E49" s="58"/>
      <c r="G49" s="58"/>
      <c r="H49" s="58"/>
      <c r="I49" s="58"/>
      <c r="J49" s="58"/>
      <c r="K49" s="58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 ht="14.25" customHeight="1">
      <c r="A50" s="1"/>
      <c r="D50" s="91"/>
      <c r="E50" s="58"/>
      <c r="G50" s="58"/>
      <c r="H50" s="58"/>
      <c r="I50" s="58"/>
      <c r="J50" s="58"/>
      <c r="K50" s="58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</row>
    <row r="51" ht="14.25" customHeight="1">
      <c r="A51" s="1"/>
      <c r="D51" s="91"/>
      <c r="E51" s="58"/>
      <c r="G51" s="58"/>
      <c r="H51" s="58"/>
      <c r="I51" s="58"/>
      <c r="J51" s="58"/>
      <c r="K51" s="58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 ht="14.25" customHeight="1">
      <c r="A52" s="1"/>
      <c r="D52" s="91"/>
      <c r="E52" s="58"/>
      <c r="G52" s="58"/>
      <c r="H52" s="58"/>
      <c r="I52" s="58"/>
      <c r="J52" s="58"/>
      <c r="K52" s="5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 ht="14.25" customHeight="1">
      <c r="A53" s="1"/>
      <c r="D53" s="91"/>
      <c r="E53" s="58"/>
      <c r="G53" s="58"/>
      <c r="H53" s="58"/>
      <c r="I53" s="58"/>
      <c r="J53" s="58"/>
      <c r="K53" s="58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 ht="14.25" customHeight="1">
      <c r="A54" s="1"/>
      <c r="D54" s="91"/>
      <c r="E54" s="58"/>
      <c r="G54" s="58"/>
      <c r="H54" s="58"/>
      <c r="I54" s="58"/>
      <c r="J54" s="58"/>
      <c r="K54" s="58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ht="14.25" customHeight="1">
      <c r="A55" s="1"/>
      <c r="D55" s="91"/>
      <c r="E55" s="58"/>
      <c r="G55" s="58"/>
      <c r="H55" s="58"/>
      <c r="I55" s="58"/>
      <c r="J55" s="58"/>
      <c r="K55" s="58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</row>
    <row r="56" ht="14.25" customHeight="1">
      <c r="A56" s="1"/>
      <c r="D56" s="91"/>
      <c r="E56" s="58"/>
      <c r="G56" s="58"/>
      <c r="H56" s="58"/>
      <c r="I56" s="58"/>
      <c r="J56" s="58"/>
      <c r="K56" s="58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 ht="14.25" customHeight="1">
      <c r="A57" s="1"/>
      <c r="D57" s="91"/>
      <c r="E57" s="58"/>
      <c r="G57" s="58"/>
      <c r="H57" s="58"/>
      <c r="I57" s="58"/>
      <c r="J57" s="58"/>
      <c r="K57" s="58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</row>
    <row r="58" ht="14.25" customHeight="1">
      <c r="A58" s="1"/>
      <c r="D58" s="91"/>
      <c r="E58" s="58"/>
      <c r="G58" s="58"/>
      <c r="H58" s="58"/>
      <c r="I58" s="58"/>
      <c r="J58" s="58"/>
      <c r="K58" s="58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 ht="14.25" customHeight="1">
      <c r="A59" s="1"/>
      <c r="D59" s="91"/>
      <c r="E59" s="58"/>
      <c r="G59" s="58"/>
      <c r="H59" s="58"/>
      <c r="I59" s="58"/>
      <c r="J59" s="58"/>
      <c r="K59" s="58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</row>
    <row r="60" ht="14.25" customHeight="1">
      <c r="A60" s="1"/>
      <c r="D60" s="91"/>
      <c r="E60" s="58"/>
      <c r="G60" s="58"/>
      <c r="H60" s="58"/>
      <c r="I60" s="58"/>
      <c r="J60" s="58"/>
      <c r="K60" s="58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 ht="14.25" customHeight="1">
      <c r="A61" s="1"/>
      <c r="D61" s="91"/>
      <c r="E61" s="58"/>
      <c r="G61" s="58"/>
      <c r="H61" s="58"/>
      <c r="I61" s="58"/>
      <c r="J61" s="58"/>
      <c r="K61" s="58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 ht="14.25" customHeight="1">
      <c r="A62" s="1"/>
      <c r="D62" s="91"/>
      <c r="E62" s="58"/>
      <c r="G62" s="58"/>
      <c r="H62" s="58"/>
      <c r="I62" s="58"/>
      <c r="J62" s="58"/>
      <c r="K62" s="58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</row>
    <row r="63" ht="14.25" customHeight="1">
      <c r="A63" s="1"/>
      <c r="D63" s="91"/>
      <c r="E63" s="58"/>
      <c r="G63" s="58"/>
      <c r="H63" s="58"/>
      <c r="I63" s="58"/>
      <c r="J63" s="58"/>
      <c r="K63" s="58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ht="14.25" customHeight="1">
      <c r="A64" s="1"/>
      <c r="D64" s="91"/>
      <c r="E64" s="58"/>
      <c r="G64" s="58"/>
      <c r="H64" s="58"/>
      <c r="I64" s="58"/>
      <c r="J64" s="58"/>
      <c r="K64" s="58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 ht="14.25" customHeight="1">
      <c r="A65" s="1"/>
      <c r="D65" s="91"/>
      <c r="E65" s="58"/>
      <c r="G65" s="58"/>
      <c r="H65" s="58"/>
      <c r="I65" s="58"/>
      <c r="J65" s="58"/>
      <c r="K65" s="58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</row>
    <row r="66" ht="14.25" customHeight="1">
      <c r="A66" s="1"/>
      <c r="D66" s="91"/>
      <c r="E66" s="58"/>
      <c r="G66" s="58"/>
      <c r="H66" s="58"/>
      <c r="I66" s="58"/>
      <c r="J66" s="58"/>
      <c r="K66" s="58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 ht="14.25" customHeight="1">
      <c r="A67" s="1"/>
      <c r="D67" s="91"/>
      <c r="E67" s="58"/>
      <c r="G67" s="58"/>
      <c r="H67" s="58"/>
      <c r="I67" s="58"/>
      <c r="J67" s="58"/>
      <c r="K67" s="58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</row>
    <row r="68" ht="14.25" customHeight="1">
      <c r="A68" s="1"/>
      <c r="D68" s="91"/>
      <c r="E68" s="58"/>
      <c r="G68" s="58"/>
      <c r="H68" s="58"/>
      <c r="I68" s="58"/>
      <c r="J68" s="58"/>
      <c r="K68" s="58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4.25" customHeight="1">
      <c r="A69" s="1"/>
      <c r="D69" s="91"/>
      <c r="E69" s="58"/>
      <c r="G69" s="58"/>
      <c r="H69" s="58"/>
      <c r="I69" s="58"/>
      <c r="J69" s="58"/>
      <c r="K69" s="58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4.25" customHeight="1">
      <c r="A70" s="1"/>
      <c r="D70" s="91"/>
      <c r="E70" s="58"/>
      <c r="G70" s="58"/>
      <c r="H70" s="58"/>
      <c r="I70" s="58"/>
      <c r="J70" s="58"/>
      <c r="K70" s="58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4.25" customHeight="1">
      <c r="A71" s="1"/>
      <c r="D71" s="91"/>
      <c r="E71" s="58"/>
      <c r="G71" s="58"/>
      <c r="H71" s="58"/>
      <c r="I71" s="58"/>
      <c r="J71" s="58"/>
      <c r="K71" s="58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4.25" customHeight="1">
      <c r="A72" s="1"/>
      <c r="D72" s="91"/>
      <c r="E72" s="58"/>
      <c r="G72" s="58"/>
      <c r="H72" s="58"/>
      <c r="I72" s="58"/>
      <c r="J72" s="58"/>
      <c r="K72" s="58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4.25" customHeight="1">
      <c r="A73" s="1"/>
      <c r="D73" s="91"/>
      <c r="E73" s="58"/>
      <c r="G73" s="58"/>
      <c r="H73" s="58"/>
      <c r="I73" s="58"/>
      <c r="J73" s="58"/>
      <c r="K73" s="58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4.25" customHeight="1">
      <c r="A74" s="1"/>
      <c r="D74" s="91"/>
      <c r="E74" s="58"/>
      <c r="G74" s="58"/>
      <c r="H74" s="58"/>
      <c r="I74" s="58"/>
      <c r="J74" s="58"/>
      <c r="K74" s="58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4.25" customHeight="1">
      <c r="A75" s="1"/>
      <c r="D75" s="91"/>
      <c r="E75" s="58"/>
      <c r="G75" s="58"/>
      <c r="H75" s="58"/>
      <c r="I75" s="58"/>
      <c r="J75" s="58"/>
      <c r="K75" s="58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</row>
    <row r="76" ht="14.25" customHeight="1">
      <c r="A76" s="1"/>
      <c r="D76" s="91"/>
      <c r="E76" s="58"/>
      <c r="G76" s="58"/>
      <c r="H76" s="58"/>
      <c r="I76" s="58"/>
      <c r="J76" s="58"/>
      <c r="K76" s="58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4.25" customHeight="1">
      <c r="A77" s="1"/>
      <c r="D77" s="91"/>
      <c r="E77" s="58"/>
      <c r="G77" s="58"/>
      <c r="H77" s="58"/>
      <c r="I77" s="58"/>
      <c r="J77" s="58"/>
      <c r="K77" s="58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</row>
    <row r="78" ht="14.25" customHeight="1">
      <c r="A78" s="1"/>
      <c r="D78" s="91"/>
      <c r="E78" s="58"/>
      <c r="G78" s="58"/>
      <c r="H78" s="58"/>
      <c r="I78" s="58"/>
      <c r="J78" s="58"/>
      <c r="K78" s="58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 ht="14.25" customHeight="1">
      <c r="A79" s="1"/>
      <c r="D79" s="91"/>
      <c r="E79" s="58"/>
      <c r="G79" s="58"/>
      <c r="H79" s="58"/>
      <c r="I79" s="58"/>
      <c r="J79" s="58"/>
      <c r="K79" s="58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</row>
    <row r="80" ht="14.25" customHeight="1">
      <c r="A80" s="1"/>
      <c r="D80" s="91"/>
      <c r="E80" s="58"/>
      <c r="G80" s="58"/>
      <c r="H80" s="58"/>
      <c r="I80" s="58"/>
      <c r="J80" s="58"/>
      <c r="K80" s="58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 ht="14.25" customHeight="1">
      <c r="A81" s="1"/>
      <c r="D81" s="91"/>
      <c r="E81" s="58"/>
      <c r="G81" s="58"/>
      <c r="H81" s="58"/>
      <c r="I81" s="58"/>
      <c r="J81" s="58"/>
      <c r="K81" s="58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 ht="14.25" customHeight="1">
      <c r="A82" s="1"/>
      <c r="D82" s="91"/>
      <c r="E82" s="58"/>
      <c r="G82" s="58"/>
      <c r="H82" s="58"/>
      <c r="I82" s="58"/>
      <c r="J82" s="58"/>
      <c r="K82" s="58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</row>
    <row r="83" ht="14.25" customHeight="1">
      <c r="A83" s="1"/>
      <c r="D83" s="91"/>
      <c r="E83" s="58"/>
      <c r="G83" s="58"/>
      <c r="H83" s="58"/>
      <c r="I83" s="58"/>
      <c r="J83" s="58"/>
      <c r="K83" s="58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 ht="14.25" customHeight="1">
      <c r="A84" s="1"/>
      <c r="D84" s="91"/>
      <c r="E84" s="58"/>
      <c r="G84" s="58"/>
      <c r="H84" s="58"/>
      <c r="I84" s="58"/>
      <c r="J84" s="58"/>
      <c r="K84" s="58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</row>
    <row r="85" ht="14.25" customHeight="1">
      <c r="A85" s="1"/>
      <c r="D85" s="91"/>
      <c r="E85" s="58"/>
      <c r="G85" s="58"/>
      <c r="H85" s="58"/>
      <c r="I85" s="58"/>
      <c r="J85" s="58"/>
      <c r="K85" s="58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 ht="14.25" customHeight="1">
      <c r="A86" s="1"/>
      <c r="D86" s="91"/>
      <c r="E86" s="58"/>
      <c r="G86" s="58"/>
      <c r="H86" s="58"/>
      <c r="I86" s="58"/>
      <c r="J86" s="58"/>
      <c r="K86" s="58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</row>
    <row r="87" ht="14.25" customHeight="1">
      <c r="A87" s="1"/>
      <c r="D87" s="91"/>
      <c r="E87" s="58"/>
      <c r="G87" s="58"/>
      <c r="H87" s="58"/>
      <c r="I87" s="58"/>
      <c r="J87" s="58"/>
      <c r="K87" s="58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</row>
    <row r="88" ht="14.25" customHeight="1">
      <c r="A88" s="1"/>
      <c r="D88" s="91"/>
      <c r="E88" s="58"/>
      <c r="G88" s="58"/>
      <c r="H88" s="58"/>
      <c r="I88" s="58"/>
      <c r="J88" s="58"/>
      <c r="K88" s="58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</row>
    <row r="89" ht="14.25" customHeight="1">
      <c r="A89" s="1"/>
      <c r="D89" s="91"/>
      <c r="E89" s="58"/>
      <c r="G89" s="58"/>
      <c r="H89" s="58"/>
      <c r="I89" s="58"/>
      <c r="J89" s="58"/>
      <c r="K89" s="58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 ht="14.25" customHeight="1">
      <c r="A90" s="1"/>
      <c r="D90" s="91"/>
      <c r="E90" s="58"/>
      <c r="G90" s="58"/>
      <c r="H90" s="58"/>
      <c r="I90" s="58"/>
      <c r="J90" s="58"/>
      <c r="K90" s="58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 ht="14.25" customHeight="1">
      <c r="A91" s="1"/>
      <c r="D91" s="91"/>
      <c r="E91" s="58"/>
      <c r="G91" s="58"/>
      <c r="H91" s="58"/>
      <c r="I91" s="58"/>
      <c r="J91" s="58"/>
      <c r="K91" s="58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 ht="14.25" customHeight="1">
      <c r="A92" s="1"/>
      <c r="D92" s="91"/>
      <c r="E92" s="58"/>
      <c r="G92" s="58"/>
      <c r="H92" s="58"/>
      <c r="I92" s="58"/>
      <c r="J92" s="58"/>
      <c r="K92" s="58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 ht="14.25" customHeight="1">
      <c r="A93" s="1"/>
      <c r="D93" s="91"/>
      <c r="E93" s="58"/>
      <c r="G93" s="58"/>
      <c r="H93" s="58"/>
      <c r="I93" s="58"/>
      <c r="J93" s="58"/>
      <c r="K93" s="58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 ht="14.25" customHeight="1">
      <c r="A94" s="1"/>
      <c r="D94" s="91"/>
      <c r="E94" s="58"/>
      <c r="G94" s="58"/>
      <c r="H94" s="58"/>
      <c r="I94" s="58"/>
      <c r="J94" s="58"/>
      <c r="K94" s="58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 ht="14.25" customHeight="1">
      <c r="A95" s="1"/>
      <c r="D95" s="91"/>
      <c r="E95" s="58"/>
      <c r="G95" s="58"/>
      <c r="H95" s="58"/>
      <c r="I95" s="58"/>
      <c r="J95" s="58"/>
      <c r="K95" s="58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 ht="14.25" customHeight="1">
      <c r="A96" s="1"/>
      <c r="D96" s="91"/>
      <c r="E96" s="58"/>
      <c r="G96" s="58"/>
      <c r="H96" s="58"/>
      <c r="I96" s="58"/>
      <c r="J96" s="58"/>
      <c r="K96" s="58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 ht="14.25" customHeight="1">
      <c r="A97" s="1"/>
      <c r="D97" s="91"/>
      <c r="E97" s="58"/>
      <c r="G97" s="58"/>
      <c r="H97" s="58"/>
      <c r="I97" s="58"/>
      <c r="J97" s="58"/>
      <c r="K97" s="58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</row>
    <row r="98" ht="14.25" customHeight="1">
      <c r="A98" s="1"/>
      <c r="D98" s="91"/>
      <c r="E98" s="58"/>
      <c r="G98" s="58"/>
      <c r="H98" s="58"/>
      <c r="I98" s="58"/>
      <c r="J98" s="58"/>
      <c r="K98" s="58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</row>
    <row r="99" ht="14.25" customHeight="1">
      <c r="A99" s="1"/>
      <c r="D99" s="91"/>
      <c r="E99" s="58"/>
      <c r="G99" s="58"/>
      <c r="H99" s="58"/>
      <c r="I99" s="58"/>
      <c r="J99" s="58"/>
      <c r="K99" s="58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</row>
    <row r="100" ht="14.25" customHeight="1">
      <c r="A100" s="1"/>
      <c r="D100" s="91"/>
      <c r="E100" s="58"/>
      <c r="G100" s="58"/>
      <c r="H100" s="58"/>
      <c r="I100" s="58"/>
      <c r="J100" s="58"/>
      <c r="K100" s="58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</row>
    <row r="101" ht="14.25" customHeight="1">
      <c r="A101" s="1"/>
      <c r="D101" s="91"/>
      <c r="E101" s="58"/>
      <c r="G101" s="58"/>
      <c r="H101" s="58"/>
      <c r="I101" s="58"/>
      <c r="J101" s="58"/>
      <c r="K101" s="58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</row>
    <row r="102" ht="14.25" customHeight="1">
      <c r="A102" s="1"/>
      <c r="D102" s="91"/>
      <c r="E102" s="58"/>
      <c r="G102" s="58"/>
      <c r="H102" s="58"/>
      <c r="I102" s="58"/>
      <c r="J102" s="58"/>
      <c r="K102" s="58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</row>
    <row r="103" ht="14.25" customHeight="1">
      <c r="A103" s="1"/>
      <c r="D103" s="91"/>
      <c r="E103" s="58"/>
      <c r="G103" s="58"/>
      <c r="H103" s="58"/>
      <c r="I103" s="58"/>
      <c r="J103" s="58"/>
      <c r="K103" s="58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</row>
    <row r="104" ht="14.25" customHeight="1">
      <c r="A104" s="1"/>
      <c r="D104" s="91"/>
      <c r="E104" s="58"/>
      <c r="G104" s="58"/>
      <c r="H104" s="58"/>
      <c r="I104" s="58"/>
      <c r="J104" s="58"/>
      <c r="K104" s="58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</row>
    <row r="105" ht="14.25" customHeight="1">
      <c r="A105" s="1"/>
      <c r="D105" s="91"/>
      <c r="E105" s="58"/>
      <c r="G105" s="58"/>
      <c r="H105" s="58"/>
      <c r="I105" s="58"/>
      <c r="J105" s="58"/>
      <c r="K105" s="58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 ht="14.25" customHeight="1">
      <c r="A106" s="1"/>
      <c r="D106" s="91"/>
      <c r="E106" s="58"/>
      <c r="G106" s="58"/>
      <c r="H106" s="58"/>
      <c r="I106" s="58"/>
      <c r="J106" s="58"/>
      <c r="K106" s="58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</row>
    <row r="107" ht="14.25" customHeight="1">
      <c r="A107" s="1"/>
      <c r="D107" s="91"/>
      <c r="E107" s="58"/>
      <c r="G107" s="58"/>
      <c r="H107" s="58"/>
      <c r="I107" s="58"/>
      <c r="J107" s="58"/>
      <c r="K107" s="58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 ht="14.25" customHeight="1">
      <c r="A108" s="1"/>
      <c r="D108" s="91"/>
      <c r="E108" s="58"/>
      <c r="G108" s="58"/>
      <c r="H108" s="58"/>
      <c r="I108" s="58"/>
      <c r="J108" s="58"/>
      <c r="K108" s="58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</row>
    <row r="109" ht="14.25" customHeight="1">
      <c r="A109" s="1"/>
      <c r="D109" s="91"/>
      <c r="E109" s="58"/>
      <c r="G109" s="58"/>
      <c r="H109" s="58"/>
      <c r="I109" s="58"/>
      <c r="J109" s="58"/>
      <c r="K109" s="58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</row>
    <row r="110" ht="14.25" customHeight="1">
      <c r="A110" s="1"/>
      <c r="D110" s="91"/>
      <c r="E110" s="58"/>
      <c r="G110" s="58"/>
      <c r="H110" s="58"/>
      <c r="I110" s="58"/>
      <c r="J110" s="58"/>
      <c r="K110" s="58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</row>
    <row r="111" ht="14.25" customHeight="1">
      <c r="A111" s="1"/>
      <c r="D111" s="91"/>
      <c r="E111" s="58"/>
      <c r="G111" s="58"/>
      <c r="H111" s="58"/>
      <c r="I111" s="58"/>
      <c r="J111" s="58"/>
      <c r="K111" s="58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</row>
    <row r="112" ht="14.25" customHeight="1">
      <c r="A112" s="1"/>
      <c r="D112" s="91"/>
      <c r="E112" s="58"/>
      <c r="G112" s="58"/>
      <c r="H112" s="58"/>
      <c r="I112" s="58"/>
      <c r="J112" s="58"/>
      <c r="K112" s="58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</row>
    <row r="113" ht="14.25" customHeight="1">
      <c r="A113" s="1"/>
      <c r="D113" s="91"/>
      <c r="E113" s="58"/>
      <c r="G113" s="58"/>
      <c r="H113" s="58"/>
      <c r="I113" s="58"/>
      <c r="J113" s="58"/>
      <c r="K113" s="58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</row>
    <row r="114" ht="14.25" customHeight="1">
      <c r="A114" s="1"/>
      <c r="D114" s="91"/>
      <c r="E114" s="58"/>
      <c r="G114" s="58"/>
      <c r="H114" s="58"/>
      <c r="I114" s="58"/>
      <c r="J114" s="58"/>
      <c r="K114" s="58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</row>
    <row r="115" ht="14.25" customHeight="1">
      <c r="A115" s="1"/>
      <c r="D115" s="91"/>
      <c r="E115" s="58"/>
      <c r="G115" s="58"/>
      <c r="H115" s="58"/>
      <c r="I115" s="58"/>
      <c r="J115" s="58"/>
      <c r="K115" s="58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</row>
    <row r="116" ht="14.25" customHeight="1">
      <c r="A116" s="1"/>
      <c r="D116" s="91"/>
      <c r="E116" s="58"/>
      <c r="G116" s="58"/>
      <c r="H116" s="58"/>
      <c r="I116" s="58"/>
      <c r="J116" s="58"/>
      <c r="K116" s="58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</row>
    <row r="117" ht="14.25" customHeight="1">
      <c r="A117" s="1"/>
      <c r="D117" s="91"/>
      <c r="E117" s="58"/>
      <c r="G117" s="58"/>
      <c r="H117" s="58"/>
      <c r="I117" s="58"/>
      <c r="J117" s="58"/>
      <c r="K117" s="58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</row>
    <row r="118" ht="14.25" customHeight="1">
      <c r="A118" s="1"/>
      <c r="D118" s="91"/>
      <c r="E118" s="58"/>
      <c r="G118" s="58"/>
      <c r="H118" s="58"/>
      <c r="I118" s="58"/>
      <c r="J118" s="58"/>
      <c r="K118" s="58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</row>
    <row r="119" ht="14.25" customHeight="1">
      <c r="A119" s="1"/>
      <c r="D119" s="91"/>
      <c r="E119" s="58"/>
      <c r="G119" s="58"/>
      <c r="H119" s="58"/>
      <c r="I119" s="58"/>
      <c r="J119" s="58"/>
      <c r="K119" s="58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</row>
    <row r="120" ht="14.25" customHeight="1">
      <c r="A120" s="1"/>
      <c r="D120" s="91"/>
      <c r="E120" s="58"/>
      <c r="G120" s="58"/>
      <c r="H120" s="58"/>
      <c r="I120" s="58"/>
      <c r="J120" s="58"/>
      <c r="K120" s="58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</row>
    <row r="121" ht="14.25" customHeight="1">
      <c r="A121" s="1"/>
      <c r="D121" s="91"/>
      <c r="E121" s="58"/>
      <c r="G121" s="58"/>
      <c r="H121" s="58"/>
      <c r="I121" s="58"/>
      <c r="J121" s="58"/>
      <c r="K121" s="58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</row>
    <row r="122" ht="14.25" customHeight="1">
      <c r="A122" s="1"/>
      <c r="D122" s="91"/>
      <c r="E122" s="58"/>
      <c r="G122" s="58"/>
      <c r="H122" s="58"/>
      <c r="I122" s="58"/>
      <c r="J122" s="58"/>
      <c r="K122" s="58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</row>
    <row r="123" ht="14.25" customHeight="1">
      <c r="A123" s="1"/>
      <c r="D123" s="91"/>
      <c r="E123" s="58"/>
      <c r="G123" s="58"/>
      <c r="H123" s="58"/>
      <c r="I123" s="58"/>
      <c r="J123" s="58"/>
      <c r="K123" s="58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</row>
    <row r="124" ht="14.25" customHeight="1">
      <c r="A124" s="1"/>
      <c r="D124" s="91"/>
      <c r="E124" s="58"/>
      <c r="G124" s="58"/>
      <c r="H124" s="58"/>
      <c r="I124" s="58"/>
      <c r="J124" s="58"/>
      <c r="K124" s="58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</row>
    <row r="125" ht="14.25" customHeight="1">
      <c r="A125" s="1"/>
      <c r="D125" s="91"/>
      <c r="E125" s="58"/>
      <c r="G125" s="58"/>
      <c r="H125" s="58"/>
      <c r="I125" s="58"/>
      <c r="J125" s="58"/>
      <c r="K125" s="58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 ht="14.25" customHeight="1">
      <c r="A126" s="1"/>
      <c r="D126" s="91"/>
      <c r="E126" s="58"/>
      <c r="G126" s="58"/>
      <c r="H126" s="58"/>
      <c r="I126" s="58"/>
      <c r="J126" s="58"/>
      <c r="K126" s="58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 ht="14.25" customHeight="1">
      <c r="A127" s="1"/>
      <c r="D127" s="91"/>
      <c r="E127" s="58"/>
      <c r="G127" s="58"/>
      <c r="H127" s="58"/>
      <c r="I127" s="58"/>
      <c r="J127" s="58"/>
      <c r="K127" s="58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</row>
    <row r="128" ht="14.25" customHeight="1">
      <c r="A128" s="1"/>
      <c r="D128" s="91"/>
      <c r="E128" s="58"/>
      <c r="G128" s="58"/>
      <c r="H128" s="58"/>
      <c r="I128" s="58"/>
      <c r="J128" s="58"/>
      <c r="K128" s="58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</row>
    <row r="129" ht="14.25" customHeight="1">
      <c r="A129" s="1"/>
      <c r="D129" s="91"/>
      <c r="E129" s="58"/>
      <c r="G129" s="58"/>
      <c r="H129" s="58"/>
      <c r="I129" s="58"/>
      <c r="J129" s="58"/>
      <c r="K129" s="58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ht="14.25" customHeight="1">
      <c r="A130" s="1"/>
      <c r="D130" s="91"/>
      <c r="E130" s="58"/>
      <c r="G130" s="58"/>
      <c r="H130" s="58"/>
      <c r="I130" s="58"/>
      <c r="J130" s="58"/>
      <c r="K130" s="58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 ht="14.25" customHeight="1">
      <c r="A131" s="1"/>
      <c r="D131" s="91"/>
      <c r="E131" s="58"/>
      <c r="G131" s="58"/>
      <c r="H131" s="58"/>
      <c r="I131" s="58"/>
      <c r="J131" s="58"/>
      <c r="K131" s="58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 ht="14.25" customHeight="1">
      <c r="A132" s="1"/>
      <c r="D132" s="91"/>
      <c r="E132" s="58"/>
      <c r="G132" s="58"/>
      <c r="H132" s="58"/>
      <c r="I132" s="58"/>
      <c r="J132" s="58"/>
      <c r="K132" s="58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 ht="14.25" customHeight="1">
      <c r="A133" s="1"/>
      <c r="D133" s="91"/>
      <c r="E133" s="58"/>
      <c r="G133" s="58"/>
      <c r="H133" s="58"/>
      <c r="I133" s="58"/>
      <c r="J133" s="58"/>
      <c r="K133" s="58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 ht="14.25" customHeight="1">
      <c r="A134" s="1"/>
      <c r="D134" s="91"/>
      <c r="E134" s="58"/>
      <c r="G134" s="58"/>
      <c r="H134" s="58"/>
      <c r="I134" s="58"/>
      <c r="J134" s="58"/>
      <c r="K134" s="58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 ht="14.25" customHeight="1">
      <c r="A135" s="1"/>
      <c r="D135" s="91"/>
      <c r="E135" s="58"/>
      <c r="G135" s="58"/>
      <c r="H135" s="58"/>
      <c r="I135" s="58"/>
      <c r="J135" s="58"/>
      <c r="K135" s="58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 ht="14.25" customHeight="1">
      <c r="A136" s="1"/>
      <c r="D136" s="91"/>
      <c r="E136" s="58"/>
      <c r="G136" s="58"/>
      <c r="H136" s="58"/>
      <c r="I136" s="58"/>
      <c r="J136" s="58"/>
      <c r="K136" s="58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</row>
    <row r="137" ht="14.25" customHeight="1">
      <c r="A137" s="1"/>
      <c r="D137" s="91"/>
      <c r="E137" s="58"/>
      <c r="G137" s="58"/>
      <c r="H137" s="58"/>
      <c r="I137" s="58"/>
      <c r="J137" s="58"/>
      <c r="K137" s="58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</row>
    <row r="138" ht="14.25" customHeight="1">
      <c r="A138" s="1"/>
      <c r="D138" s="91"/>
      <c r="E138" s="58"/>
      <c r="G138" s="58"/>
      <c r="H138" s="58"/>
      <c r="I138" s="58"/>
      <c r="J138" s="58"/>
      <c r="K138" s="58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</row>
    <row r="139" ht="14.25" customHeight="1">
      <c r="A139" s="1"/>
      <c r="D139" s="91"/>
      <c r="E139" s="58"/>
      <c r="G139" s="58"/>
      <c r="H139" s="58"/>
      <c r="I139" s="58"/>
      <c r="J139" s="58"/>
      <c r="K139" s="58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</row>
    <row r="140" ht="14.25" customHeight="1">
      <c r="A140" s="1"/>
      <c r="D140" s="91"/>
      <c r="E140" s="58"/>
      <c r="G140" s="58"/>
      <c r="H140" s="58"/>
      <c r="I140" s="58"/>
      <c r="J140" s="58"/>
      <c r="K140" s="58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</row>
    <row r="141" ht="14.25" customHeight="1">
      <c r="A141" s="1"/>
      <c r="D141" s="91"/>
      <c r="E141" s="58"/>
      <c r="G141" s="58"/>
      <c r="H141" s="58"/>
      <c r="I141" s="58"/>
      <c r="J141" s="58"/>
      <c r="K141" s="58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</row>
    <row r="142" ht="14.25" customHeight="1">
      <c r="A142" s="1"/>
      <c r="D142" s="91"/>
      <c r="E142" s="58"/>
      <c r="G142" s="58"/>
      <c r="H142" s="58"/>
      <c r="I142" s="58"/>
      <c r="J142" s="58"/>
      <c r="K142" s="58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</row>
    <row r="143" ht="14.25" customHeight="1">
      <c r="A143" s="1"/>
      <c r="D143" s="91"/>
      <c r="E143" s="58"/>
      <c r="G143" s="58"/>
      <c r="H143" s="58"/>
      <c r="I143" s="58"/>
      <c r="J143" s="58"/>
      <c r="K143" s="58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</row>
    <row r="144" ht="14.25" customHeight="1">
      <c r="A144" s="1"/>
      <c r="D144" s="91"/>
      <c r="E144" s="58"/>
      <c r="G144" s="58"/>
      <c r="H144" s="58"/>
      <c r="I144" s="58"/>
      <c r="J144" s="58"/>
      <c r="K144" s="58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</row>
    <row r="145" ht="14.25" customHeight="1">
      <c r="A145" s="1"/>
      <c r="D145" s="91"/>
      <c r="E145" s="58"/>
      <c r="G145" s="58"/>
      <c r="H145" s="58"/>
      <c r="I145" s="58"/>
      <c r="J145" s="58"/>
      <c r="K145" s="58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</row>
    <row r="146" ht="14.25" customHeight="1">
      <c r="A146" s="1"/>
      <c r="D146" s="91"/>
      <c r="E146" s="58"/>
      <c r="G146" s="58"/>
      <c r="H146" s="58"/>
      <c r="I146" s="58"/>
      <c r="J146" s="58"/>
      <c r="K146" s="58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</row>
    <row r="147" ht="14.25" customHeight="1">
      <c r="A147" s="1"/>
      <c r="D147" s="91"/>
      <c r="E147" s="58"/>
      <c r="G147" s="58"/>
      <c r="H147" s="58"/>
      <c r="I147" s="58"/>
      <c r="J147" s="58"/>
      <c r="K147" s="58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</row>
    <row r="148" ht="14.25" customHeight="1">
      <c r="A148" s="1"/>
      <c r="D148" s="91"/>
      <c r="E148" s="58"/>
      <c r="G148" s="58"/>
      <c r="H148" s="58"/>
      <c r="I148" s="58"/>
      <c r="J148" s="58"/>
      <c r="K148" s="58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 ht="14.25" customHeight="1">
      <c r="A149" s="1"/>
      <c r="D149" s="91"/>
      <c r="E149" s="58"/>
      <c r="G149" s="58"/>
      <c r="H149" s="58"/>
      <c r="I149" s="58"/>
      <c r="J149" s="58"/>
      <c r="K149" s="58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 ht="14.25" customHeight="1">
      <c r="A150" s="1"/>
      <c r="D150" s="91"/>
      <c r="E150" s="58"/>
      <c r="G150" s="58"/>
      <c r="H150" s="58"/>
      <c r="I150" s="58"/>
      <c r="J150" s="58"/>
      <c r="K150" s="58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 ht="14.25" customHeight="1">
      <c r="A151" s="1"/>
      <c r="D151" s="91"/>
      <c r="E151" s="58"/>
      <c r="G151" s="58"/>
      <c r="H151" s="58"/>
      <c r="I151" s="58"/>
      <c r="J151" s="58"/>
      <c r="K151" s="58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 ht="14.25" customHeight="1">
      <c r="A152" s="1"/>
      <c r="D152" s="91"/>
      <c r="E152" s="58"/>
      <c r="G152" s="58"/>
      <c r="H152" s="58"/>
      <c r="I152" s="58"/>
      <c r="J152" s="58"/>
      <c r="K152" s="58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 ht="14.25" customHeight="1">
      <c r="A153" s="1"/>
      <c r="D153" s="91"/>
      <c r="E153" s="58"/>
      <c r="G153" s="58"/>
      <c r="H153" s="58"/>
      <c r="I153" s="58"/>
      <c r="J153" s="58"/>
      <c r="K153" s="58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 ht="14.25" customHeight="1">
      <c r="A154" s="1"/>
      <c r="D154" s="91"/>
      <c r="E154" s="58"/>
      <c r="G154" s="58"/>
      <c r="H154" s="58"/>
      <c r="I154" s="58"/>
      <c r="J154" s="58"/>
      <c r="K154" s="58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</row>
    <row r="155" ht="14.25" customHeight="1">
      <c r="A155" s="1"/>
      <c r="D155" s="91"/>
      <c r="E155" s="58"/>
      <c r="G155" s="58"/>
      <c r="H155" s="58"/>
      <c r="I155" s="58"/>
      <c r="J155" s="58"/>
      <c r="K155" s="58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 ht="14.25" customHeight="1">
      <c r="A156" s="1"/>
      <c r="D156" s="91"/>
      <c r="E156" s="58"/>
      <c r="G156" s="58"/>
      <c r="H156" s="58"/>
      <c r="I156" s="58"/>
      <c r="J156" s="58"/>
      <c r="K156" s="58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 ht="14.25" customHeight="1">
      <c r="A157" s="1"/>
      <c r="D157" s="91"/>
      <c r="E157" s="58"/>
      <c r="G157" s="58"/>
      <c r="H157" s="58"/>
      <c r="I157" s="58"/>
      <c r="J157" s="58"/>
      <c r="K157" s="58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ht="14.25" customHeight="1">
      <c r="A158" s="1"/>
      <c r="D158" s="91"/>
      <c r="E158" s="58"/>
      <c r="G158" s="58"/>
      <c r="H158" s="58"/>
      <c r="I158" s="58"/>
      <c r="J158" s="58"/>
      <c r="K158" s="58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 ht="14.25" customHeight="1">
      <c r="A159" s="1"/>
      <c r="D159" s="91"/>
      <c r="E159" s="58"/>
      <c r="G159" s="58"/>
      <c r="H159" s="58"/>
      <c r="I159" s="58"/>
      <c r="J159" s="58"/>
      <c r="K159" s="58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 ht="14.25" customHeight="1">
      <c r="A160" s="1"/>
      <c r="D160" s="91"/>
      <c r="E160" s="58"/>
      <c r="G160" s="58"/>
      <c r="H160" s="58"/>
      <c r="I160" s="58"/>
      <c r="J160" s="58"/>
      <c r="K160" s="58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 ht="14.25" customHeight="1">
      <c r="A161" s="1"/>
      <c r="D161" s="91"/>
      <c r="E161" s="58"/>
      <c r="G161" s="58"/>
      <c r="H161" s="58"/>
      <c r="I161" s="58"/>
      <c r="J161" s="58"/>
      <c r="K161" s="58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 ht="14.25" customHeight="1">
      <c r="A162" s="1"/>
      <c r="D162" s="91"/>
      <c r="E162" s="58"/>
      <c r="G162" s="58"/>
      <c r="H162" s="58"/>
      <c r="I162" s="58"/>
      <c r="J162" s="58"/>
      <c r="K162" s="58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 ht="14.25" customHeight="1">
      <c r="A163" s="1"/>
      <c r="D163" s="91"/>
      <c r="E163" s="58"/>
      <c r="G163" s="58"/>
      <c r="H163" s="58"/>
      <c r="I163" s="58"/>
      <c r="J163" s="58"/>
      <c r="K163" s="58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  <row r="164" ht="14.25" customHeight="1">
      <c r="A164" s="1"/>
      <c r="D164" s="91"/>
      <c r="E164" s="58"/>
      <c r="G164" s="58"/>
      <c r="H164" s="58"/>
      <c r="I164" s="58"/>
      <c r="J164" s="58"/>
      <c r="K164" s="58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</row>
    <row r="165" ht="14.25" customHeight="1">
      <c r="A165" s="1"/>
      <c r="D165" s="91"/>
      <c r="E165" s="58"/>
      <c r="G165" s="58"/>
      <c r="H165" s="58"/>
      <c r="I165" s="58"/>
      <c r="J165" s="58"/>
      <c r="K165" s="58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</row>
    <row r="166" ht="14.25" customHeight="1">
      <c r="A166" s="1"/>
      <c r="D166" s="91"/>
      <c r="E166" s="58"/>
      <c r="G166" s="58"/>
      <c r="H166" s="58"/>
      <c r="I166" s="58"/>
      <c r="J166" s="58"/>
      <c r="K166" s="58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 ht="14.25" customHeight="1">
      <c r="A167" s="1"/>
      <c r="D167" s="91"/>
      <c r="E167" s="58"/>
      <c r="G167" s="58"/>
      <c r="H167" s="58"/>
      <c r="I167" s="58"/>
      <c r="J167" s="58"/>
      <c r="K167" s="58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</row>
    <row r="168" ht="14.25" customHeight="1">
      <c r="A168" s="1"/>
      <c r="D168" s="91"/>
      <c r="E168" s="58"/>
      <c r="G168" s="58"/>
      <c r="H168" s="58"/>
      <c r="I168" s="58"/>
      <c r="J168" s="58"/>
      <c r="K168" s="58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</row>
    <row r="169" ht="14.25" customHeight="1">
      <c r="A169" s="1"/>
      <c r="D169" s="91"/>
      <c r="E169" s="58"/>
      <c r="G169" s="58"/>
      <c r="H169" s="58"/>
      <c r="I169" s="58"/>
      <c r="J169" s="58"/>
      <c r="K169" s="58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</row>
    <row r="170" ht="14.25" customHeight="1">
      <c r="A170" s="1"/>
      <c r="D170" s="91"/>
      <c r="E170" s="58"/>
      <c r="G170" s="58"/>
      <c r="H170" s="58"/>
      <c r="I170" s="58"/>
      <c r="J170" s="58"/>
      <c r="K170" s="58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</row>
    <row r="171" ht="14.25" customHeight="1">
      <c r="A171" s="1"/>
      <c r="D171" s="91"/>
      <c r="E171" s="58"/>
      <c r="G171" s="58"/>
      <c r="H171" s="58"/>
      <c r="I171" s="58"/>
      <c r="J171" s="58"/>
      <c r="K171" s="58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</row>
    <row r="172" ht="14.25" customHeight="1">
      <c r="A172" s="1"/>
      <c r="D172" s="91"/>
      <c r="E172" s="58"/>
      <c r="G172" s="58"/>
      <c r="H172" s="58"/>
      <c r="I172" s="58"/>
      <c r="J172" s="58"/>
      <c r="K172" s="58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</row>
    <row r="173" ht="14.25" customHeight="1">
      <c r="A173" s="1"/>
      <c r="D173" s="91"/>
      <c r="E173" s="58"/>
      <c r="G173" s="58"/>
      <c r="H173" s="58"/>
      <c r="I173" s="58"/>
      <c r="J173" s="58"/>
      <c r="K173" s="58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</row>
    <row r="174" ht="14.25" customHeight="1">
      <c r="A174" s="1"/>
      <c r="D174" s="91"/>
      <c r="E174" s="58"/>
      <c r="G174" s="58"/>
      <c r="H174" s="58"/>
      <c r="I174" s="58"/>
      <c r="J174" s="58"/>
      <c r="K174" s="58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</row>
    <row r="175" ht="14.25" customHeight="1">
      <c r="A175" s="1"/>
      <c r="D175" s="91"/>
      <c r="E175" s="58"/>
      <c r="G175" s="58"/>
      <c r="H175" s="58"/>
      <c r="I175" s="58"/>
      <c r="J175" s="58"/>
      <c r="K175" s="58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</row>
    <row r="176" ht="14.25" customHeight="1">
      <c r="A176" s="1"/>
      <c r="D176" s="91"/>
      <c r="E176" s="58"/>
      <c r="G176" s="58"/>
      <c r="H176" s="58"/>
      <c r="I176" s="58"/>
      <c r="J176" s="58"/>
      <c r="K176" s="58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</row>
    <row r="177" ht="14.25" customHeight="1">
      <c r="A177" s="1"/>
      <c r="D177" s="91"/>
      <c r="E177" s="58"/>
      <c r="G177" s="58"/>
      <c r="H177" s="58"/>
      <c r="I177" s="58"/>
      <c r="J177" s="58"/>
      <c r="K177" s="58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</row>
    <row r="178" ht="14.25" customHeight="1">
      <c r="A178" s="1"/>
      <c r="D178" s="91"/>
      <c r="E178" s="58"/>
      <c r="G178" s="58"/>
      <c r="H178" s="58"/>
      <c r="I178" s="58"/>
      <c r="J178" s="58"/>
      <c r="K178" s="58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</row>
    <row r="179" ht="14.25" customHeight="1">
      <c r="A179" s="1"/>
      <c r="D179" s="91"/>
      <c r="E179" s="58"/>
      <c r="G179" s="58"/>
      <c r="H179" s="58"/>
      <c r="I179" s="58"/>
      <c r="J179" s="58"/>
      <c r="K179" s="58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</row>
    <row r="180" ht="14.25" customHeight="1">
      <c r="A180" s="1"/>
      <c r="D180" s="91"/>
      <c r="E180" s="58"/>
      <c r="G180" s="58"/>
      <c r="H180" s="58"/>
      <c r="I180" s="58"/>
      <c r="J180" s="58"/>
      <c r="K180" s="58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</row>
    <row r="181" ht="14.25" customHeight="1">
      <c r="A181" s="1"/>
      <c r="D181" s="91"/>
      <c r="E181" s="58"/>
      <c r="G181" s="58"/>
      <c r="H181" s="58"/>
      <c r="I181" s="58"/>
      <c r="J181" s="58"/>
      <c r="K181" s="58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</row>
    <row r="182" ht="14.25" customHeight="1">
      <c r="A182" s="1"/>
      <c r="D182" s="91"/>
      <c r="E182" s="58"/>
      <c r="G182" s="58"/>
      <c r="H182" s="58"/>
      <c r="I182" s="58"/>
      <c r="J182" s="58"/>
      <c r="K182" s="58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</row>
    <row r="183" ht="14.25" customHeight="1">
      <c r="A183" s="1"/>
      <c r="D183" s="91"/>
      <c r="E183" s="58"/>
      <c r="G183" s="58"/>
      <c r="H183" s="58"/>
      <c r="I183" s="58"/>
      <c r="J183" s="58"/>
      <c r="K183" s="58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</row>
    <row r="184" ht="14.25" customHeight="1">
      <c r="A184" s="1"/>
      <c r="D184" s="91"/>
      <c r="E184" s="58"/>
      <c r="G184" s="58"/>
      <c r="H184" s="58"/>
      <c r="I184" s="58"/>
      <c r="J184" s="58"/>
      <c r="K184" s="58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</row>
    <row r="185" ht="14.25" customHeight="1">
      <c r="A185" s="1"/>
      <c r="D185" s="91"/>
      <c r="E185" s="58"/>
      <c r="G185" s="58"/>
      <c r="H185" s="58"/>
      <c r="I185" s="58"/>
      <c r="J185" s="58"/>
      <c r="K185" s="58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</row>
    <row r="186" ht="14.25" customHeight="1">
      <c r="A186" s="1"/>
      <c r="D186" s="91"/>
      <c r="E186" s="58"/>
      <c r="G186" s="58"/>
      <c r="H186" s="58"/>
      <c r="I186" s="58"/>
      <c r="J186" s="58"/>
      <c r="K186" s="58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</row>
    <row r="187" ht="14.25" customHeight="1">
      <c r="A187" s="1"/>
      <c r="D187" s="91"/>
      <c r="E187" s="58"/>
      <c r="G187" s="58"/>
      <c r="H187" s="58"/>
      <c r="I187" s="58"/>
      <c r="J187" s="58"/>
      <c r="K187" s="58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</row>
    <row r="188" ht="14.25" customHeight="1">
      <c r="A188" s="1"/>
      <c r="D188" s="91"/>
      <c r="E188" s="58"/>
      <c r="G188" s="58"/>
      <c r="H188" s="58"/>
      <c r="I188" s="58"/>
      <c r="J188" s="58"/>
      <c r="K188" s="58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</row>
    <row r="189" ht="14.25" customHeight="1">
      <c r="A189" s="1"/>
      <c r="D189" s="91"/>
      <c r="E189" s="58"/>
      <c r="G189" s="58"/>
      <c r="H189" s="58"/>
      <c r="I189" s="58"/>
      <c r="J189" s="58"/>
      <c r="K189" s="58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</row>
    <row r="190" ht="14.25" customHeight="1">
      <c r="A190" s="1"/>
      <c r="D190" s="91"/>
      <c r="E190" s="58"/>
      <c r="G190" s="58"/>
      <c r="H190" s="58"/>
      <c r="I190" s="58"/>
      <c r="J190" s="58"/>
      <c r="K190" s="58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</row>
    <row r="191" ht="14.25" customHeight="1">
      <c r="A191" s="1"/>
      <c r="D191" s="91"/>
      <c r="E191" s="58"/>
      <c r="G191" s="58"/>
      <c r="H191" s="58"/>
      <c r="I191" s="58"/>
      <c r="J191" s="58"/>
      <c r="K191" s="58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</row>
    <row r="192" ht="14.25" customHeight="1">
      <c r="A192" s="1"/>
      <c r="D192" s="91"/>
      <c r="E192" s="58"/>
      <c r="G192" s="58"/>
      <c r="H192" s="58"/>
      <c r="I192" s="58"/>
      <c r="J192" s="58"/>
      <c r="K192" s="58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</row>
    <row r="193" ht="14.25" customHeight="1">
      <c r="A193" s="1"/>
      <c r="D193" s="91"/>
      <c r="E193" s="58"/>
      <c r="G193" s="58"/>
      <c r="H193" s="58"/>
      <c r="I193" s="58"/>
      <c r="J193" s="58"/>
      <c r="K193" s="58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</row>
    <row r="194" ht="14.25" customHeight="1">
      <c r="A194" s="1"/>
      <c r="D194" s="91"/>
      <c r="E194" s="58"/>
      <c r="G194" s="58"/>
      <c r="H194" s="58"/>
      <c r="I194" s="58"/>
      <c r="J194" s="58"/>
      <c r="K194" s="58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</row>
    <row r="195" ht="14.25" customHeight="1">
      <c r="A195" s="1"/>
      <c r="D195" s="91"/>
      <c r="E195" s="58"/>
      <c r="G195" s="58"/>
      <c r="H195" s="58"/>
      <c r="I195" s="58"/>
      <c r="J195" s="58"/>
      <c r="K195" s="58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</row>
    <row r="196" ht="14.25" customHeight="1">
      <c r="A196" s="1"/>
      <c r="D196" s="91"/>
      <c r="E196" s="58"/>
      <c r="G196" s="58"/>
      <c r="H196" s="58"/>
      <c r="I196" s="58"/>
      <c r="J196" s="58"/>
      <c r="K196" s="58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</row>
    <row r="197" ht="14.25" customHeight="1">
      <c r="A197" s="1"/>
      <c r="D197" s="91"/>
      <c r="E197" s="58"/>
      <c r="G197" s="58"/>
      <c r="H197" s="58"/>
      <c r="I197" s="58"/>
      <c r="J197" s="58"/>
      <c r="K197" s="58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</row>
    <row r="198" ht="14.25" customHeight="1">
      <c r="A198" s="1"/>
      <c r="D198" s="91"/>
      <c r="E198" s="58"/>
      <c r="G198" s="58"/>
      <c r="H198" s="58"/>
      <c r="I198" s="58"/>
      <c r="J198" s="58"/>
      <c r="K198" s="58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</row>
    <row r="199" ht="14.25" customHeight="1">
      <c r="A199" s="1"/>
      <c r="D199" s="91"/>
      <c r="E199" s="58"/>
      <c r="G199" s="58"/>
      <c r="H199" s="58"/>
      <c r="I199" s="58"/>
      <c r="J199" s="58"/>
      <c r="K199" s="58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</row>
    <row r="200" ht="14.25" customHeight="1">
      <c r="A200" s="1"/>
      <c r="D200" s="91"/>
      <c r="E200" s="58"/>
      <c r="G200" s="58"/>
      <c r="H200" s="58"/>
      <c r="I200" s="58"/>
      <c r="J200" s="58"/>
      <c r="K200" s="58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</row>
    <row r="201" ht="14.25" customHeight="1">
      <c r="A201" s="1"/>
      <c r="D201" s="91"/>
      <c r="E201" s="58"/>
      <c r="G201" s="58"/>
      <c r="H201" s="58"/>
      <c r="I201" s="58"/>
      <c r="J201" s="58"/>
      <c r="K201" s="58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</row>
    <row r="202" ht="14.25" customHeight="1">
      <c r="A202" s="1"/>
      <c r="D202" s="91"/>
      <c r="E202" s="58"/>
      <c r="G202" s="58"/>
      <c r="H202" s="58"/>
      <c r="I202" s="58"/>
      <c r="J202" s="58"/>
      <c r="K202" s="58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</row>
    <row r="203" ht="14.25" customHeight="1">
      <c r="A203" s="1"/>
      <c r="D203" s="91"/>
      <c r="E203" s="58"/>
      <c r="G203" s="58"/>
      <c r="H203" s="58"/>
      <c r="I203" s="58"/>
      <c r="J203" s="58"/>
      <c r="K203" s="58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</row>
    <row r="204" ht="14.25" customHeight="1">
      <c r="A204" s="1"/>
      <c r="D204" s="91"/>
      <c r="E204" s="58"/>
      <c r="G204" s="58"/>
      <c r="H204" s="58"/>
      <c r="I204" s="58"/>
      <c r="J204" s="58"/>
      <c r="K204" s="58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</row>
    <row r="205" ht="14.25" customHeight="1">
      <c r="A205" s="1"/>
      <c r="D205" s="91"/>
      <c r="E205" s="58"/>
      <c r="G205" s="58"/>
      <c r="H205" s="58"/>
      <c r="I205" s="58"/>
      <c r="J205" s="58"/>
      <c r="K205" s="58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</row>
    <row r="206" ht="14.25" customHeight="1">
      <c r="A206" s="1"/>
      <c r="D206" s="91"/>
      <c r="E206" s="58"/>
      <c r="G206" s="58"/>
      <c r="H206" s="58"/>
      <c r="I206" s="58"/>
      <c r="J206" s="58"/>
      <c r="K206" s="58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 ht="14.25" customHeight="1">
      <c r="A207" s="1"/>
      <c r="D207" s="91"/>
      <c r="E207" s="58"/>
      <c r="G207" s="58"/>
      <c r="H207" s="58"/>
      <c r="I207" s="58"/>
      <c r="J207" s="58"/>
      <c r="K207" s="58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</row>
    <row r="208" ht="14.25" customHeight="1">
      <c r="A208" s="1"/>
      <c r="D208" s="91"/>
      <c r="E208" s="58"/>
      <c r="G208" s="58"/>
      <c r="H208" s="58"/>
      <c r="I208" s="58"/>
      <c r="J208" s="58"/>
      <c r="K208" s="58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 ht="14.25" customHeight="1">
      <c r="A209" s="1"/>
      <c r="D209" s="91"/>
      <c r="E209" s="58"/>
      <c r="G209" s="58"/>
      <c r="H209" s="58"/>
      <c r="I209" s="58"/>
      <c r="J209" s="58"/>
      <c r="K209" s="58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</row>
    <row r="210" ht="14.25" customHeight="1">
      <c r="A210" s="1"/>
      <c r="D210" s="91"/>
      <c r="E210" s="58"/>
      <c r="G210" s="58"/>
      <c r="H210" s="58"/>
      <c r="I210" s="58"/>
      <c r="J210" s="58"/>
      <c r="K210" s="58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</row>
    <row r="211" ht="14.25" customHeight="1">
      <c r="A211" s="1"/>
      <c r="D211" s="91"/>
      <c r="E211" s="58"/>
      <c r="G211" s="58"/>
      <c r="H211" s="58"/>
      <c r="I211" s="58"/>
      <c r="J211" s="58"/>
      <c r="K211" s="58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</row>
    <row r="212" ht="14.25" customHeight="1">
      <c r="A212" s="1"/>
      <c r="D212" s="91"/>
      <c r="E212" s="58"/>
      <c r="G212" s="58"/>
      <c r="H212" s="58"/>
      <c r="I212" s="58"/>
      <c r="J212" s="58"/>
      <c r="K212" s="58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</row>
    <row r="213" ht="14.25" customHeight="1">
      <c r="A213" s="1"/>
      <c r="D213" s="91"/>
      <c r="E213" s="58"/>
      <c r="G213" s="58"/>
      <c r="H213" s="58"/>
      <c r="I213" s="58"/>
      <c r="J213" s="58"/>
      <c r="K213" s="58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</row>
    <row r="214" ht="14.25" customHeight="1">
      <c r="A214" s="1"/>
      <c r="D214" s="91"/>
      <c r="E214" s="58"/>
      <c r="G214" s="58"/>
      <c r="H214" s="58"/>
      <c r="I214" s="58"/>
      <c r="J214" s="58"/>
      <c r="K214" s="58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</row>
    <row r="215" ht="14.25" customHeight="1">
      <c r="A215" s="1"/>
      <c r="D215" s="91"/>
      <c r="E215" s="58"/>
      <c r="G215" s="58"/>
      <c r="H215" s="58"/>
      <c r="I215" s="58"/>
      <c r="J215" s="58"/>
      <c r="K215" s="58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</row>
    <row r="216" ht="14.25" customHeight="1">
      <c r="A216" s="1"/>
      <c r="D216" s="91"/>
      <c r="E216" s="58"/>
      <c r="G216" s="58"/>
      <c r="H216" s="58"/>
      <c r="I216" s="58"/>
      <c r="J216" s="58"/>
      <c r="K216" s="58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</row>
    <row r="217" ht="14.25" customHeight="1">
      <c r="A217" s="1"/>
      <c r="D217" s="91"/>
      <c r="E217" s="58"/>
      <c r="G217" s="58"/>
      <c r="H217" s="58"/>
      <c r="I217" s="58"/>
      <c r="J217" s="58"/>
      <c r="K217" s="58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</row>
    <row r="218" ht="14.25" customHeight="1">
      <c r="A218" s="1"/>
      <c r="D218" s="91"/>
      <c r="E218" s="58"/>
      <c r="G218" s="58"/>
      <c r="H218" s="58"/>
      <c r="I218" s="58"/>
      <c r="J218" s="58"/>
      <c r="K218" s="58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</row>
    <row r="219" ht="14.25" customHeight="1">
      <c r="A219" s="1"/>
      <c r="D219" s="91"/>
      <c r="E219" s="58"/>
      <c r="G219" s="58"/>
      <c r="H219" s="58"/>
      <c r="I219" s="58"/>
      <c r="J219" s="58"/>
      <c r="K219" s="58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</row>
    <row r="220" ht="14.25" customHeight="1">
      <c r="A220" s="1"/>
      <c r="D220" s="91"/>
      <c r="E220" s="58"/>
      <c r="G220" s="58"/>
      <c r="H220" s="58"/>
      <c r="I220" s="58"/>
      <c r="J220" s="58"/>
      <c r="K220" s="58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</row>
    <row r="221" ht="14.25" customHeight="1">
      <c r="A221" s="1"/>
      <c r="D221" s="91"/>
      <c r="E221" s="58"/>
      <c r="G221" s="58"/>
      <c r="H221" s="58"/>
      <c r="I221" s="58"/>
      <c r="J221" s="58"/>
      <c r="K221" s="58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</row>
    <row r="222" ht="14.25" customHeight="1">
      <c r="A222" s="1"/>
      <c r="D222" s="91"/>
      <c r="E222" s="58"/>
      <c r="G222" s="58"/>
      <c r="H222" s="58"/>
      <c r="I222" s="58"/>
      <c r="J222" s="58"/>
      <c r="K222" s="58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</row>
    <row r="223" ht="14.25" customHeight="1">
      <c r="A223" s="1"/>
      <c r="D223" s="91"/>
      <c r="E223" s="58"/>
      <c r="G223" s="58"/>
      <c r="H223" s="58"/>
      <c r="I223" s="58"/>
      <c r="J223" s="58"/>
      <c r="K223" s="58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</row>
    <row r="224" ht="14.25" customHeight="1">
      <c r="A224" s="1"/>
      <c r="D224" s="91"/>
      <c r="E224" s="58"/>
      <c r="G224" s="58"/>
      <c r="H224" s="58"/>
      <c r="I224" s="58"/>
      <c r="J224" s="58"/>
      <c r="K224" s="58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C2"/>
  </mergeCells>
  <printOptions verticalCentered="1"/>
  <pageMargins bottom="0.7480314960629921" footer="0.0" header="0.0" left="0.2362204724409449" right="0.2362204724409449" top="0.7480314960629921"/>
  <pageSetup paperSize="9" scale="87" orientation="landscape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7.71"/>
    <col customWidth="1" min="2" max="2" width="4.29"/>
    <col customWidth="1" min="3" max="3" width="30.71"/>
    <col customWidth="1" min="4" max="4" width="17.43"/>
    <col customWidth="1" min="5" max="5" width="30.71"/>
    <col customWidth="1" min="6" max="6" width="17.43"/>
    <col customWidth="1" min="7" max="7" width="25.71"/>
    <col customWidth="1" min="8" max="8" width="45.71"/>
    <col customWidth="1" min="9" max="16" width="8.71"/>
    <col customWidth="1" min="17" max="26" width="9.29"/>
  </cols>
  <sheetData>
    <row r="1" ht="27.0" customHeight="1">
      <c r="A1" s="1"/>
      <c r="B1" s="23"/>
      <c r="C1" s="67" t="s">
        <v>87</v>
      </c>
      <c r="D1" s="25"/>
      <c r="E1" s="92"/>
      <c r="F1" s="25"/>
      <c r="G1" s="25"/>
      <c r="H1" s="25"/>
      <c r="I1" s="70"/>
      <c r="J1" s="25"/>
      <c r="K1" s="25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4.0" customHeight="1">
      <c r="A2" s="1"/>
      <c r="B2" s="23"/>
      <c r="C2" s="71"/>
      <c r="D2" s="29"/>
      <c r="E2" s="71"/>
      <c r="F2" s="29"/>
      <c r="G2" s="29"/>
      <c r="H2" s="29"/>
      <c r="I2" s="93"/>
      <c r="J2" s="93"/>
      <c r="K2" s="93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21.0" customHeight="1">
      <c r="A3" s="1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7.25" customHeight="1">
      <c r="A4" s="1"/>
      <c r="C4" s="94" t="s">
        <v>88</v>
      </c>
      <c r="I4" s="95"/>
      <c r="J4" s="95"/>
      <c r="K4" s="95"/>
      <c r="L4" s="95"/>
      <c r="M4" s="95"/>
      <c r="N4" s="95"/>
      <c r="O4" s="95"/>
      <c r="P4" s="95"/>
      <c r="Q4" s="95"/>
      <c r="R4" s="32"/>
      <c r="S4" s="32"/>
      <c r="T4" s="32"/>
      <c r="U4" s="32"/>
      <c r="V4" s="32"/>
      <c r="W4" s="32"/>
      <c r="X4" s="32"/>
      <c r="Y4" s="32"/>
      <c r="Z4" s="32"/>
    </row>
    <row r="5" ht="24.75" customHeight="1">
      <c r="A5" s="1"/>
      <c r="I5" s="95"/>
      <c r="J5" s="95"/>
      <c r="K5" s="95"/>
      <c r="L5" s="95"/>
      <c r="M5" s="95"/>
      <c r="N5" s="95"/>
      <c r="O5" s="95"/>
      <c r="P5" s="95"/>
      <c r="Q5" s="95"/>
      <c r="R5" s="32"/>
      <c r="S5" s="32"/>
      <c r="T5" s="32"/>
      <c r="U5" s="32"/>
      <c r="V5" s="32"/>
      <c r="W5" s="32"/>
      <c r="X5" s="32"/>
      <c r="Y5" s="32"/>
      <c r="Z5" s="32"/>
    </row>
    <row r="6" ht="15.75" customHeight="1">
      <c r="A6" s="1"/>
      <c r="H6" s="95"/>
      <c r="I6" s="95"/>
      <c r="J6" s="95"/>
      <c r="K6" s="95"/>
      <c r="L6" s="95"/>
      <c r="M6" s="95"/>
      <c r="N6" s="95"/>
      <c r="O6" s="95"/>
      <c r="P6" s="95"/>
      <c r="Q6" s="95"/>
      <c r="R6" s="32" t="s">
        <v>89</v>
      </c>
      <c r="S6" s="32" t="s">
        <v>90</v>
      </c>
      <c r="T6" s="32" t="s">
        <v>91</v>
      </c>
      <c r="U6" s="32" t="s">
        <v>92</v>
      </c>
      <c r="V6" s="32" t="s">
        <v>93</v>
      </c>
      <c r="W6" s="32" t="s">
        <v>94</v>
      </c>
      <c r="X6" s="32" t="s">
        <v>95</v>
      </c>
      <c r="Y6" s="32" t="s">
        <v>96</v>
      </c>
      <c r="Z6" s="32" t="s">
        <v>97</v>
      </c>
    </row>
    <row r="7" ht="30.0" customHeight="1">
      <c r="A7" s="1"/>
      <c r="B7" s="34"/>
      <c r="C7" s="35" t="s">
        <v>98</v>
      </c>
      <c r="D7" s="35" t="s">
        <v>99</v>
      </c>
      <c r="E7" s="35" t="s">
        <v>100</v>
      </c>
      <c r="F7" s="35" t="s">
        <v>99</v>
      </c>
      <c r="G7" s="35" t="s">
        <v>101</v>
      </c>
      <c r="H7" s="35" t="s">
        <v>102</v>
      </c>
      <c r="I7" s="96"/>
      <c r="J7" s="96"/>
      <c r="K7" s="96"/>
      <c r="L7" s="96"/>
      <c r="M7" s="96"/>
      <c r="N7" s="96"/>
      <c r="O7" s="96"/>
      <c r="P7" s="96"/>
      <c r="Q7" s="96"/>
      <c r="R7" s="38">
        <v>1.0</v>
      </c>
      <c r="S7" s="38">
        <v>1.0</v>
      </c>
      <c r="T7" s="38">
        <v>1.0</v>
      </c>
      <c r="U7" s="38">
        <v>1.0</v>
      </c>
      <c r="V7" s="38">
        <v>2.0</v>
      </c>
      <c r="W7" s="38">
        <v>2.0</v>
      </c>
      <c r="X7" s="38">
        <v>2.0</v>
      </c>
      <c r="Y7" s="38">
        <v>2.0</v>
      </c>
      <c r="Z7" s="38">
        <v>2.0</v>
      </c>
    </row>
    <row r="8" ht="34.5" customHeight="1">
      <c r="A8" s="1"/>
      <c r="C8" s="97" t="s">
        <v>103</v>
      </c>
      <c r="D8" s="39" t="s">
        <v>104</v>
      </c>
      <c r="E8" s="97" t="s">
        <v>105</v>
      </c>
      <c r="F8" s="39" t="s">
        <v>106</v>
      </c>
      <c r="G8" s="39" t="s">
        <v>107</v>
      </c>
      <c r="H8" s="98" t="s">
        <v>108</v>
      </c>
      <c r="I8" s="95"/>
      <c r="J8" s="95"/>
      <c r="K8" s="95"/>
      <c r="L8" s="95"/>
      <c r="M8" s="95"/>
      <c r="N8" s="95"/>
      <c r="O8" s="95"/>
      <c r="P8" s="95"/>
      <c r="Q8" s="95"/>
      <c r="R8" s="32"/>
      <c r="S8" s="32"/>
      <c r="T8" s="32"/>
      <c r="U8" s="32"/>
      <c r="V8" s="32"/>
      <c r="W8" s="32"/>
      <c r="X8" s="32"/>
      <c r="Y8" s="32"/>
      <c r="Z8" s="32"/>
    </row>
    <row r="9" ht="34.5" customHeight="1">
      <c r="A9" s="1"/>
      <c r="C9" s="99"/>
      <c r="D9" s="100" t="str">
        <f>IF(ISERROR(VLOOKUP(C9,'Matriz SWOT'!$J$5:$K$14,2,FALSE)),"",VLOOKUP(C9,'Matriz SWOT'!$J$5:$K$14,2,FALSE))</f>
        <v/>
      </c>
      <c r="E9" s="99"/>
      <c r="F9" s="100" t="str">
        <f>IF(ISERROR(VLOOKUP(E9,'Matriz SWOT'!$J$5:$K$24,2,FALSE)),"",VLOOKUP(E9,'Matriz SWOT'!$J$5:$K$24,2,FALSE))</f>
        <v/>
      </c>
      <c r="G9" s="100" t="str">
        <f t="shared" ref="G9:G108" si="1">IF(F9="","",VLOOKUP(D9&amp;F9,$M$9:$O$12,2,FALSE))</f>
        <v/>
      </c>
      <c r="H9" s="101" t="str">
        <f t="shared" ref="H9:H108" si="2">IF(G9="","",VLOOKUP(G9,$N$9:$O$12,2,FALSE))</f>
        <v/>
      </c>
      <c r="I9" s="32">
        <v>1.0</v>
      </c>
      <c r="J9" s="48" t="str">
        <f>VLOOKUP(LARGE('Matriz SWOT'!$I$5:$I$14,Cruzamento!I9),'Matriz SWOT'!$I$5:$J$14,2,FALSE)</f>
        <v/>
      </c>
      <c r="K9" s="48" t="str">
        <f>VLOOKUP(LARGE('Matriz SWOT'!$I$15:$I$24,Cruzamento!I9),'Matriz SWOT'!$I$15:$J$24,2,FALSE)</f>
        <v/>
      </c>
      <c r="L9" s="48"/>
      <c r="M9" s="32" t="s">
        <v>109</v>
      </c>
      <c r="N9" s="48" t="s">
        <v>110</v>
      </c>
      <c r="O9" s="48" t="s">
        <v>111</v>
      </c>
      <c r="P9" s="95"/>
      <c r="Q9" s="95"/>
      <c r="R9" s="32"/>
      <c r="S9" s="32"/>
      <c r="T9" s="32"/>
      <c r="U9" s="32"/>
      <c r="V9" s="32"/>
      <c r="W9" s="32"/>
      <c r="X9" s="32"/>
      <c r="Y9" s="32"/>
      <c r="Z9" s="32"/>
    </row>
    <row r="10" ht="34.5" customHeight="1">
      <c r="A10" s="1"/>
      <c r="C10" s="102"/>
      <c r="D10" s="100" t="str">
        <f>IF(ISERROR(VLOOKUP(C10,'Matriz SWOT'!$J$5:$K$14,2,FALSE)),"",VLOOKUP(C10,'Matriz SWOT'!$J$5:$K$14,2,FALSE))</f>
        <v/>
      </c>
      <c r="E10" s="102"/>
      <c r="F10" s="100" t="str">
        <f>IF(ISERROR(VLOOKUP(E10,'Matriz SWOT'!$J$5:$K$24,2,FALSE)),"",VLOOKUP(E10,'Matriz SWOT'!$J$5:$K$24,2,FALSE))</f>
        <v/>
      </c>
      <c r="G10" s="100" t="str">
        <f t="shared" si="1"/>
        <v/>
      </c>
      <c r="H10" s="101" t="str">
        <f t="shared" si="2"/>
        <v/>
      </c>
      <c r="I10" s="32">
        <v>2.0</v>
      </c>
      <c r="J10" s="48" t="str">
        <f>VLOOKUP(LARGE('Matriz SWOT'!$I$5:$I$14,Cruzamento!I10),'Matriz SWOT'!$I$5:$J$14,2,FALSE)</f>
        <v/>
      </c>
      <c r="K10" s="48" t="str">
        <f>VLOOKUP(LARGE('Matriz SWOT'!$I$15:$I$24,Cruzamento!I10),'Matriz SWOT'!$I$15:$J$24,2,FALSE)</f>
        <v/>
      </c>
      <c r="L10" s="48"/>
      <c r="M10" s="32" t="s">
        <v>112</v>
      </c>
      <c r="N10" s="32" t="s">
        <v>113</v>
      </c>
      <c r="O10" s="32" t="s">
        <v>114</v>
      </c>
      <c r="P10" s="95"/>
      <c r="Q10" s="95"/>
      <c r="R10" s="32"/>
      <c r="S10" s="32"/>
      <c r="T10" s="32"/>
      <c r="U10" s="32"/>
      <c r="V10" s="32"/>
      <c r="W10" s="32"/>
      <c r="X10" s="32"/>
      <c r="Y10" s="32"/>
      <c r="Z10" s="32"/>
    </row>
    <row r="11" ht="34.5" customHeight="1">
      <c r="A11" s="1"/>
      <c r="C11" s="102"/>
      <c r="D11" s="100" t="str">
        <f>IF(ISERROR(VLOOKUP(C11,'Matriz SWOT'!$J$5:$K$14,2,FALSE)),"",VLOOKUP(C11,'Matriz SWOT'!$J$5:$K$14,2,FALSE))</f>
        <v/>
      </c>
      <c r="E11" s="102"/>
      <c r="F11" s="100" t="str">
        <f>IF(ISERROR(VLOOKUP(E11,'Matriz SWOT'!$J$5:$K$24,2,FALSE)),"",VLOOKUP(E11,'Matriz SWOT'!$J$5:$K$24,2,FALSE))</f>
        <v/>
      </c>
      <c r="G11" s="100" t="str">
        <f t="shared" si="1"/>
        <v/>
      </c>
      <c r="H11" s="101" t="str">
        <f t="shared" si="2"/>
        <v/>
      </c>
      <c r="I11" s="32">
        <v>3.0</v>
      </c>
      <c r="J11" s="48" t="str">
        <f>VLOOKUP(LARGE('Matriz SWOT'!$I$5:$I$14,Cruzamento!I11),'Matriz SWOT'!$I$5:$J$14,2,FALSE)</f>
        <v/>
      </c>
      <c r="K11" s="48" t="str">
        <f>VLOOKUP(LARGE('Matriz SWOT'!$I$15:$I$24,Cruzamento!I11),'Matriz SWOT'!$I$15:$J$24,2,FALSE)</f>
        <v/>
      </c>
      <c r="L11" s="48"/>
      <c r="M11" s="32" t="s">
        <v>115</v>
      </c>
      <c r="N11" s="32" t="s">
        <v>116</v>
      </c>
      <c r="O11" s="32" t="s">
        <v>117</v>
      </c>
      <c r="P11" s="95"/>
      <c r="Q11" s="95"/>
      <c r="R11" s="32"/>
      <c r="S11" s="32"/>
      <c r="T11" s="32"/>
      <c r="U11" s="32"/>
      <c r="V11" s="32"/>
      <c r="W11" s="32"/>
      <c r="X11" s="32"/>
      <c r="Y11" s="32"/>
      <c r="Z11" s="32"/>
    </row>
    <row r="12" ht="34.5" customHeight="1">
      <c r="A12" s="1"/>
      <c r="C12" s="102"/>
      <c r="D12" s="100" t="str">
        <f>IF(ISERROR(VLOOKUP(C12,'Matriz SWOT'!$J$5:$K$14,2,FALSE)),"",VLOOKUP(C12,'Matriz SWOT'!$J$5:$K$14,2,FALSE))</f>
        <v/>
      </c>
      <c r="E12" s="102"/>
      <c r="F12" s="100" t="str">
        <f>IF(ISERROR(VLOOKUP(E12,'Matriz SWOT'!$J$5:$K$24,2,FALSE)),"",VLOOKUP(E12,'Matriz SWOT'!$J$5:$K$24,2,FALSE))</f>
        <v/>
      </c>
      <c r="G12" s="100" t="str">
        <f t="shared" si="1"/>
        <v/>
      </c>
      <c r="H12" s="101" t="str">
        <f t="shared" si="2"/>
        <v/>
      </c>
      <c r="I12" s="32">
        <v>4.0</v>
      </c>
      <c r="J12" s="48" t="str">
        <f>VLOOKUP(LARGE('Matriz SWOT'!$I$5:$I$14,Cruzamento!I12),'Matriz SWOT'!$I$5:$J$14,2,FALSE)</f>
        <v/>
      </c>
      <c r="K12" s="48" t="str">
        <f>VLOOKUP(LARGE('Matriz SWOT'!$I$15:$I$24,Cruzamento!I12),'Matriz SWOT'!$I$15:$J$24,2,FALSE)</f>
        <v/>
      </c>
      <c r="L12" s="48"/>
      <c r="M12" s="32" t="s">
        <v>118</v>
      </c>
      <c r="N12" s="32" t="s">
        <v>119</v>
      </c>
      <c r="O12" s="32" t="s">
        <v>120</v>
      </c>
      <c r="P12" s="95"/>
      <c r="Q12" s="95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1"/>
      <c r="C13" s="102"/>
      <c r="D13" s="100" t="str">
        <f>IF(ISERROR(VLOOKUP(C13,'Matriz SWOT'!$J$5:$K$14,2,FALSE)),"",VLOOKUP(C13,'Matriz SWOT'!$J$5:$K$14,2,FALSE))</f>
        <v/>
      </c>
      <c r="E13" s="102"/>
      <c r="F13" s="100" t="str">
        <f>IF(ISERROR(VLOOKUP(E13,'Matriz SWOT'!$J$5:$K$24,2,FALSE)),"",VLOOKUP(E13,'Matriz SWOT'!$J$5:$K$24,2,FALSE))</f>
        <v/>
      </c>
      <c r="G13" s="100" t="str">
        <f t="shared" si="1"/>
        <v/>
      </c>
      <c r="H13" s="101" t="str">
        <f t="shared" si="2"/>
        <v/>
      </c>
      <c r="I13" s="32">
        <v>5.0</v>
      </c>
      <c r="J13" s="48" t="str">
        <f>VLOOKUP(LARGE('Matriz SWOT'!$I$5:$I$14,Cruzamento!I13),'Matriz SWOT'!$I$5:$J$14,2,FALSE)</f>
        <v/>
      </c>
      <c r="K13" s="48" t="str">
        <f>VLOOKUP(LARGE('Matriz SWOT'!$I$15:$I$24,Cruzamento!I13),'Matriz SWOT'!$I$15:$J$24,2,FALSE)</f>
        <v/>
      </c>
      <c r="L13" s="48"/>
      <c r="M13" s="32"/>
      <c r="N13" s="32"/>
      <c r="O13" s="32"/>
      <c r="P13" s="95"/>
      <c r="Q13" s="95"/>
      <c r="R13" s="32"/>
      <c r="S13" s="32"/>
      <c r="T13" s="32"/>
      <c r="U13" s="32"/>
      <c r="V13" s="32"/>
      <c r="W13" s="32"/>
      <c r="X13" s="32"/>
      <c r="Y13" s="32"/>
      <c r="Z13" s="32"/>
    </row>
    <row r="14" ht="34.5" customHeight="1">
      <c r="A14" s="1"/>
      <c r="C14" s="102"/>
      <c r="D14" s="100" t="str">
        <f>IF(ISERROR(VLOOKUP(C14,'Matriz SWOT'!$J$5:$K$14,2,FALSE)),"",VLOOKUP(C14,'Matriz SWOT'!$J$5:$K$14,2,FALSE))</f>
        <v/>
      </c>
      <c r="E14" s="102"/>
      <c r="F14" s="100" t="str">
        <f>IF(ISERROR(VLOOKUP(E14,'Matriz SWOT'!$J$5:$K$24,2,FALSE)),"",VLOOKUP(E14,'Matriz SWOT'!$J$5:$K$24,2,FALSE))</f>
        <v/>
      </c>
      <c r="G14" s="100" t="str">
        <f t="shared" si="1"/>
        <v/>
      </c>
      <c r="H14" s="101" t="str">
        <f t="shared" si="2"/>
        <v/>
      </c>
      <c r="I14" s="32">
        <v>6.0</v>
      </c>
      <c r="J14" s="48" t="str">
        <f>VLOOKUP(LARGE('Matriz SWOT'!$I$5:$I$14,Cruzamento!I14),'Matriz SWOT'!$I$5:$J$14,2,FALSE)</f>
        <v/>
      </c>
      <c r="K14" s="48" t="str">
        <f>VLOOKUP(LARGE('Matriz SWOT'!$I$15:$I$24,Cruzamento!I14),'Matriz SWOT'!$I$15:$J$24,2,FALSE)</f>
        <v/>
      </c>
      <c r="L14" s="48"/>
      <c r="M14" s="32"/>
      <c r="N14" s="32"/>
      <c r="O14" s="32"/>
      <c r="P14" s="95"/>
      <c r="Q14" s="95"/>
      <c r="R14" s="32"/>
      <c r="S14" s="32"/>
      <c r="T14" s="32"/>
      <c r="U14" s="32"/>
      <c r="V14" s="32"/>
      <c r="W14" s="32"/>
      <c r="X14" s="32"/>
      <c r="Y14" s="32"/>
      <c r="Z14" s="32"/>
    </row>
    <row r="15" ht="34.5" customHeight="1">
      <c r="A15" s="1"/>
      <c r="C15" s="102"/>
      <c r="D15" s="100" t="str">
        <f>IF(ISERROR(VLOOKUP(C15,'Matriz SWOT'!$J$5:$K$14,2,FALSE)),"",VLOOKUP(C15,'Matriz SWOT'!$J$5:$K$14,2,FALSE))</f>
        <v/>
      </c>
      <c r="E15" s="102"/>
      <c r="F15" s="100" t="str">
        <f>IF(ISERROR(VLOOKUP(E15,'Matriz SWOT'!$J$5:$K$24,2,FALSE)),"",VLOOKUP(E15,'Matriz SWOT'!$J$5:$K$24,2,FALSE))</f>
        <v/>
      </c>
      <c r="G15" s="100" t="str">
        <f t="shared" si="1"/>
        <v/>
      </c>
      <c r="H15" s="101" t="str">
        <f t="shared" si="2"/>
        <v/>
      </c>
      <c r="I15" s="32">
        <v>7.0</v>
      </c>
      <c r="J15" s="48" t="str">
        <f>VLOOKUP(LARGE('Matriz SWOT'!$I$5:$I$14,Cruzamento!I15),'Matriz SWOT'!$I$5:$J$14,2,FALSE)</f>
        <v/>
      </c>
      <c r="K15" s="48" t="str">
        <f>VLOOKUP(LARGE('Matriz SWOT'!$I$15:$I$24,Cruzamento!I15),'Matriz SWOT'!$I$15:$J$24,2,FALSE)</f>
        <v/>
      </c>
      <c r="L15" s="48"/>
      <c r="M15" s="32"/>
      <c r="N15" s="32"/>
      <c r="O15" s="32"/>
      <c r="P15" s="95"/>
      <c r="Q15" s="95"/>
      <c r="R15" s="32"/>
      <c r="S15" s="32"/>
      <c r="T15" s="32"/>
      <c r="U15" s="32"/>
      <c r="V15" s="32"/>
      <c r="W15" s="32"/>
      <c r="X15" s="32"/>
      <c r="Y15" s="32"/>
      <c r="Z15" s="32"/>
    </row>
    <row r="16" ht="34.5" customHeight="1">
      <c r="A16" s="1"/>
      <c r="C16" s="102"/>
      <c r="D16" s="100" t="str">
        <f>IF(ISERROR(VLOOKUP(C16,'Matriz SWOT'!$J$5:$K$14,2,FALSE)),"",VLOOKUP(C16,'Matriz SWOT'!$J$5:$K$14,2,FALSE))</f>
        <v/>
      </c>
      <c r="E16" s="102"/>
      <c r="F16" s="100" t="str">
        <f>IF(ISERROR(VLOOKUP(E16,'Matriz SWOT'!$J$5:$K$24,2,FALSE)),"",VLOOKUP(E16,'Matriz SWOT'!$J$5:$K$24,2,FALSE))</f>
        <v/>
      </c>
      <c r="G16" s="100" t="str">
        <f t="shared" si="1"/>
        <v/>
      </c>
      <c r="H16" s="101" t="str">
        <f t="shared" si="2"/>
        <v/>
      </c>
      <c r="I16" s="32">
        <v>8.0</v>
      </c>
      <c r="J16" s="48" t="str">
        <f>VLOOKUP(LARGE('Matriz SWOT'!$I$5:$I$14,Cruzamento!I16),'Matriz SWOT'!$I$5:$J$14,2,FALSE)</f>
        <v/>
      </c>
      <c r="K16" s="32" t="str">
        <f>VLOOKUP(LARGE('Matriz SWOT'!$I$15:$I$24,Cruzamento!I16),'Matriz SWOT'!$I$15:$J$24,2,FALSE)</f>
        <v/>
      </c>
      <c r="L16" s="48"/>
      <c r="M16" s="32"/>
      <c r="N16" s="32"/>
      <c r="O16" s="32"/>
      <c r="P16" s="95"/>
      <c r="Q16" s="95"/>
      <c r="R16" s="32"/>
      <c r="S16" s="32"/>
      <c r="T16" s="32"/>
      <c r="U16" s="32"/>
      <c r="V16" s="32"/>
      <c r="W16" s="32"/>
      <c r="X16" s="32"/>
      <c r="Y16" s="32"/>
      <c r="Z16" s="32"/>
    </row>
    <row r="17" ht="34.5" customHeight="1">
      <c r="A17" s="1"/>
      <c r="C17" s="102"/>
      <c r="D17" s="100" t="str">
        <f>IF(ISERROR(VLOOKUP(C17,'Matriz SWOT'!$J$5:$K$14,2,FALSE)),"",VLOOKUP(C17,'Matriz SWOT'!$J$5:$K$14,2,FALSE))</f>
        <v/>
      </c>
      <c r="E17" s="102"/>
      <c r="F17" s="100" t="str">
        <f>IF(ISERROR(VLOOKUP(E17,'Matriz SWOT'!$J$5:$K$24,2,FALSE)),"",VLOOKUP(E17,'Matriz SWOT'!$J$5:$K$24,2,FALSE))</f>
        <v/>
      </c>
      <c r="G17" s="100" t="str">
        <f t="shared" si="1"/>
        <v/>
      </c>
      <c r="H17" s="101" t="str">
        <f t="shared" si="2"/>
        <v/>
      </c>
      <c r="I17" s="32">
        <v>9.0</v>
      </c>
      <c r="J17" s="48" t="str">
        <f>VLOOKUP(LARGE('Matriz SWOT'!$I$5:$I$14,Cruzamento!I17),'Matriz SWOT'!$I$5:$J$14,2,FALSE)</f>
        <v/>
      </c>
      <c r="K17" s="95" t="str">
        <f>VLOOKUP(LARGE('Matriz SWOT'!$I$15:$I$24,Cruzamento!I17),'Matriz SWOT'!$I$15:$J$24,2,FALSE)</f>
        <v/>
      </c>
      <c r="L17" s="103"/>
      <c r="M17" s="95"/>
      <c r="N17" s="95"/>
      <c r="O17" s="95"/>
      <c r="P17" s="95"/>
      <c r="Q17" s="95"/>
      <c r="R17" s="32"/>
      <c r="S17" s="32"/>
      <c r="T17" s="32"/>
      <c r="U17" s="32"/>
      <c r="V17" s="32"/>
      <c r="W17" s="32"/>
      <c r="X17" s="32"/>
      <c r="Y17" s="32"/>
      <c r="Z17" s="32"/>
    </row>
    <row r="18" ht="34.5" customHeight="1">
      <c r="A18" s="1"/>
      <c r="C18" s="102"/>
      <c r="D18" s="100" t="str">
        <f>IF(ISERROR(VLOOKUP(C18,'Matriz SWOT'!$J$5:$K$14,2,FALSE)),"",VLOOKUP(C18,'Matriz SWOT'!$J$5:$K$14,2,FALSE))</f>
        <v/>
      </c>
      <c r="E18" s="102"/>
      <c r="F18" s="100" t="str">
        <f>IF(ISERROR(VLOOKUP(E18,'Matriz SWOT'!$J$5:$K$24,2,FALSE)),"",VLOOKUP(E18,'Matriz SWOT'!$J$5:$K$24,2,FALSE))</f>
        <v/>
      </c>
      <c r="G18" s="100" t="str">
        <f t="shared" si="1"/>
        <v/>
      </c>
      <c r="H18" s="101" t="str">
        <f t="shared" si="2"/>
        <v/>
      </c>
      <c r="I18" s="32">
        <v>10.0</v>
      </c>
      <c r="J18" s="48" t="str">
        <f>VLOOKUP(LARGE('Matriz SWOT'!$I$5:$I$14,Cruzamento!I18),'Matriz SWOT'!$I$5:$J$14,2,FALSE)</f>
        <v/>
      </c>
      <c r="K18" s="95" t="str">
        <f>VLOOKUP(LARGE('Matriz SWOT'!$I$15:$I$24,Cruzamento!I18),'Matriz SWOT'!$I$15:$J$24,2,FALSE)</f>
        <v/>
      </c>
      <c r="L18" s="103"/>
      <c r="M18" s="95"/>
      <c r="N18" s="95"/>
      <c r="O18" s="95"/>
      <c r="P18" s="95"/>
      <c r="Q18" s="95"/>
      <c r="R18" s="32"/>
      <c r="S18" s="32"/>
      <c r="T18" s="32"/>
      <c r="U18" s="32"/>
      <c r="V18" s="32"/>
      <c r="W18" s="32"/>
      <c r="X18" s="32"/>
      <c r="Y18" s="32"/>
      <c r="Z18" s="32"/>
    </row>
    <row r="19" ht="34.5" customHeight="1">
      <c r="A19" s="1"/>
      <c r="C19" s="102"/>
      <c r="D19" s="100" t="str">
        <f>IF(ISERROR(VLOOKUP(C19,'Matriz SWOT'!$J$5:$K$14,2,FALSE)),"",VLOOKUP(C19,'Matriz SWOT'!$J$5:$K$14,2,FALSE))</f>
        <v/>
      </c>
      <c r="E19" s="102"/>
      <c r="F19" s="100" t="str">
        <f>IF(ISERROR(VLOOKUP(E19,'Matriz SWOT'!$J$5:$K$24,2,FALSE)),"",VLOOKUP(E19,'Matriz SWOT'!$J$5:$K$24,2,FALSE))</f>
        <v/>
      </c>
      <c r="G19" s="100" t="str">
        <f t="shared" si="1"/>
        <v/>
      </c>
      <c r="H19" s="101" t="str">
        <f t="shared" si="2"/>
        <v/>
      </c>
      <c r="I19" s="95"/>
      <c r="J19" s="95"/>
      <c r="K19" s="95"/>
      <c r="L19" s="103"/>
      <c r="M19" s="95"/>
      <c r="N19" s="95"/>
      <c r="O19" s="95"/>
      <c r="P19" s="95"/>
      <c r="Q19" s="95"/>
      <c r="R19" s="32"/>
      <c r="S19" s="32"/>
      <c r="T19" s="32"/>
      <c r="U19" s="32"/>
      <c r="V19" s="32"/>
      <c r="W19" s="32"/>
      <c r="X19" s="32"/>
      <c r="Y19" s="32"/>
      <c r="Z19" s="32"/>
    </row>
    <row r="20" ht="34.5" customHeight="1">
      <c r="A20" s="1"/>
      <c r="C20" s="102"/>
      <c r="D20" s="100" t="str">
        <f>IF(ISERROR(VLOOKUP(C20,'Matriz SWOT'!$J$5:$K$14,2,FALSE)),"",VLOOKUP(C20,'Matriz SWOT'!$J$5:$K$14,2,FALSE))</f>
        <v/>
      </c>
      <c r="E20" s="102"/>
      <c r="F20" s="100" t="str">
        <f>IF(ISERROR(VLOOKUP(E20,'Matriz SWOT'!$J$5:$K$24,2,FALSE)),"",VLOOKUP(E20,'Matriz SWOT'!$J$5:$K$24,2,FALSE))</f>
        <v/>
      </c>
      <c r="G20" s="100" t="str">
        <f t="shared" si="1"/>
        <v/>
      </c>
      <c r="H20" s="101" t="str">
        <f t="shared" si="2"/>
        <v/>
      </c>
      <c r="I20" s="95"/>
      <c r="J20" s="95"/>
      <c r="K20" s="95"/>
      <c r="L20" s="103"/>
      <c r="M20" s="95"/>
      <c r="N20" s="95"/>
      <c r="O20" s="95"/>
      <c r="P20" s="95"/>
      <c r="Q20" s="95"/>
      <c r="R20" s="32"/>
      <c r="S20" s="32"/>
      <c r="T20" s="32"/>
      <c r="U20" s="32"/>
      <c r="V20" s="32"/>
      <c r="W20" s="32"/>
      <c r="X20" s="32"/>
      <c r="Y20" s="32"/>
      <c r="Z20" s="32"/>
    </row>
    <row r="21" ht="34.5" customHeight="1">
      <c r="A21" s="1"/>
      <c r="C21" s="102"/>
      <c r="D21" s="100" t="str">
        <f>IF(ISERROR(VLOOKUP(C21,'Matriz SWOT'!$J$5:$K$14,2,FALSE)),"",VLOOKUP(C21,'Matriz SWOT'!$J$5:$K$14,2,FALSE))</f>
        <v/>
      </c>
      <c r="E21" s="102"/>
      <c r="F21" s="100" t="str">
        <f>IF(ISERROR(VLOOKUP(E21,'Matriz SWOT'!$J$5:$K$24,2,FALSE)),"",VLOOKUP(E21,'Matriz SWOT'!$J$5:$K$24,2,FALSE))</f>
        <v/>
      </c>
      <c r="G21" s="100" t="str">
        <f t="shared" si="1"/>
        <v/>
      </c>
      <c r="H21" s="101" t="str">
        <f t="shared" si="2"/>
        <v/>
      </c>
      <c r="I21" s="95"/>
      <c r="J21" s="95"/>
      <c r="K21" s="95"/>
      <c r="L21" s="103"/>
      <c r="M21" s="95"/>
      <c r="N21" s="95"/>
      <c r="O21" s="95"/>
      <c r="P21" s="95"/>
      <c r="Q21" s="95"/>
      <c r="R21" s="32"/>
      <c r="S21" s="32"/>
      <c r="T21" s="32"/>
      <c r="U21" s="32"/>
      <c r="V21" s="32"/>
      <c r="W21" s="32"/>
      <c r="X21" s="32"/>
      <c r="Y21" s="32"/>
      <c r="Z21" s="32"/>
    </row>
    <row r="22" ht="34.5" customHeight="1">
      <c r="A22" s="1"/>
      <c r="C22" s="102"/>
      <c r="D22" s="100" t="str">
        <f>IF(ISERROR(VLOOKUP(C22,'Matriz SWOT'!$J$5:$K$14,2,FALSE)),"",VLOOKUP(C22,'Matriz SWOT'!$J$5:$K$14,2,FALSE))</f>
        <v/>
      </c>
      <c r="E22" s="102"/>
      <c r="F22" s="100" t="str">
        <f>IF(ISERROR(VLOOKUP(E22,'Matriz SWOT'!$J$5:$K$24,2,FALSE)),"",VLOOKUP(E22,'Matriz SWOT'!$J$5:$K$24,2,FALSE))</f>
        <v/>
      </c>
      <c r="G22" s="100" t="str">
        <f t="shared" si="1"/>
        <v/>
      </c>
      <c r="H22" s="101" t="str">
        <f t="shared" si="2"/>
        <v/>
      </c>
      <c r="I22" s="95"/>
      <c r="J22" s="95"/>
      <c r="K22" s="95"/>
      <c r="L22" s="103"/>
      <c r="M22" s="95"/>
      <c r="N22" s="95"/>
      <c r="O22" s="95"/>
      <c r="P22" s="95"/>
      <c r="Q22" s="95"/>
      <c r="R22" s="32"/>
      <c r="S22" s="32"/>
      <c r="T22" s="32"/>
      <c r="U22" s="32"/>
      <c r="V22" s="32"/>
      <c r="W22" s="32"/>
      <c r="X22" s="32"/>
      <c r="Y22" s="32"/>
      <c r="Z22" s="32"/>
    </row>
    <row r="23" ht="34.5" customHeight="1">
      <c r="A23" s="1"/>
      <c r="C23" s="102"/>
      <c r="D23" s="100" t="str">
        <f>IF(ISERROR(VLOOKUP(C23,'Matriz SWOT'!$J$5:$K$14,2,FALSE)),"",VLOOKUP(C23,'Matriz SWOT'!$J$5:$K$14,2,FALSE))</f>
        <v/>
      </c>
      <c r="E23" s="102"/>
      <c r="F23" s="100" t="str">
        <f>IF(ISERROR(VLOOKUP(E23,'Matriz SWOT'!$J$5:$K$24,2,FALSE)),"",VLOOKUP(E23,'Matriz SWOT'!$J$5:$K$24,2,FALSE))</f>
        <v/>
      </c>
      <c r="G23" s="100" t="str">
        <f t="shared" si="1"/>
        <v/>
      </c>
      <c r="H23" s="101" t="str">
        <f t="shared" si="2"/>
        <v/>
      </c>
      <c r="I23" s="95"/>
      <c r="J23" s="95"/>
      <c r="K23" s="95"/>
      <c r="L23" s="103"/>
      <c r="M23" s="95"/>
      <c r="N23" s="95"/>
      <c r="O23" s="95"/>
      <c r="P23" s="95"/>
      <c r="Q23" s="95"/>
      <c r="R23" s="32"/>
      <c r="S23" s="32"/>
      <c r="T23" s="32"/>
      <c r="U23" s="32"/>
      <c r="V23" s="32"/>
      <c r="W23" s="32"/>
      <c r="X23" s="32"/>
      <c r="Y23" s="32"/>
      <c r="Z23" s="32"/>
    </row>
    <row r="24" ht="34.5" customHeight="1">
      <c r="A24" s="1"/>
      <c r="C24" s="102"/>
      <c r="D24" s="100" t="str">
        <f>IF(ISERROR(VLOOKUP(C24,'Matriz SWOT'!$J$5:$K$14,2,FALSE)),"",VLOOKUP(C24,'Matriz SWOT'!$J$5:$K$14,2,FALSE))</f>
        <v/>
      </c>
      <c r="E24" s="102"/>
      <c r="F24" s="100" t="str">
        <f>IF(ISERROR(VLOOKUP(E24,'Matriz SWOT'!$J$5:$K$24,2,FALSE)),"",VLOOKUP(E24,'Matriz SWOT'!$J$5:$K$24,2,FALSE))</f>
        <v/>
      </c>
      <c r="G24" s="100" t="str">
        <f t="shared" si="1"/>
        <v/>
      </c>
      <c r="H24" s="101" t="str">
        <f t="shared" si="2"/>
        <v/>
      </c>
      <c r="I24" s="95"/>
      <c r="J24" s="95"/>
      <c r="K24" s="95"/>
      <c r="L24" s="103"/>
      <c r="M24" s="95"/>
      <c r="N24" s="95"/>
      <c r="O24" s="95"/>
      <c r="P24" s="95"/>
      <c r="Q24" s="95"/>
      <c r="R24" s="32"/>
      <c r="S24" s="32"/>
      <c r="T24" s="32"/>
      <c r="U24" s="32"/>
      <c r="V24" s="32"/>
      <c r="W24" s="32"/>
      <c r="X24" s="32"/>
      <c r="Y24" s="32"/>
      <c r="Z24" s="32"/>
    </row>
    <row r="25" ht="34.5" customHeight="1">
      <c r="A25" s="1"/>
      <c r="C25" s="102"/>
      <c r="D25" s="100" t="str">
        <f>IF(ISERROR(VLOOKUP(C25,'Matriz SWOT'!$J$5:$K$14,2,FALSE)),"",VLOOKUP(C25,'Matriz SWOT'!$J$5:$K$14,2,FALSE))</f>
        <v/>
      </c>
      <c r="E25" s="102"/>
      <c r="F25" s="100" t="str">
        <f>IF(ISERROR(VLOOKUP(E25,'Matriz SWOT'!$J$5:$K$24,2,FALSE)),"",VLOOKUP(E25,'Matriz SWOT'!$J$5:$K$24,2,FALSE))</f>
        <v/>
      </c>
      <c r="G25" s="100" t="str">
        <f t="shared" si="1"/>
        <v/>
      </c>
      <c r="H25" s="101" t="str">
        <f t="shared" si="2"/>
        <v/>
      </c>
      <c r="I25" s="95"/>
      <c r="J25" s="95"/>
      <c r="K25" s="95"/>
      <c r="L25" s="103"/>
      <c r="M25" s="95"/>
      <c r="N25" s="95"/>
      <c r="O25" s="95"/>
      <c r="P25" s="95"/>
      <c r="Q25" s="95"/>
      <c r="R25" s="32"/>
      <c r="S25" s="32"/>
      <c r="T25" s="32"/>
      <c r="U25" s="32"/>
      <c r="V25" s="32"/>
      <c r="W25" s="32"/>
      <c r="X25" s="32"/>
      <c r="Y25" s="32"/>
      <c r="Z25" s="32"/>
    </row>
    <row r="26" ht="34.5" customHeight="1">
      <c r="A26" s="1"/>
      <c r="C26" s="102"/>
      <c r="D26" s="100" t="str">
        <f>IF(ISERROR(VLOOKUP(C26,'Matriz SWOT'!$J$5:$K$14,2,FALSE)),"",VLOOKUP(C26,'Matriz SWOT'!$J$5:$K$14,2,FALSE))</f>
        <v/>
      </c>
      <c r="E26" s="102"/>
      <c r="F26" s="100" t="str">
        <f>IF(ISERROR(VLOOKUP(E26,'Matriz SWOT'!$J$5:$K$24,2,FALSE)),"",VLOOKUP(E26,'Matriz SWOT'!$J$5:$K$24,2,FALSE))</f>
        <v/>
      </c>
      <c r="G26" s="100" t="str">
        <f t="shared" si="1"/>
        <v/>
      </c>
      <c r="H26" s="101" t="str">
        <f t="shared" si="2"/>
        <v/>
      </c>
      <c r="I26" s="95"/>
      <c r="J26" s="95"/>
      <c r="K26" s="95"/>
      <c r="L26" s="103"/>
      <c r="M26" s="95"/>
      <c r="N26" s="95"/>
      <c r="O26" s="95"/>
      <c r="P26" s="95"/>
      <c r="Q26" s="95"/>
      <c r="R26" s="32"/>
      <c r="S26" s="32"/>
      <c r="T26" s="32"/>
      <c r="U26" s="32"/>
      <c r="V26" s="32"/>
      <c r="W26" s="32"/>
      <c r="X26" s="32"/>
      <c r="Y26" s="32"/>
      <c r="Z26" s="32"/>
    </row>
    <row r="27" ht="34.5" customHeight="1">
      <c r="A27" s="1"/>
      <c r="C27" s="102"/>
      <c r="D27" s="100" t="str">
        <f>IF(ISERROR(VLOOKUP(C27,'Matriz SWOT'!$J$5:$K$14,2,FALSE)),"",VLOOKUP(C27,'Matriz SWOT'!$J$5:$K$14,2,FALSE))</f>
        <v/>
      </c>
      <c r="E27" s="102"/>
      <c r="F27" s="100" t="str">
        <f>IF(ISERROR(VLOOKUP(E27,'Matriz SWOT'!$J$5:$K$24,2,FALSE)),"",VLOOKUP(E27,'Matriz SWOT'!$J$5:$K$24,2,FALSE))</f>
        <v/>
      </c>
      <c r="G27" s="100" t="str">
        <f t="shared" si="1"/>
        <v/>
      </c>
      <c r="H27" s="101" t="str">
        <f t="shared" si="2"/>
        <v/>
      </c>
      <c r="I27" s="95"/>
      <c r="J27" s="95"/>
      <c r="K27" s="95"/>
      <c r="L27" s="103"/>
      <c r="M27" s="95"/>
      <c r="N27" s="95"/>
      <c r="O27" s="95"/>
      <c r="P27" s="95"/>
      <c r="Q27" s="95"/>
      <c r="R27" s="32"/>
      <c r="S27" s="32"/>
      <c r="T27" s="32"/>
      <c r="U27" s="32"/>
      <c r="V27" s="32"/>
      <c r="W27" s="32"/>
      <c r="X27" s="32"/>
      <c r="Y27" s="32"/>
      <c r="Z27" s="32"/>
    </row>
    <row r="28" ht="34.5" customHeight="1">
      <c r="A28" s="1"/>
      <c r="C28" s="102"/>
      <c r="D28" s="100" t="str">
        <f>IF(ISERROR(VLOOKUP(C28,'Matriz SWOT'!$J$5:$K$14,2,FALSE)),"",VLOOKUP(C28,'Matriz SWOT'!$J$5:$K$14,2,FALSE))</f>
        <v/>
      </c>
      <c r="E28" s="102"/>
      <c r="F28" s="100" t="str">
        <f>IF(ISERROR(VLOOKUP(E28,'Matriz SWOT'!$J$5:$K$24,2,FALSE)),"",VLOOKUP(E28,'Matriz SWOT'!$J$5:$K$24,2,FALSE))</f>
        <v/>
      </c>
      <c r="G28" s="100" t="str">
        <f t="shared" si="1"/>
        <v/>
      </c>
      <c r="H28" s="101" t="str">
        <f t="shared" si="2"/>
        <v/>
      </c>
      <c r="I28" s="95"/>
      <c r="J28" s="95"/>
      <c r="K28" s="95"/>
      <c r="L28" s="103"/>
      <c r="M28" s="95"/>
      <c r="N28" s="95"/>
      <c r="O28" s="95"/>
      <c r="P28" s="95"/>
      <c r="Q28" s="95"/>
      <c r="R28" s="32"/>
      <c r="S28" s="32"/>
      <c r="T28" s="32"/>
      <c r="U28" s="32"/>
      <c r="V28" s="32"/>
      <c r="W28" s="32"/>
      <c r="X28" s="32"/>
      <c r="Y28" s="32"/>
      <c r="Z28" s="32"/>
    </row>
    <row r="29" ht="34.5" customHeight="1">
      <c r="A29" s="1"/>
      <c r="C29" s="102"/>
      <c r="D29" s="100" t="str">
        <f>IF(ISERROR(VLOOKUP(C29,'Matriz SWOT'!$J$5:$K$14,2,FALSE)),"",VLOOKUP(C29,'Matriz SWOT'!$J$5:$K$14,2,FALSE))</f>
        <v/>
      </c>
      <c r="E29" s="102"/>
      <c r="F29" s="100" t="str">
        <f>IF(ISERROR(VLOOKUP(E29,'Matriz SWOT'!$J$5:$K$24,2,FALSE)),"",VLOOKUP(E29,'Matriz SWOT'!$J$5:$K$24,2,FALSE))</f>
        <v/>
      </c>
      <c r="G29" s="100" t="str">
        <f t="shared" si="1"/>
        <v/>
      </c>
      <c r="H29" s="101" t="str">
        <f t="shared" si="2"/>
        <v/>
      </c>
      <c r="I29" s="95"/>
      <c r="J29" s="95"/>
      <c r="K29" s="95"/>
      <c r="L29" s="103"/>
      <c r="M29" s="95"/>
      <c r="N29" s="95"/>
      <c r="O29" s="95"/>
      <c r="P29" s="95"/>
      <c r="Q29" s="95"/>
      <c r="R29" s="32"/>
      <c r="S29" s="32"/>
      <c r="T29" s="32"/>
      <c r="U29" s="32"/>
      <c r="V29" s="32"/>
      <c r="W29" s="32"/>
      <c r="X29" s="32"/>
      <c r="Y29" s="32"/>
      <c r="Z29" s="32"/>
    </row>
    <row r="30" ht="34.5" customHeight="1">
      <c r="A30" s="1"/>
      <c r="C30" s="102"/>
      <c r="D30" s="100" t="str">
        <f>IF(ISERROR(VLOOKUP(C30,'Matriz SWOT'!$J$5:$K$14,2,FALSE)),"",VLOOKUP(C30,'Matriz SWOT'!$J$5:$K$14,2,FALSE))</f>
        <v/>
      </c>
      <c r="E30" s="102"/>
      <c r="F30" s="100" t="str">
        <f>IF(ISERROR(VLOOKUP(E30,'Matriz SWOT'!$J$5:$K$24,2,FALSE)),"",VLOOKUP(E30,'Matriz SWOT'!$J$5:$K$24,2,FALSE))</f>
        <v/>
      </c>
      <c r="G30" s="100" t="str">
        <f t="shared" si="1"/>
        <v/>
      </c>
      <c r="H30" s="101" t="str">
        <f t="shared" si="2"/>
        <v/>
      </c>
      <c r="I30" s="95"/>
      <c r="J30" s="95"/>
      <c r="K30" s="95"/>
      <c r="L30" s="103"/>
      <c r="M30" s="95"/>
      <c r="N30" s="95"/>
      <c r="O30" s="95"/>
      <c r="P30" s="95"/>
      <c r="Q30" s="95"/>
      <c r="R30" s="32"/>
      <c r="S30" s="32"/>
      <c r="T30" s="32"/>
      <c r="U30" s="32"/>
      <c r="V30" s="32"/>
      <c r="W30" s="32"/>
      <c r="X30" s="32"/>
      <c r="Y30" s="32"/>
      <c r="Z30" s="32"/>
    </row>
    <row r="31" ht="34.5" customHeight="1">
      <c r="A31" s="1"/>
      <c r="C31" s="102"/>
      <c r="D31" s="100" t="str">
        <f>IF(ISERROR(VLOOKUP(C31,'Matriz SWOT'!$J$5:$K$14,2,FALSE)),"",VLOOKUP(C31,'Matriz SWOT'!$J$5:$K$14,2,FALSE))</f>
        <v/>
      </c>
      <c r="E31" s="102"/>
      <c r="F31" s="100" t="str">
        <f>IF(ISERROR(VLOOKUP(E31,'Matriz SWOT'!$J$5:$K$24,2,FALSE)),"",VLOOKUP(E31,'Matriz SWOT'!$J$5:$K$24,2,FALSE))</f>
        <v/>
      </c>
      <c r="G31" s="100" t="str">
        <f t="shared" si="1"/>
        <v/>
      </c>
      <c r="H31" s="101" t="str">
        <f t="shared" si="2"/>
        <v/>
      </c>
      <c r="I31" s="95"/>
      <c r="J31" s="95"/>
      <c r="K31" s="95"/>
      <c r="L31" s="103"/>
      <c r="M31" s="95"/>
      <c r="N31" s="95"/>
      <c r="O31" s="95"/>
      <c r="P31" s="95"/>
      <c r="Q31" s="95"/>
      <c r="R31" s="32"/>
      <c r="S31" s="32"/>
      <c r="T31" s="32"/>
      <c r="U31" s="32"/>
      <c r="V31" s="32"/>
      <c r="W31" s="32"/>
      <c r="X31" s="32"/>
      <c r="Y31" s="32"/>
      <c r="Z31" s="32"/>
    </row>
    <row r="32" ht="34.5" customHeight="1">
      <c r="A32" s="1"/>
      <c r="C32" s="102"/>
      <c r="D32" s="100" t="str">
        <f>IF(ISERROR(VLOOKUP(C32,'Matriz SWOT'!$J$5:$K$14,2,FALSE)),"",VLOOKUP(C32,'Matriz SWOT'!$J$5:$K$14,2,FALSE))</f>
        <v/>
      </c>
      <c r="E32" s="102"/>
      <c r="F32" s="100" t="str">
        <f>IF(ISERROR(VLOOKUP(E32,'Matriz SWOT'!$J$5:$K$24,2,FALSE)),"",VLOOKUP(E32,'Matriz SWOT'!$J$5:$K$24,2,FALSE))</f>
        <v/>
      </c>
      <c r="G32" s="100" t="str">
        <f t="shared" si="1"/>
        <v/>
      </c>
      <c r="H32" s="101" t="str">
        <f t="shared" si="2"/>
        <v/>
      </c>
      <c r="I32" s="95"/>
      <c r="J32" s="95"/>
      <c r="K32" s="95"/>
      <c r="L32" s="103"/>
      <c r="M32" s="95"/>
      <c r="N32" s="95"/>
      <c r="O32" s="95"/>
      <c r="P32" s="95"/>
      <c r="Q32" s="95"/>
      <c r="R32" s="32"/>
      <c r="S32" s="32"/>
      <c r="T32" s="32"/>
      <c r="U32" s="32"/>
      <c r="V32" s="32"/>
      <c r="W32" s="32"/>
      <c r="X32" s="32"/>
      <c r="Y32" s="32"/>
      <c r="Z32" s="32"/>
    </row>
    <row r="33" ht="34.5" customHeight="1">
      <c r="A33" s="1"/>
      <c r="C33" s="102"/>
      <c r="D33" s="100" t="str">
        <f>IF(ISERROR(VLOOKUP(C33,'Matriz SWOT'!$J$5:$K$14,2,FALSE)),"",VLOOKUP(C33,'Matriz SWOT'!$J$5:$K$14,2,FALSE))</f>
        <v/>
      </c>
      <c r="E33" s="102"/>
      <c r="F33" s="100" t="str">
        <f>IF(ISERROR(VLOOKUP(E33,'Matriz SWOT'!$J$5:$K$24,2,FALSE)),"",VLOOKUP(E33,'Matriz SWOT'!$J$5:$K$24,2,FALSE))</f>
        <v/>
      </c>
      <c r="G33" s="100" t="str">
        <f t="shared" si="1"/>
        <v/>
      </c>
      <c r="H33" s="101" t="str">
        <f t="shared" si="2"/>
        <v/>
      </c>
      <c r="I33" s="95"/>
      <c r="J33" s="95"/>
      <c r="K33" s="95"/>
      <c r="L33" s="103"/>
      <c r="M33" s="95"/>
      <c r="N33" s="95"/>
      <c r="O33" s="95"/>
      <c r="P33" s="95"/>
      <c r="Q33" s="95"/>
      <c r="R33" s="32"/>
      <c r="S33" s="32"/>
      <c r="T33" s="32"/>
      <c r="U33" s="32"/>
      <c r="V33" s="32"/>
      <c r="W33" s="32"/>
      <c r="X33" s="32"/>
      <c r="Y33" s="32"/>
      <c r="Z33" s="32"/>
    </row>
    <row r="34" ht="34.5" customHeight="1">
      <c r="A34" s="1"/>
      <c r="C34" s="102"/>
      <c r="D34" s="100" t="str">
        <f>IF(ISERROR(VLOOKUP(C34,'Matriz SWOT'!$J$5:$K$14,2,FALSE)),"",VLOOKUP(C34,'Matriz SWOT'!$J$5:$K$14,2,FALSE))</f>
        <v/>
      </c>
      <c r="E34" s="102"/>
      <c r="F34" s="100" t="str">
        <f>IF(ISERROR(VLOOKUP(E34,'Matriz SWOT'!$J$5:$K$24,2,FALSE)),"",VLOOKUP(E34,'Matriz SWOT'!$J$5:$K$24,2,FALSE))</f>
        <v/>
      </c>
      <c r="G34" s="100" t="str">
        <f t="shared" si="1"/>
        <v/>
      </c>
      <c r="H34" s="101" t="str">
        <f t="shared" si="2"/>
        <v/>
      </c>
      <c r="I34" s="95"/>
      <c r="J34" s="95"/>
      <c r="K34" s="95"/>
      <c r="L34" s="103"/>
      <c r="M34" s="95"/>
      <c r="N34" s="95"/>
      <c r="O34" s="95"/>
      <c r="P34" s="95"/>
      <c r="Q34" s="95"/>
      <c r="R34" s="32"/>
      <c r="S34" s="32"/>
      <c r="T34" s="32"/>
      <c r="U34" s="32"/>
      <c r="V34" s="32"/>
      <c r="W34" s="32"/>
      <c r="X34" s="32"/>
      <c r="Y34" s="32"/>
      <c r="Z34" s="32"/>
    </row>
    <row r="35" ht="34.5" customHeight="1">
      <c r="A35" s="1"/>
      <c r="C35" s="102"/>
      <c r="D35" s="100" t="str">
        <f>IF(ISERROR(VLOOKUP(C35,'Matriz SWOT'!$J$5:$K$14,2,FALSE)),"",VLOOKUP(C35,'Matriz SWOT'!$J$5:$K$14,2,FALSE))</f>
        <v/>
      </c>
      <c r="E35" s="102"/>
      <c r="F35" s="100" t="str">
        <f>IF(ISERROR(VLOOKUP(E35,'Matriz SWOT'!$J$5:$K$24,2,FALSE)),"",VLOOKUP(E35,'Matriz SWOT'!$J$5:$K$24,2,FALSE))</f>
        <v/>
      </c>
      <c r="G35" s="100" t="str">
        <f t="shared" si="1"/>
        <v/>
      </c>
      <c r="H35" s="101" t="str">
        <f t="shared" si="2"/>
        <v/>
      </c>
      <c r="I35" s="95"/>
      <c r="J35" s="95"/>
      <c r="K35" s="95"/>
      <c r="L35" s="103"/>
      <c r="M35" s="95"/>
      <c r="N35" s="95"/>
      <c r="O35" s="95"/>
      <c r="P35" s="95"/>
      <c r="Q35" s="95"/>
      <c r="R35" s="32"/>
      <c r="S35" s="32"/>
      <c r="T35" s="32"/>
      <c r="U35" s="32"/>
      <c r="V35" s="32"/>
      <c r="W35" s="32"/>
      <c r="X35" s="32"/>
      <c r="Y35" s="32"/>
      <c r="Z35" s="32"/>
    </row>
    <row r="36" ht="34.5" customHeight="1">
      <c r="A36" s="1"/>
      <c r="C36" s="102"/>
      <c r="D36" s="100" t="str">
        <f>IF(ISERROR(VLOOKUP(C36,'Matriz SWOT'!$J$5:$K$14,2,FALSE)),"",VLOOKUP(C36,'Matriz SWOT'!$J$5:$K$14,2,FALSE))</f>
        <v/>
      </c>
      <c r="E36" s="102"/>
      <c r="F36" s="100" t="str">
        <f>IF(ISERROR(VLOOKUP(E36,'Matriz SWOT'!$J$5:$K$24,2,FALSE)),"",VLOOKUP(E36,'Matriz SWOT'!$J$5:$K$24,2,FALSE))</f>
        <v/>
      </c>
      <c r="G36" s="100" t="str">
        <f t="shared" si="1"/>
        <v/>
      </c>
      <c r="H36" s="101" t="str">
        <f t="shared" si="2"/>
        <v/>
      </c>
      <c r="I36" s="95"/>
      <c r="J36" s="95"/>
      <c r="K36" s="95"/>
      <c r="L36" s="103"/>
      <c r="M36" s="95"/>
      <c r="N36" s="95"/>
      <c r="O36" s="95"/>
      <c r="P36" s="95"/>
      <c r="Q36" s="95"/>
      <c r="R36" s="32"/>
      <c r="S36" s="32"/>
      <c r="T36" s="32"/>
      <c r="U36" s="32"/>
      <c r="V36" s="32"/>
      <c r="W36" s="32"/>
      <c r="X36" s="32"/>
      <c r="Y36" s="32"/>
      <c r="Z36" s="32"/>
    </row>
    <row r="37" ht="34.5" customHeight="1">
      <c r="A37" s="1"/>
      <c r="C37" s="102"/>
      <c r="D37" s="100" t="str">
        <f>IF(ISERROR(VLOOKUP(C37,'Matriz SWOT'!$J$5:$K$14,2,FALSE)),"",VLOOKUP(C37,'Matriz SWOT'!$J$5:$K$14,2,FALSE))</f>
        <v/>
      </c>
      <c r="E37" s="102"/>
      <c r="F37" s="100" t="str">
        <f>IF(ISERROR(VLOOKUP(E37,'Matriz SWOT'!$J$5:$K$24,2,FALSE)),"",VLOOKUP(E37,'Matriz SWOT'!$J$5:$K$24,2,FALSE))</f>
        <v/>
      </c>
      <c r="G37" s="100" t="str">
        <f t="shared" si="1"/>
        <v/>
      </c>
      <c r="H37" s="101" t="str">
        <f t="shared" si="2"/>
        <v/>
      </c>
      <c r="I37" s="95"/>
      <c r="J37" s="95"/>
      <c r="K37" s="95"/>
      <c r="L37" s="103"/>
      <c r="M37" s="95"/>
      <c r="N37" s="95"/>
      <c r="O37" s="95"/>
      <c r="P37" s="95"/>
      <c r="Q37" s="95"/>
      <c r="R37" s="32"/>
      <c r="S37" s="32"/>
      <c r="T37" s="32"/>
      <c r="U37" s="32"/>
      <c r="V37" s="32"/>
      <c r="W37" s="32"/>
      <c r="X37" s="32"/>
      <c r="Y37" s="32"/>
      <c r="Z37" s="32"/>
    </row>
    <row r="38" ht="34.5" customHeight="1">
      <c r="A38" s="1"/>
      <c r="C38" s="102"/>
      <c r="D38" s="100" t="str">
        <f>IF(ISERROR(VLOOKUP(C38,'Matriz SWOT'!$J$5:$K$14,2,FALSE)),"",VLOOKUP(C38,'Matriz SWOT'!$J$5:$K$14,2,FALSE))</f>
        <v/>
      </c>
      <c r="E38" s="102"/>
      <c r="F38" s="100" t="str">
        <f>IF(ISERROR(VLOOKUP(E38,'Matriz SWOT'!$J$5:$K$24,2,FALSE)),"",VLOOKUP(E38,'Matriz SWOT'!$J$5:$K$24,2,FALSE))</f>
        <v/>
      </c>
      <c r="G38" s="100" t="str">
        <f t="shared" si="1"/>
        <v/>
      </c>
      <c r="H38" s="101" t="str">
        <f t="shared" si="2"/>
        <v/>
      </c>
      <c r="I38" s="95"/>
      <c r="J38" s="95"/>
      <c r="K38" s="95"/>
      <c r="L38" s="103"/>
      <c r="M38" s="95"/>
      <c r="N38" s="95"/>
      <c r="O38" s="95"/>
      <c r="P38" s="95"/>
      <c r="Q38" s="95"/>
      <c r="R38" s="32"/>
      <c r="S38" s="32"/>
      <c r="T38" s="32"/>
      <c r="U38" s="32"/>
      <c r="V38" s="32"/>
      <c r="W38" s="32"/>
      <c r="X38" s="32"/>
      <c r="Y38" s="32"/>
      <c r="Z38" s="32"/>
    </row>
    <row r="39" ht="34.5" customHeight="1">
      <c r="A39" s="1"/>
      <c r="C39" s="102"/>
      <c r="D39" s="100" t="str">
        <f>IF(ISERROR(VLOOKUP(C39,'Matriz SWOT'!$J$5:$K$14,2,FALSE)),"",VLOOKUP(C39,'Matriz SWOT'!$J$5:$K$14,2,FALSE))</f>
        <v/>
      </c>
      <c r="E39" s="102"/>
      <c r="F39" s="100" t="str">
        <f>IF(ISERROR(VLOOKUP(E39,'Matriz SWOT'!$J$5:$K$24,2,FALSE)),"",VLOOKUP(E39,'Matriz SWOT'!$J$5:$K$24,2,FALSE))</f>
        <v/>
      </c>
      <c r="G39" s="100" t="str">
        <f t="shared" si="1"/>
        <v/>
      </c>
      <c r="H39" s="101" t="str">
        <f t="shared" si="2"/>
        <v/>
      </c>
      <c r="I39" s="95"/>
      <c r="J39" s="95"/>
      <c r="K39" s="95"/>
      <c r="L39" s="103"/>
      <c r="M39" s="95"/>
      <c r="N39" s="95"/>
      <c r="O39" s="95"/>
      <c r="P39" s="95"/>
      <c r="Q39" s="95"/>
      <c r="R39" s="32"/>
      <c r="S39" s="32"/>
      <c r="T39" s="32"/>
      <c r="U39" s="32"/>
      <c r="V39" s="32"/>
      <c r="W39" s="32"/>
      <c r="X39" s="32"/>
      <c r="Y39" s="32"/>
      <c r="Z39" s="32"/>
    </row>
    <row r="40" ht="34.5" customHeight="1">
      <c r="A40" s="1"/>
      <c r="C40" s="102"/>
      <c r="D40" s="100" t="str">
        <f>IF(ISERROR(VLOOKUP(C40,'Matriz SWOT'!$J$5:$K$14,2,FALSE)),"",VLOOKUP(C40,'Matriz SWOT'!$J$5:$K$14,2,FALSE))</f>
        <v/>
      </c>
      <c r="E40" s="102"/>
      <c r="F40" s="100" t="str">
        <f>IF(ISERROR(VLOOKUP(E40,'Matriz SWOT'!$J$5:$K$24,2,FALSE)),"",VLOOKUP(E40,'Matriz SWOT'!$J$5:$K$24,2,FALSE))</f>
        <v/>
      </c>
      <c r="G40" s="100" t="str">
        <f t="shared" si="1"/>
        <v/>
      </c>
      <c r="H40" s="101" t="str">
        <f t="shared" si="2"/>
        <v/>
      </c>
      <c r="I40" s="95"/>
      <c r="J40" s="95"/>
      <c r="K40" s="95"/>
      <c r="L40" s="103"/>
      <c r="M40" s="95"/>
      <c r="N40" s="95"/>
      <c r="O40" s="95"/>
      <c r="P40" s="95"/>
      <c r="Q40" s="95"/>
      <c r="R40" s="32"/>
      <c r="S40" s="32"/>
      <c r="T40" s="32"/>
      <c r="U40" s="32"/>
      <c r="V40" s="32"/>
      <c r="W40" s="32"/>
      <c r="X40" s="32"/>
      <c r="Y40" s="32"/>
      <c r="Z40" s="32"/>
    </row>
    <row r="41" ht="34.5" customHeight="1">
      <c r="A41" s="1"/>
      <c r="C41" s="102"/>
      <c r="D41" s="100" t="str">
        <f>IF(ISERROR(VLOOKUP(C41,'Matriz SWOT'!$J$5:$K$14,2,FALSE)),"",VLOOKUP(C41,'Matriz SWOT'!$J$5:$K$14,2,FALSE))</f>
        <v/>
      </c>
      <c r="E41" s="102"/>
      <c r="F41" s="100" t="str">
        <f>IF(ISERROR(VLOOKUP(E41,'Matriz SWOT'!$J$5:$K$24,2,FALSE)),"",VLOOKUP(E41,'Matriz SWOT'!$J$5:$K$24,2,FALSE))</f>
        <v/>
      </c>
      <c r="G41" s="100" t="str">
        <f t="shared" si="1"/>
        <v/>
      </c>
      <c r="H41" s="101" t="str">
        <f t="shared" si="2"/>
        <v/>
      </c>
      <c r="I41" s="95"/>
      <c r="J41" s="95"/>
      <c r="K41" s="95"/>
      <c r="L41" s="103"/>
      <c r="M41" s="95"/>
      <c r="N41" s="95"/>
      <c r="O41" s="95"/>
      <c r="P41" s="95"/>
      <c r="Q41" s="95"/>
      <c r="R41" s="32"/>
      <c r="S41" s="32"/>
      <c r="T41" s="32"/>
      <c r="U41" s="32"/>
      <c r="V41" s="32"/>
      <c r="W41" s="32"/>
      <c r="X41" s="32"/>
      <c r="Y41" s="32"/>
      <c r="Z41" s="32"/>
    </row>
    <row r="42" ht="34.5" customHeight="1">
      <c r="A42" s="1"/>
      <c r="C42" s="102"/>
      <c r="D42" s="100" t="str">
        <f>IF(ISERROR(VLOOKUP(C42,'Matriz SWOT'!$J$5:$K$14,2,FALSE)),"",VLOOKUP(C42,'Matriz SWOT'!$J$5:$K$14,2,FALSE))</f>
        <v/>
      </c>
      <c r="E42" s="102"/>
      <c r="F42" s="100" t="str">
        <f>IF(ISERROR(VLOOKUP(E42,'Matriz SWOT'!$J$5:$K$24,2,FALSE)),"",VLOOKUP(E42,'Matriz SWOT'!$J$5:$K$24,2,FALSE))</f>
        <v/>
      </c>
      <c r="G42" s="100" t="str">
        <f t="shared" si="1"/>
        <v/>
      </c>
      <c r="H42" s="101" t="str">
        <f t="shared" si="2"/>
        <v/>
      </c>
      <c r="I42" s="95"/>
      <c r="J42" s="95"/>
      <c r="K42" s="95"/>
      <c r="L42" s="103"/>
      <c r="M42" s="95"/>
      <c r="N42" s="95"/>
      <c r="O42" s="95"/>
      <c r="P42" s="95"/>
      <c r="Q42" s="95"/>
      <c r="R42" s="32"/>
      <c r="S42" s="32"/>
      <c r="T42" s="32"/>
      <c r="U42" s="32"/>
      <c r="V42" s="32"/>
      <c r="W42" s="32"/>
      <c r="X42" s="32"/>
      <c r="Y42" s="32"/>
      <c r="Z42" s="32"/>
    </row>
    <row r="43" ht="34.5" customHeight="1">
      <c r="A43" s="1"/>
      <c r="C43" s="102"/>
      <c r="D43" s="100" t="str">
        <f>IF(ISERROR(VLOOKUP(C43,'Matriz SWOT'!$J$5:$K$14,2,FALSE)),"",VLOOKUP(C43,'Matriz SWOT'!$J$5:$K$14,2,FALSE))</f>
        <v/>
      </c>
      <c r="E43" s="102"/>
      <c r="F43" s="100" t="str">
        <f>IF(ISERROR(VLOOKUP(E43,'Matriz SWOT'!$J$5:$K$24,2,FALSE)),"",VLOOKUP(E43,'Matriz SWOT'!$J$5:$K$24,2,FALSE))</f>
        <v/>
      </c>
      <c r="G43" s="100" t="str">
        <f t="shared" si="1"/>
        <v/>
      </c>
      <c r="H43" s="101" t="str">
        <f t="shared" si="2"/>
        <v/>
      </c>
      <c r="I43" s="95"/>
      <c r="J43" s="95"/>
      <c r="K43" s="95"/>
      <c r="L43" s="103"/>
      <c r="M43" s="95"/>
      <c r="N43" s="95"/>
      <c r="O43" s="95"/>
      <c r="P43" s="95"/>
      <c r="Q43" s="95"/>
      <c r="R43" s="32"/>
      <c r="S43" s="32"/>
      <c r="T43" s="32"/>
      <c r="U43" s="32"/>
      <c r="V43" s="32"/>
      <c r="W43" s="32"/>
      <c r="X43" s="32"/>
      <c r="Y43" s="32"/>
      <c r="Z43" s="32"/>
    </row>
    <row r="44" ht="34.5" customHeight="1">
      <c r="A44" s="1"/>
      <c r="C44" s="102"/>
      <c r="D44" s="100" t="str">
        <f>IF(ISERROR(VLOOKUP(C44,'Matriz SWOT'!$J$5:$K$14,2,FALSE)),"",VLOOKUP(C44,'Matriz SWOT'!$J$5:$K$14,2,FALSE))</f>
        <v/>
      </c>
      <c r="E44" s="102"/>
      <c r="F44" s="100" t="str">
        <f>IF(ISERROR(VLOOKUP(E44,'Matriz SWOT'!$J$5:$K$24,2,FALSE)),"",VLOOKUP(E44,'Matriz SWOT'!$J$5:$K$24,2,FALSE))</f>
        <v/>
      </c>
      <c r="G44" s="100" t="str">
        <f t="shared" si="1"/>
        <v/>
      </c>
      <c r="H44" s="101" t="str">
        <f t="shared" si="2"/>
        <v/>
      </c>
      <c r="I44" s="95"/>
      <c r="J44" s="95"/>
      <c r="K44" s="95"/>
      <c r="L44" s="103"/>
      <c r="M44" s="95"/>
      <c r="N44" s="95"/>
      <c r="O44" s="95"/>
      <c r="P44" s="95"/>
      <c r="Q44" s="95"/>
      <c r="R44" s="32"/>
      <c r="S44" s="32"/>
      <c r="T44" s="32"/>
      <c r="U44" s="32"/>
      <c r="V44" s="32"/>
      <c r="W44" s="32"/>
      <c r="X44" s="32"/>
      <c r="Y44" s="32"/>
      <c r="Z44" s="32"/>
    </row>
    <row r="45" ht="34.5" customHeight="1">
      <c r="A45" s="1"/>
      <c r="C45" s="102"/>
      <c r="D45" s="100" t="str">
        <f>IF(ISERROR(VLOOKUP(C45,'Matriz SWOT'!$J$5:$K$14,2,FALSE)),"",VLOOKUP(C45,'Matriz SWOT'!$J$5:$K$14,2,FALSE))</f>
        <v/>
      </c>
      <c r="E45" s="102"/>
      <c r="F45" s="100" t="str">
        <f>IF(ISERROR(VLOOKUP(E45,'Matriz SWOT'!$J$5:$K$24,2,FALSE)),"",VLOOKUP(E45,'Matriz SWOT'!$J$5:$K$24,2,FALSE))</f>
        <v/>
      </c>
      <c r="G45" s="100" t="str">
        <f t="shared" si="1"/>
        <v/>
      </c>
      <c r="H45" s="101" t="str">
        <f t="shared" si="2"/>
        <v/>
      </c>
      <c r="I45" s="95"/>
      <c r="J45" s="95"/>
      <c r="K45" s="95"/>
      <c r="L45" s="103"/>
      <c r="M45" s="95"/>
      <c r="N45" s="95"/>
      <c r="O45" s="95"/>
      <c r="P45" s="95"/>
      <c r="Q45" s="95"/>
      <c r="R45" s="32"/>
      <c r="S45" s="32"/>
      <c r="T45" s="32"/>
      <c r="U45" s="32"/>
      <c r="V45" s="32"/>
      <c r="W45" s="32"/>
      <c r="X45" s="32"/>
      <c r="Y45" s="32"/>
      <c r="Z45" s="32"/>
    </row>
    <row r="46" ht="34.5" customHeight="1">
      <c r="A46" s="1"/>
      <c r="C46" s="102"/>
      <c r="D46" s="100" t="str">
        <f>IF(ISERROR(VLOOKUP(C46,'Matriz SWOT'!$J$5:$K$14,2,FALSE)),"",VLOOKUP(C46,'Matriz SWOT'!$J$5:$K$14,2,FALSE))</f>
        <v/>
      </c>
      <c r="E46" s="102"/>
      <c r="F46" s="100" t="str">
        <f>IF(ISERROR(VLOOKUP(E46,'Matriz SWOT'!$J$5:$K$24,2,FALSE)),"",VLOOKUP(E46,'Matriz SWOT'!$J$5:$K$24,2,FALSE))</f>
        <v/>
      </c>
      <c r="G46" s="100" t="str">
        <f t="shared" si="1"/>
        <v/>
      </c>
      <c r="H46" s="101" t="str">
        <f t="shared" si="2"/>
        <v/>
      </c>
      <c r="I46" s="95"/>
      <c r="J46" s="95"/>
      <c r="K46" s="95"/>
      <c r="L46" s="103"/>
      <c r="M46" s="95"/>
      <c r="N46" s="95"/>
      <c r="O46" s="95"/>
      <c r="P46" s="95"/>
      <c r="Q46" s="95"/>
      <c r="R46" s="32"/>
      <c r="S46" s="32"/>
      <c r="T46" s="32"/>
      <c r="U46" s="32"/>
      <c r="V46" s="32"/>
      <c r="W46" s="32"/>
      <c r="X46" s="32"/>
      <c r="Y46" s="32"/>
      <c r="Z46" s="32"/>
    </row>
    <row r="47" ht="34.5" customHeight="1">
      <c r="A47" s="1"/>
      <c r="C47" s="102"/>
      <c r="D47" s="100" t="str">
        <f>IF(ISERROR(VLOOKUP(C47,'Matriz SWOT'!$J$5:$K$14,2,FALSE)),"",VLOOKUP(C47,'Matriz SWOT'!$J$5:$K$14,2,FALSE))</f>
        <v/>
      </c>
      <c r="E47" s="102"/>
      <c r="F47" s="100" t="str">
        <f>IF(ISERROR(VLOOKUP(E47,'Matriz SWOT'!$J$5:$K$24,2,FALSE)),"",VLOOKUP(E47,'Matriz SWOT'!$J$5:$K$24,2,FALSE))</f>
        <v/>
      </c>
      <c r="G47" s="100" t="str">
        <f t="shared" si="1"/>
        <v/>
      </c>
      <c r="H47" s="101" t="str">
        <f t="shared" si="2"/>
        <v/>
      </c>
      <c r="I47" s="95"/>
      <c r="J47" s="95"/>
      <c r="K47" s="95"/>
      <c r="L47" s="103"/>
      <c r="M47" s="95"/>
      <c r="N47" s="95"/>
      <c r="O47" s="95"/>
      <c r="P47" s="95"/>
      <c r="Q47" s="95"/>
      <c r="R47" s="32"/>
      <c r="S47" s="32"/>
      <c r="T47" s="32"/>
      <c r="U47" s="32"/>
      <c r="V47" s="32"/>
      <c r="W47" s="32"/>
      <c r="X47" s="32"/>
      <c r="Y47" s="32"/>
      <c r="Z47" s="32"/>
    </row>
    <row r="48" ht="34.5" customHeight="1">
      <c r="A48" s="1"/>
      <c r="C48" s="102"/>
      <c r="D48" s="100" t="str">
        <f>IF(ISERROR(VLOOKUP(C48,'Matriz SWOT'!$J$5:$K$14,2,FALSE)),"",VLOOKUP(C48,'Matriz SWOT'!$J$5:$K$14,2,FALSE))</f>
        <v/>
      </c>
      <c r="E48" s="102"/>
      <c r="F48" s="100" t="str">
        <f>IF(ISERROR(VLOOKUP(E48,'Matriz SWOT'!$J$5:$K$24,2,FALSE)),"",VLOOKUP(E48,'Matriz SWOT'!$J$5:$K$24,2,FALSE))</f>
        <v/>
      </c>
      <c r="G48" s="100" t="str">
        <f t="shared" si="1"/>
        <v/>
      </c>
      <c r="H48" s="101" t="str">
        <f t="shared" si="2"/>
        <v/>
      </c>
      <c r="I48" s="95"/>
      <c r="J48" s="95"/>
      <c r="K48" s="95"/>
      <c r="L48" s="103"/>
      <c r="M48" s="95"/>
      <c r="N48" s="95"/>
      <c r="O48" s="95"/>
      <c r="P48" s="95"/>
      <c r="Q48" s="95"/>
      <c r="R48" s="32"/>
      <c r="S48" s="32"/>
      <c r="T48" s="32"/>
      <c r="U48" s="32"/>
      <c r="V48" s="32"/>
      <c r="W48" s="32"/>
      <c r="X48" s="32"/>
      <c r="Y48" s="32"/>
      <c r="Z48" s="32"/>
    </row>
    <row r="49" ht="34.5" customHeight="1">
      <c r="A49" s="1"/>
      <c r="C49" s="102"/>
      <c r="D49" s="100" t="str">
        <f>IF(ISERROR(VLOOKUP(C49,'Matriz SWOT'!$J$5:$K$14,2,FALSE)),"",VLOOKUP(C49,'Matriz SWOT'!$J$5:$K$14,2,FALSE))</f>
        <v/>
      </c>
      <c r="E49" s="102"/>
      <c r="F49" s="100" t="str">
        <f>IF(ISERROR(VLOOKUP(E49,'Matriz SWOT'!$J$5:$K$24,2,FALSE)),"",VLOOKUP(E49,'Matriz SWOT'!$J$5:$K$24,2,FALSE))</f>
        <v/>
      </c>
      <c r="G49" s="100" t="str">
        <f t="shared" si="1"/>
        <v/>
      </c>
      <c r="H49" s="101" t="str">
        <f t="shared" si="2"/>
        <v/>
      </c>
      <c r="I49" s="95"/>
      <c r="J49" s="95"/>
      <c r="K49" s="95"/>
      <c r="L49" s="103"/>
      <c r="M49" s="95"/>
      <c r="N49" s="95"/>
      <c r="O49" s="95"/>
      <c r="P49" s="95"/>
      <c r="Q49" s="95"/>
      <c r="R49" s="32"/>
      <c r="S49" s="32"/>
      <c r="T49" s="32"/>
      <c r="U49" s="32"/>
      <c r="V49" s="32"/>
      <c r="W49" s="32"/>
      <c r="X49" s="32"/>
      <c r="Y49" s="32"/>
      <c r="Z49" s="32"/>
    </row>
    <row r="50" ht="34.5" customHeight="1">
      <c r="A50" s="1"/>
      <c r="C50" s="102"/>
      <c r="D50" s="100" t="str">
        <f>IF(ISERROR(VLOOKUP(C50,'Matriz SWOT'!$J$5:$K$14,2,FALSE)),"",VLOOKUP(C50,'Matriz SWOT'!$J$5:$K$14,2,FALSE))</f>
        <v/>
      </c>
      <c r="E50" s="102"/>
      <c r="F50" s="100" t="str">
        <f>IF(ISERROR(VLOOKUP(E50,'Matriz SWOT'!$J$5:$K$24,2,FALSE)),"",VLOOKUP(E50,'Matriz SWOT'!$J$5:$K$24,2,FALSE))</f>
        <v/>
      </c>
      <c r="G50" s="100" t="str">
        <f t="shared" si="1"/>
        <v/>
      </c>
      <c r="H50" s="101" t="str">
        <f t="shared" si="2"/>
        <v/>
      </c>
      <c r="I50" s="95"/>
      <c r="J50" s="95"/>
      <c r="K50" s="95"/>
      <c r="L50" s="103"/>
      <c r="M50" s="95"/>
      <c r="N50" s="95"/>
      <c r="O50" s="95"/>
      <c r="P50" s="95"/>
      <c r="Q50" s="95"/>
      <c r="R50" s="32"/>
      <c r="S50" s="32"/>
      <c r="T50" s="32"/>
      <c r="U50" s="32"/>
      <c r="V50" s="32"/>
      <c r="W50" s="32"/>
      <c r="X50" s="32"/>
      <c r="Y50" s="32"/>
      <c r="Z50" s="32"/>
    </row>
    <row r="51" ht="34.5" customHeight="1">
      <c r="A51" s="1"/>
      <c r="C51" s="102"/>
      <c r="D51" s="100" t="str">
        <f>IF(ISERROR(VLOOKUP(C51,'Matriz SWOT'!$J$5:$K$14,2,FALSE)),"",VLOOKUP(C51,'Matriz SWOT'!$J$5:$K$14,2,FALSE))</f>
        <v/>
      </c>
      <c r="E51" s="102"/>
      <c r="F51" s="100" t="str">
        <f>IF(ISERROR(VLOOKUP(E51,'Matriz SWOT'!$J$5:$K$24,2,FALSE)),"",VLOOKUP(E51,'Matriz SWOT'!$J$5:$K$24,2,FALSE))</f>
        <v/>
      </c>
      <c r="G51" s="100" t="str">
        <f t="shared" si="1"/>
        <v/>
      </c>
      <c r="H51" s="101" t="str">
        <f t="shared" si="2"/>
        <v/>
      </c>
      <c r="I51" s="95"/>
      <c r="J51" s="95"/>
      <c r="K51" s="95"/>
      <c r="L51" s="103"/>
      <c r="M51" s="95"/>
      <c r="N51" s="95"/>
      <c r="O51" s="95"/>
      <c r="P51" s="95"/>
      <c r="Q51" s="95"/>
      <c r="R51" s="32"/>
      <c r="S51" s="32"/>
      <c r="T51" s="32"/>
      <c r="U51" s="32"/>
      <c r="V51" s="32"/>
      <c r="W51" s="32"/>
      <c r="X51" s="32"/>
      <c r="Y51" s="32"/>
      <c r="Z51" s="32"/>
    </row>
    <row r="52" ht="34.5" customHeight="1">
      <c r="A52" s="1"/>
      <c r="C52" s="102"/>
      <c r="D52" s="100" t="str">
        <f>IF(ISERROR(VLOOKUP(C52,'Matriz SWOT'!$J$5:$K$14,2,FALSE)),"",VLOOKUP(C52,'Matriz SWOT'!$J$5:$K$14,2,FALSE))</f>
        <v/>
      </c>
      <c r="E52" s="102"/>
      <c r="F52" s="100" t="str">
        <f>IF(ISERROR(VLOOKUP(E52,'Matriz SWOT'!$J$5:$K$24,2,FALSE)),"",VLOOKUP(E52,'Matriz SWOT'!$J$5:$K$24,2,FALSE))</f>
        <v/>
      </c>
      <c r="G52" s="100" t="str">
        <f t="shared" si="1"/>
        <v/>
      </c>
      <c r="H52" s="101" t="str">
        <f t="shared" si="2"/>
        <v/>
      </c>
      <c r="I52" s="95"/>
      <c r="J52" s="95"/>
      <c r="K52" s="95"/>
      <c r="L52" s="103"/>
      <c r="M52" s="95"/>
      <c r="N52" s="95"/>
      <c r="O52" s="95"/>
      <c r="P52" s="95"/>
      <c r="Q52" s="95"/>
      <c r="R52" s="32"/>
      <c r="S52" s="32"/>
      <c r="T52" s="32"/>
      <c r="U52" s="32"/>
      <c r="V52" s="32"/>
      <c r="W52" s="32"/>
      <c r="X52" s="32"/>
      <c r="Y52" s="32"/>
      <c r="Z52" s="32"/>
    </row>
    <row r="53" ht="34.5" customHeight="1">
      <c r="A53" s="1"/>
      <c r="C53" s="102"/>
      <c r="D53" s="100" t="str">
        <f>IF(ISERROR(VLOOKUP(C53,'Matriz SWOT'!$J$5:$K$14,2,FALSE)),"",VLOOKUP(C53,'Matriz SWOT'!$J$5:$K$14,2,FALSE))</f>
        <v/>
      </c>
      <c r="E53" s="102"/>
      <c r="F53" s="100" t="str">
        <f>IF(ISERROR(VLOOKUP(E53,'Matriz SWOT'!$J$5:$K$24,2,FALSE)),"",VLOOKUP(E53,'Matriz SWOT'!$J$5:$K$24,2,FALSE))</f>
        <v/>
      </c>
      <c r="G53" s="100" t="str">
        <f t="shared" si="1"/>
        <v/>
      </c>
      <c r="H53" s="101" t="str">
        <f t="shared" si="2"/>
        <v/>
      </c>
      <c r="I53" s="95"/>
      <c r="J53" s="95"/>
      <c r="K53" s="95"/>
      <c r="L53" s="103"/>
      <c r="M53" s="95"/>
      <c r="N53" s="95"/>
      <c r="O53" s="95"/>
      <c r="P53" s="95"/>
      <c r="Q53" s="95"/>
      <c r="R53" s="32"/>
      <c r="S53" s="32"/>
      <c r="T53" s="32"/>
      <c r="U53" s="32"/>
      <c r="V53" s="32"/>
      <c r="W53" s="32"/>
      <c r="X53" s="32"/>
      <c r="Y53" s="32"/>
      <c r="Z53" s="32"/>
    </row>
    <row r="54" ht="34.5" customHeight="1">
      <c r="A54" s="1"/>
      <c r="C54" s="102"/>
      <c r="D54" s="100" t="str">
        <f>IF(ISERROR(VLOOKUP(C54,'Matriz SWOT'!$J$5:$K$14,2,FALSE)),"",VLOOKUP(C54,'Matriz SWOT'!$J$5:$K$14,2,FALSE))</f>
        <v/>
      </c>
      <c r="E54" s="102"/>
      <c r="F54" s="100" t="str">
        <f>IF(ISERROR(VLOOKUP(E54,'Matriz SWOT'!$J$5:$K$24,2,FALSE)),"",VLOOKUP(E54,'Matriz SWOT'!$J$5:$K$24,2,FALSE))</f>
        <v/>
      </c>
      <c r="G54" s="100" t="str">
        <f t="shared" si="1"/>
        <v/>
      </c>
      <c r="H54" s="101" t="str">
        <f t="shared" si="2"/>
        <v/>
      </c>
      <c r="I54" s="95"/>
      <c r="J54" s="95"/>
      <c r="K54" s="95"/>
      <c r="L54" s="103"/>
      <c r="M54" s="95"/>
      <c r="N54" s="95"/>
      <c r="O54" s="95"/>
      <c r="P54" s="95"/>
      <c r="Q54" s="95"/>
      <c r="R54" s="32"/>
      <c r="S54" s="32"/>
      <c r="T54" s="32"/>
      <c r="U54" s="32"/>
      <c r="V54" s="32"/>
      <c r="W54" s="32"/>
      <c r="X54" s="32"/>
      <c r="Y54" s="32"/>
      <c r="Z54" s="32"/>
    </row>
    <row r="55" ht="34.5" customHeight="1">
      <c r="A55" s="1"/>
      <c r="C55" s="102"/>
      <c r="D55" s="100" t="str">
        <f>IF(ISERROR(VLOOKUP(C55,'Matriz SWOT'!$J$5:$K$14,2,FALSE)),"",VLOOKUP(C55,'Matriz SWOT'!$J$5:$K$14,2,FALSE))</f>
        <v/>
      </c>
      <c r="E55" s="102"/>
      <c r="F55" s="100" t="str">
        <f>IF(ISERROR(VLOOKUP(E55,'Matriz SWOT'!$J$5:$K$24,2,FALSE)),"",VLOOKUP(E55,'Matriz SWOT'!$J$5:$K$24,2,FALSE))</f>
        <v/>
      </c>
      <c r="G55" s="100" t="str">
        <f t="shared" si="1"/>
        <v/>
      </c>
      <c r="H55" s="101" t="str">
        <f t="shared" si="2"/>
        <v/>
      </c>
      <c r="I55" s="95"/>
      <c r="J55" s="95"/>
      <c r="K55" s="95"/>
      <c r="L55" s="103"/>
      <c r="M55" s="95"/>
      <c r="N55" s="95"/>
      <c r="O55" s="95"/>
      <c r="P55" s="95"/>
      <c r="Q55" s="95"/>
      <c r="R55" s="32"/>
      <c r="S55" s="32"/>
      <c r="T55" s="32"/>
      <c r="U55" s="32"/>
      <c r="V55" s="32"/>
      <c r="W55" s="32"/>
      <c r="X55" s="32"/>
      <c r="Y55" s="32"/>
      <c r="Z55" s="32"/>
    </row>
    <row r="56" ht="34.5" customHeight="1">
      <c r="A56" s="1"/>
      <c r="C56" s="102"/>
      <c r="D56" s="100" t="str">
        <f>IF(ISERROR(VLOOKUP(C56,'Matriz SWOT'!$J$5:$K$14,2,FALSE)),"",VLOOKUP(C56,'Matriz SWOT'!$J$5:$K$14,2,FALSE))</f>
        <v/>
      </c>
      <c r="E56" s="102"/>
      <c r="F56" s="100" t="str">
        <f>IF(ISERROR(VLOOKUP(E56,'Matriz SWOT'!$J$5:$K$24,2,FALSE)),"",VLOOKUP(E56,'Matriz SWOT'!$J$5:$K$24,2,FALSE))</f>
        <v/>
      </c>
      <c r="G56" s="100" t="str">
        <f t="shared" si="1"/>
        <v/>
      </c>
      <c r="H56" s="101" t="str">
        <f t="shared" si="2"/>
        <v/>
      </c>
      <c r="I56" s="95"/>
      <c r="J56" s="95"/>
      <c r="K56" s="95"/>
      <c r="L56" s="103"/>
      <c r="M56" s="95"/>
      <c r="N56" s="95"/>
      <c r="O56" s="95"/>
      <c r="P56" s="95"/>
      <c r="Q56" s="95"/>
      <c r="R56" s="32"/>
      <c r="S56" s="32"/>
      <c r="T56" s="32"/>
      <c r="U56" s="32"/>
      <c r="V56" s="32"/>
      <c r="W56" s="32"/>
      <c r="X56" s="32"/>
      <c r="Y56" s="32"/>
      <c r="Z56" s="32"/>
    </row>
    <row r="57" ht="34.5" customHeight="1">
      <c r="A57" s="1"/>
      <c r="C57" s="102"/>
      <c r="D57" s="100" t="str">
        <f>IF(ISERROR(VLOOKUP(C57,'Matriz SWOT'!$J$5:$K$14,2,FALSE)),"",VLOOKUP(C57,'Matriz SWOT'!$J$5:$K$14,2,FALSE))</f>
        <v/>
      </c>
      <c r="E57" s="102"/>
      <c r="F57" s="100" t="str">
        <f>IF(ISERROR(VLOOKUP(E57,'Matriz SWOT'!$J$5:$K$24,2,FALSE)),"",VLOOKUP(E57,'Matriz SWOT'!$J$5:$K$24,2,FALSE))</f>
        <v/>
      </c>
      <c r="G57" s="100" t="str">
        <f t="shared" si="1"/>
        <v/>
      </c>
      <c r="H57" s="101" t="str">
        <f t="shared" si="2"/>
        <v/>
      </c>
      <c r="I57" s="95"/>
      <c r="J57" s="95"/>
      <c r="K57" s="95"/>
      <c r="L57" s="103"/>
      <c r="M57" s="95"/>
      <c r="N57" s="95"/>
      <c r="O57" s="95"/>
      <c r="P57" s="95"/>
      <c r="Q57" s="95"/>
      <c r="R57" s="32"/>
      <c r="S57" s="32"/>
      <c r="T57" s="32"/>
      <c r="U57" s="32"/>
      <c r="V57" s="32"/>
      <c r="W57" s="32"/>
      <c r="X57" s="32"/>
      <c r="Y57" s="32"/>
      <c r="Z57" s="32"/>
    </row>
    <row r="58" ht="34.5" customHeight="1">
      <c r="A58" s="1"/>
      <c r="C58" s="102"/>
      <c r="D58" s="100" t="str">
        <f>IF(ISERROR(VLOOKUP(C58,'Matriz SWOT'!$J$5:$K$14,2,FALSE)),"",VLOOKUP(C58,'Matriz SWOT'!$J$5:$K$14,2,FALSE))</f>
        <v/>
      </c>
      <c r="E58" s="102"/>
      <c r="F58" s="100" t="str">
        <f>IF(ISERROR(VLOOKUP(E58,'Matriz SWOT'!$J$5:$K$24,2,FALSE)),"",VLOOKUP(E58,'Matriz SWOT'!$J$5:$K$24,2,FALSE))</f>
        <v/>
      </c>
      <c r="G58" s="100" t="str">
        <f t="shared" si="1"/>
        <v/>
      </c>
      <c r="H58" s="101" t="str">
        <f t="shared" si="2"/>
        <v/>
      </c>
      <c r="I58" s="95"/>
      <c r="J58" s="95"/>
      <c r="K58" s="95"/>
      <c r="L58" s="103"/>
      <c r="M58" s="95"/>
      <c r="N58" s="95"/>
      <c r="O58" s="95"/>
      <c r="P58" s="95"/>
      <c r="Q58" s="95"/>
      <c r="R58" s="32"/>
      <c r="S58" s="32"/>
      <c r="T58" s="32"/>
      <c r="U58" s="32"/>
      <c r="V58" s="32"/>
      <c r="W58" s="32"/>
      <c r="X58" s="32"/>
      <c r="Y58" s="32"/>
      <c r="Z58" s="32"/>
    </row>
    <row r="59" ht="34.5" customHeight="1">
      <c r="A59" s="1"/>
      <c r="C59" s="102"/>
      <c r="D59" s="100" t="str">
        <f>IF(ISERROR(VLOOKUP(C59,'Matriz SWOT'!$J$5:$K$14,2,FALSE)),"",VLOOKUP(C59,'Matriz SWOT'!$J$5:$K$14,2,FALSE))</f>
        <v/>
      </c>
      <c r="E59" s="102"/>
      <c r="F59" s="100" t="str">
        <f>IF(ISERROR(VLOOKUP(E59,'Matriz SWOT'!$J$5:$K$24,2,FALSE)),"",VLOOKUP(E59,'Matriz SWOT'!$J$5:$K$24,2,FALSE))</f>
        <v/>
      </c>
      <c r="G59" s="100" t="str">
        <f t="shared" si="1"/>
        <v/>
      </c>
      <c r="H59" s="101" t="str">
        <f t="shared" si="2"/>
        <v/>
      </c>
      <c r="I59" s="95"/>
      <c r="J59" s="95"/>
      <c r="K59" s="95"/>
      <c r="L59" s="103"/>
      <c r="M59" s="95"/>
      <c r="N59" s="95"/>
      <c r="O59" s="95"/>
      <c r="P59" s="95"/>
      <c r="Q59" s="95"/>
      <c r="R59" s="32"/>
      <c r="S59" s="32"/>
      <c r="T59" s="32"/>
      <c r="U59" s="32"/>
      <c r="V59" s="32"/>
      <c r="W59" s="32"/>
      <c r="X59" s="32"/>
      <c r="Y59" s="32"/>
      <c r="Z59" s="32"/>
    </row>
    <row r="60" ht="34.5" customHeight="1">
      <c r="A60" s="1"/>
      <c r="C60" s="102"/>
      <c r="D60" s="100" t="str">
        <f>IF(ISERROR(VLOOKUP(C60,'Matriz SWOT'!$J$5:$K$14,2,FALSE)),"",VLOOKUP(C60,'Matriz SWOT'!$J$5:$K$14,2,FALSE))</f>
        <v/>
      </c>
      <c r="E60" s="102"/>
      <c r="F60" s="100" t="str">
        <f>IF(ISERROR(VLOOKUP(E60,'Matriz SWOT'!$J$5:$K$24,2,FALSE)),"",VLOOKUP(E60,'Matriz SWOT'!$J$5:$K$24,2,FALSE))</f>
        <v/>
      </c>
      <c r="G60" s="100" t="str">
        <f t="shared" si="1"/>
        <v/>
      </c>
      <c r="H60" s="101" t="str">
        <f t="shared" si="2"/>
        <v/>
      </c>
      <c r="I60" s="95"/>
      <c r="J60" s="95"/>
      <c r="K60" s="95"/>
      <c r="L60" s="103"/>
      <c r="M60" s="95"/>
      <c r="N60" s="95"/>
      <c r="O60" s="95"/>
      <c r="P60" s="95"/>
      <c r="Q60" s="95"/>
      <c r="R60" s="32"/>
      <c r="S60" s="32"/>
      <c r="T60" s="32"/>
      <c r="U60" s="32"/>
      <c r="V60" s="32"/>
      <c r="W60" s="32"/>
      <c r="X60" s="32"/>
      <c r="Y60" s="32"/>
      <c r="Z60" s="32"/>
    </row>
    <row r="61" ht="34.5" customHeight="1">
      <c r="A61" s="1"/>
      <c r="C61" s="102"/>
      <c r="D61" s="100" t="str">
        <f>IF(ISERROR(VLOOKUP(C61,'Matriz SWOT'!$J$5:$K$14,2,FALSE)),"",VLOOKUP(C61,'Matriz SWOT'!$J$5:$K$14,2,FALSE))</f>
        <v/>
      </c>
      <c r="E61" s="102"/>
      <c r="F61" s="100" t="str">
        <f>IF(ISERROR(VLOOKUP(E61,'Matriz SWOT'!$J$5:$K$24,2,FALSE)),"",VLOOKUP(E61,'Matriz SWOT'!$J$5:$K$24,2,FALSE))</f>
        <v/>
      </c>
      <c r="G61" s="100" t="str">
        <f t="shared" si="1"/>
        <v/>
      </c>
      <c r="H61" s="101" t="str">
        <f t="shared" si="2"/>
        <v/>
      </c>
      <c r="I61" s="95"/>
      <c r="J61" s="95"/>
      <c r="K61" s="95"/>
      <c r="L61" s="103"/>
      <c r="M61" s="95"/>
      <c r="N61" s="95"/>
      <c r="O61" s="95"/>
      <c r="P61" s="95"/>
      <c r="Q61" s="95"/>
      <c r="R61" s="32"/>
      <c r="S61" s="32"/>
      <c r="T61" s="32"/>
      <c r="U61" s="32"/>
      <c r="V61" s="32"/>
      <c r="W61" s="32"/>
      <c r="X61" s="32"/>
      <c r="Y61" s="32"/>
      <c r="Z61" s="32"/>
    </row>
    <row r="62" ht="34.5" customHeight="1">
      <c r="A62" s="1"/>
      <c r="C62" s="102"/>
      <c r="D62" s="100" t="str">
        <f>IF(ISERROR(VLOOKUP(C62,'Matriz SWOT'!$J$5:$K$14,2,FALSE)),"",VLOOKUP(C62,'Matriz SWOT'!$J$5:$K$14,2,FALSE))</f>
        <v/>
      </c>
      <c r="E62" s="102"/>
      <c r="F62" s="100" t="str">
        <f>IF(ISERROR(VLOOKUP(E62,'Matriz SWOT'!$J$5:$K$24,2,FALSE)),"",VLOOKUP(E62,'Matriz SWOT'!$J$5:$K$24,2,FALSE))</f>
        <v/>
      </c>
      <c r="G62" s="100" t="str">
        <f t="shared" si="1"/>
        <v/>
      </c>
      <c r="H62" s="101" t="str">
        <f t="shared" si="2"/>
        <v/>
      </c>
      <c r="I62" s="95"/>
      <c r="J62" s="95"/>
      <c r="K62" s="95"/>
      <c r="L62" s="103"/>
      <c r="M62" s="95"/>
      <c r="N62" s="95"/>
      <c r="O62" s="95"/>
      <c r="P62" s="95"/>
      <c r="Q62" s="95"/>
      <c r="R62" s="32"/>
      <c r="S62" s="32"/>
      <c r="T62" s="32"/>
      <c r="U62" s="32"/>
      <c r="V62" s="32"/>
      <c r="W62" s="32"/>
      <c r="X62" s="32"/>
      <c r="Y62" s="32"/>
      <c r="Z62" s="32"/>
    </row>
    <row r="63" ht="34.5" customHeight="1">
      <c r="A63" s="1"/>
      <c r="C63" s="102"/>
      <c r="D63" s="100" t="str">
        <f>IF(ISERROR(VLOOKUP(C63,'Matriz SWOT'!$J$5:$K$14,2,FALSE)),"",VLOOKUP(C63,'Matriz SWOT'!$J$5:$K$14,2,FALSE))</f>
        <v/>
      </c>
      <c r="E63" s="102"/>
      <c r="F63" s="100" t="str">
        <f>IF(ISERROR(VLOOKUP(E63,'Matriz SWOT'!$J$5:$K$24,2,FALSE)),"",VLOOKUP(E63,'Matriz SWOT'!$J$5:$K$24,2,FALSE))</f>
        <v/>
      </c>
      <c r="G63" s="100" t="str">
        <f t="shared" si="1"/>
        <v/>
      </c>
      <c r="H63" s="101" t="str">
        <f t="shared" si="2"/>
        <v/>
      </c>
      <c r="I63" s="95"/>
      <c r="J63" s="95"/>
      <c r="K63" s="95"/>
      <c r="L63" s="103"/>
      <c r="M63" s="95"/>
      <c r="N63" s="95"/>
      <c r="O63" s="95"/>
      <c r="P63" s="95"/>
      <c r="Q63" s="95"/>
      <c r="R63" s="32"/>
      <c r="S63" s="32"/>
      <c r="T63" s="32"/>
      <c r="U63" s="32"/>
      <c r="V63" s="32"/>
      <c r="W63" s="32"/>
      <c r="X63" s="32"/>
      <c r="Y63" s="32"/>
      <c r="Z63" s="32"/>
    </row>
    <row r="64" ht="34.5" customHeight="1">
      <c r="A64" s="1"/>
      <c r="C64" s="102"/>
      <c r="D64" s="100" t="str">
        <f>IF(ISERROR(VLOOKUP(C64,'Matriz SWOT'!$J$5:$K$14,2,FALSE)),"",VLOOKUP(C64,'Matriz SWOT'!$J$5:$K$14,2,FALSE))</f>
        <v/>
      </c>
      <c r="E64" s="102"/>
      <c r="F64" s="100" t="str">
        <f>IF(ISERROR(VLOOKUP(E64,'Matriz SWOT'!$J$5:$K$24,2,FALSE)),"",VLOOKUP(E64,'Matriz SWOT'!$J$5:$K$24,2,FALSE))</f>
        <v/>
      </c>
      <c r="G64" s="100" t="str">
        <f t="shared" si="1"/>
        <v/>
      </c>
      <c r="H64" s="101" t="str">
        <f t="shared" si="2"/>
        <v/>
      </c>
      <c r="I64" s="95"/>
      <c r="J64" s="95"/>
      <c r="K64" s="95"/>
      <c r="L64" s="103"/>
      <c r="M64" s="95"/>
      <c r="N64" s="95"/>
      <c r="O64" s="95"/>
      <c r="P64" s="95"/>
      <c r="Q64" s="95"/>
      <c r="R64" s="32"/>
      <c r="S64" s="32"/>
      <c r="T64" s="32"/>
      <c r="U64" s="32"/>
      <c r="V64" s="32"/>
      <c r="W64" s="32"/>
      <c r="X64" s="32"/>
      <c r="Y64" s="32"/>
      <c r="Z64" s="32"/>
    </row>
    <row r="65" ht="34.5" customHeight="1">
      <c r="A65" s="1"/>
      <c r="C65" s="102"/>
      <c r="D65" s="100" t="str">
        <f>IF(ISERROR(VLOOKUP(C65,'Matriz SWOT'!$J$5:$K$14,2,FALSE)),"",VLOOKUP(C65,'Matriz SWOT'!$J$5:$K$14,2,FALSE))</f>
        <v/>
      </c>
      <c r="E65" s="102"/>
      <c r="F65" s="100" t="str">
        <f>IF(ISERROR(VLOOKUP(E65,'Matriz SWOT'!$J$5:$K$24,2,FALSE)),"",VLOOKUP(E65,'Matriz SWOT'!$J$5:$K$24,2,FALSE))</f>
        <v/>
      </c>
      <c r="G65" s="100" t="str">
        <f t="shared" si="1"/>
        <v/>
      </c>
      <c r="H65" s="101" t="str">
        <f t="shared" si="2"/>
        <v/>
      </c>
      <c r="I65" s="95"/>
      <c r="J65" s="95"/>
      <c r="K65" s="95"/>
      <c r="L65" s="103"/>
      <c r="M65" s="95"/>
      <c r="N65" s="95"/>
      <c r="O65" s="95"/>
      <c r="P65" s="95"/>
      <c r="Q65" s="95"/>
      <c r="R65" s="32"/>
      <c r="S65" s="32"/>
      <c r="T65" s="32"/>
      <c r="U65" s="32"/>
      <c r="V65" s="32"/>
      <c r="W65" s="32"/>
      <c r="X65" s="32"/>
      <c r="Y65" s="32"/>
      <c r="Z65" s="32"/>
    </row>
    <row r="66" ht="34.5" customHeight="1">
      <c r="A66" s="1"/>
      <c r="C66" s="102"/>
      <c r="D66" s="100" t="str">
        <f>IF(ISERROR(VLOOKUP(C66,'Matriz SWOT'!$J$5:$K$14,2,FALSE)),"",VLOOKUP(C66,'Matriz SWOT'!$J$5:$K$14,2,FALSE))</f>
        <v/>
      </c>
      <c r="E66" s="102"/>
      <c r="F66" s="100" t="str">
        <f>IF(ISERROR(VLOOKUP(E66,'Matriz SWOT'!$J$5:$K$24,2,FALSE)),"",VLOOKUP(E66,'Matriz SWOT'!$J$5:$K$24,2,FALSE))</f>
        <v/>
      </c>
      <c r="G66" s="100" t="str">
        <f t="shared" si="1"/>
        <v/>
      </c>
      <c r="H66" s="101" t="str">
        <f t="shared" si="2"/>
        <v/>
      </c>
      <c r="I66" s="95"/>
      <c r="J66" s="95"/>
      <c r="K66" s="95"/>
      <c r="L66" s="103"/>
      <c r="M66" s="95"/>
      <c r="N66" s="95"/>
      <c r="O66" s="95"/>
      <c r="P66" s="95"/>
      <c r="Q66" s="95"/>
      <c r="R66" s="32"/>
      <c r="S66" s="32"/>
      <c r="T66" s="32"/>
      <c r="U66" s="32"/>
      <c r="V66" s="32"/>
      <c r="W66" s="32"/>
      <c r="X66" s="32"/>
      <c r="Y66" s="32"/>
      <c r="Z66" s="32"/>
    </row>
    <row r="67" ht="34.5" customHeight="1">
      <c r="A67" s="1"/>
      <c r="C67" s="102"/>
      <c r="D67" s="100" t="str">
        <f>IF(ISERROR(VLOOKUP(C67,'Matriz SWOT'!$J$5:$K$14,2,FALSE)),"",VLOOKUP(C67,'Matriz SWOT'!$J$5:$K$14,2,FALSE))</f>
        <v/>
      </c>
      <c r="E67" s="102"/>
      <c r="F67" s="100" t="str">
        <f>IF(ISERROR(VLOOKUP(E67,'Matriz SWOT'!$J$5:$K$24,2,FALSE)),"",VLOOKUP(E67,'Matriz SWOT'!$J$5:$K$24,2,FALSE))</f>
        <v/>
      </c>
      <c r="G67" s="100" t="str">
        <f t="shared" si="1"/>
        <v/>
      </c>
      <c r="H67" s="101" t="str">
        <f t="shared" si="2"/>
        <v/>
      </c>
      <c r="I67" s="95"/>
      <c r="J67" s="95"/>
      <c r="K67" s="95"/>
      <c r="L67" s="103"/>
      <c r="M67" s="95"/>
      <c r="N67" s="95"/>
      <c r="O67" s="95"/>
      <c r="P67" s="95"/>
      <c r="Q67" s="95"/>
      <c r="R67" s="32"/>
      <c r="S67" s="32"/>
      <c r="T67" s="32"/>
      <c r="U67" s="32"/>
      <c r="V67" s="32"/>
      <c r="W67" s="32"/>
      <c r="X67" s="32"/>
      <c r="Y67" s="32"/>
      <c r="Z67" s="32"/>
    </row>
    <row r="68" ht="34.5" customHeight="1">
      <c r="A68" s="1"/>
      <c r="C68" s="102"/>
      <c r="D68" s="100" t="str">
        <f>IF(ISERROR(VLOOKUP(C68,'Matriz SWOT'!$J$5:$K$14,2,FALSE)),"",VLOOKUP(C68,'Matriz SWOT'!$J$5:$K$14,2,FALSE))</f>
        <v/>
      </c>
      <c r="E68" s="102"/>
      <c r="F68" s="100" t="str">
        <f>IF(ISERROR(VLOOKUP(E68,'Matriz SWOT'!$J$5:$K$24,2,FALSE)),"",VLOOKUP(E68,'Matriz SWOT'!$J$5:$K$24,2,FALSE))</f>
        <v/>
      </c>
      <c r="G68" s="100" t="str">
        <f t="shared" si="1"/>
        <v/>
      </c>
      <c r="H68" s="101" t="str">
        <f t="shared" si="2"/>
        <v/>
      </c>
      <c r="I68" s="95"/>
      <c r="J68" s="95"/>
      <c r="K68" s="95"/>
      <c r="L68" s="103"/>
      <c r="M68" s="95"/>
      <c r="N68" s="95"/>
      <c r="O68" s="95"/>
      <c r="P68" s="95"/>
      <c r="Q68" s="95"/>
      <c r="R68" s="32"/>
      <c r="S68" s="32"/>
      <c r="T68" s="32"/>
      <c r="U68" s="32"/>
      <c r="V68" s="32"/>
      <c r="W68" s="32"/>
      <c r="X68" s="32"/>
      <c r="Y68" s="32"/>
      <c r="Z68" s="32"/>
    </row>
    <row r="69" ht="34.5" customHeight="1">
      <c r="A69" s="1"/>
      <c r="C69" s="102"/>
      <c r="D69" s="100" t="str">
        <f>IF(ISERROR(VLOOKUP(C69,'Matriz SWOT'!$J$5:$K$14,2,FALSE)),"",VLOOKUP(C69,'Matriz SWOT'!$J$5:$K$14,2,FALSE))</f>
        <v/>
      </c>
      <c r="E69" s="102"/>
      <c r="F69" s="100" t="str">
        <f>IF(ISERROR(VLOOKUP(E69,'Matriz SWOT'!$J$5:$K$24,2,FALSE)),"",VLOOKUP(E69,'Matriz SWOT'!$J$5:$K$24,2,FALSE))</f>
        <v/>
      </c>
      <c r="G69" s="100" t="str">
        <f t="shared" si="1"/>
        <v/>
      </c>
      <c r="H69" s="101" t="str">
        <f t="shared" si="2"/>
        <v/>
      </c>
      <c r="I69" s="95"/>
      <c r="J69" s="95"/>
      <c r="K69" s="95"/>
      <c r="L69" s="103"/>
      <c r="M69" s="95"/>
      <c r="N69" s="95"/>
      <c r="O69" s="95"/>
      <c r="P69" s="95"/>
      <c r="Q69" s="95"/>
      <c r="R69" s="32"/>
      <c r="S69" s="32"/>
      <c r="T69" s="32"/>
      <c r="U69" s="32"/>
      <c r="V69" s="32"/>
      <c r="W69" s="32"/>
      <c r="X69" s="32"/>
      <c r="Y69" s="32"/>
      <c r="Z69" s="32"/>
    </row>
    <row r="70" ht="34.5" customHeight="1">
      <c r="A70" s="1"/>
      <c r="C70" s="102"/>
      <c r="D70" s="100" t="str">
        <f>IF(ISERROR(VLOOKUP(C70,'Matriz SWOT'!$J$5:$K$14,2,FALSE)),"",VLOOKUP(C70,'Matriz SWOT'!$J$5:$K$14,2,FALSE))</f>
        <v/>
      </c>
      <c r="E70" s="102"/>
      <c r="F70" s="100" t="str">
        <f>IF(ISERROR(VLOOKUP(E70,'Matriz SWOT'!$J$5:$K$24,2,FALSE)),"",VLOOKUP(E70,'Matriz SWOT'!$J$5:$K$24,2,FALSE))</f>
        <v/>
      </c>
      <c r="G70" s="100" t="str">
        <f t="shared" si="1"/>
        <v/>
      </c>
      <c r="H70" s="101" t="str">
        <f t="shared" si="2"/>
        <v/>
      </c>
      <c r="I70" s="95"/>
      <c r="J70" s="95"/>
      <c r="K70" s="95"/>
      <c r="L70" s="103"/>
      <c r="M70" s="95"/>
      <c r="N70" s="95"/>
      <c r="O70" s="95"/>
      <c r="P70" s="95"/>
      <c r="Q70" s="95"/>
      <c r="R70" s="32"/>
      <c r="S70" s="32"/>
      <c r="T70" s="32"/>
      <c r="U70" s="32"/>
      <c r="V70" s="32"/>
      <c r="W70" s="32"/>
      <c r="X70" s="32"/>
      <c r="Y70" s="32"/>
      <c r="Z70" s="32"/>
    </row>
    <row r="71" ht="34.5" customHeight="1">
      <c r="A71" s="1"/>
      <c r="C71" s="102"/>
      <c r="D71" s="100" t="str">
        <f>IF(ISERROR(VLOOKUP(C71,'Matriz SWOT'!$J$5:$K$14,2,FALSE)),"",VLOOKUP(C71,'Matriz SWOT'!$J$5:$K$14,2,FALSE))</f>
        <v/>
      </c>
      <c r="E71" s="102"/>
      <c r="F71" s="100" t="str">
        <f>IF(ISERROR(VLOOKUP(E71,'Matriz SWOT'!$J$5:$K$24,2,FALSE)),"",VLOOKUP(E71,'Matriz SWOT'!$J$5:$K$24,2,FALSE))</f>
        <v/>
      </c>
      <c r="G71" s="100" t="str">
        <f t="shared" si="1"/>
        <v/>
      </c>
      <c r="H71" s="101" t="str">
        <f t="shared" si="2"/>
        <v/>
      </c>
      <c r="I71" s="95"/>
      <c r="J71" s="95"/>
      <c r="K71" s="95"/>
      <c r="L71" s="103"/>
      <c r="M71" s="95"/>
      <c r="N71" s="95"/>
      <c r="O71" s="95"/>
      <c r="P71" s="95"/>
      <c r="Q71" s="95"/>
      <c r="R71" s="32"/>
      <c r="S71" s="32"/>
      <c r="T71" s="32"/>
      <c r="U71" s="32"/>
      <c r="V71" s="32"/>
      <c r="W71" s="32"/>
      <c r="X71" s="32"/>
      <c r="Y71" s="32"/>
      <c r="Z71" s="32"/>
    </row>
    <row r="72" ht="34.5" customHeight="1">
      <c r="A72" s="1"/>
      <c r="C72" s="102"/>
      <c r="D72" s="100" t="str">
        <f>IF(ISERROR(VLOOKUP(C72,'Matriz SWOT'!$J$5:$K$14,2,FALSE)),"",VLOOKUP(C72,'Matriz SWOT'!$J$5:$K$14,2,FALSE))</f>
        <v/>
      </c>
      <c r="E72" s="102"/>
      <c r="F72" s="100" t="str">
        <f>IF(ISERROR(VLOOKUP(E72,'Matriz SWOT'!$J$5:$K$24,2,FALSE)),"",VLOOKUP(E72,'Matriz SWOT'!$J$5:$K$24,2,FALSE))</f>
        <v/>
      </c>
      <c r="G72" s="100" t="str">
        <f t="shared" si="1"/>
        <v/>
      </c>
      <c r="H72" s="101" t="str">
        <f t="shared" si="2"/>
        <v/>
      </c>
      <c r="I72" s="95"/>
      <c r="J72" s="95"/>
      <c r="K72" s="95"/>
      <c r="L72" s="103"/>
      <c r="M72" s="95"/>
      <c r="N72" s="95"/>
      <c r="O72" s="95"/>
      <c r="P72" s="95"/>
      <c r="Q72" s="95"/>
      <c r="R72" s="32"/>
      <c r="S72" s="32"/>
      <c r="T72" s="32"/>
      <c r="U72" s="32"/>
      <c r="V72" s="32"/>
      <c r="W72" s="32"/>
      <c r="X72" s="32"/>
      <c r="Y72" s="32"/>
      <c r="Z72" s="32"/>
    </row>
    <row r="73" ht="34.5" customHeight="1">
      <c r="A73" s="1"/>
      <c r="C73" s="102"/>
      <c r="D73" s="100" t="str">
        <f>IF(ISERROR(VLOOKUP(C73,'Matriz SWOT'!$J$5:$K$14,2,FALSE)),"",VLOOKUP(C73,'Matriz SWOT'!$J$5:$K$14,2,FALSE))</f>
        <v/>
      </c>
      <c r="E73" s="102"/>
      <c r="F73" s="100" t="str">
        <f>IF(ISERROR(VLOOKUP(E73,'Matriz SWOT'!$J$5:$K$24,2,FALSE)),"",VLOOKUP(E73,'Matriz SWOT'!$J$5:$K$24,2,FALSE))</f>
        <v/>
      </c>
      <c r="G73" s="100" t="str">
        <f t="shared" si="1"/>
        <v/>
      </c>
      <c r="H73" s="101" t="str">
        <f t="shared" si="2"/>
        <v/>
      </c>
      <c r="I73" s="95"/>
      <c r="J73" s="95"/>
      <c r="K73" s="95"/>
      <c r="L73" s="103"/>
      <c r="M73" s="95"/>
      <c r="N73" s="95"/>
      <c r="O73" s="95"/>
      <c r="P73" s="95"/>
      <c r="Q73" s="95"/>
      <c r="R73" s="32"/>
      <c r="S73" s="32"/>
      <c r="T73" s="32"/>
      <c r="U73" s="32"/>
      <c r="V73" s="32"/>
      <c r="W73" s="32"/>
      <c r="X73" s="32"/>
      <c r="Y73" s="32"/>
      <c r="Z73" s="32"/>
    </row>
    <row r="74" ht="34.5" customHeight="1">
      <c r="A74" s="1"/>
      <c r="C74" s="102"/>
      <c r="D74" s="100" t="str">
        <f>IF(ISERROR(VLOOKUP(C74,'Matriz SWOT'!$J$5:$K$14,2,FALSE)),"",VLOOKUP(C74,'Matriz SWOT'!$J$5:$K$14,2,FALSE))</f>
        <v/>
      </c>
      <c r="E74" s="102"/>
      <c r="F74" s="100" t="str">
        <f>IF(ISERROR(VLOOKUP(E74,'Matriz SWOT'!$J$5:$K$24,2,FALSE)),"",VLOOKUP(E74,'Matriz SWOT'!$J$5:$K$24,2,FALSE))</f>
        <v/>
      </c>
      <c r="G74" s="100" t="str">
        <f t="shared" si="1"/>
        <v/>
      </c>
      <c r="H74" s="101" t="str">
        <f t="shared" si="2"/>
        <v/>
      </c>
      <c r="I74" s="95"/>
      <c r="J74" s="95"/>
      <c r="K74" s="95"/>
      <c r="L74" s="103"/>
      <c r="M74" s="95"/>
      <c r="N74" s="95"/>
      <c r="O74" s="95"/>
      <c r="P74" s="95"/>
      <c r="Q74" s="95"/>
      <c r="R74" s="32"/>
      <c r="S74" s="32"/>
      <c r="T74" s="32"/>
      <c r="U74" s="32"/>
      <c r="V74" s="32"/>
      <c r="W74" s="32"/>
      <c r="X74" s="32"/>
      <c r="Y74" s="32"/>
      <c r="Z74" s="32"/>
    </row>
    <row r="75" ht="34.5" customHeight="1">
      <c r="A75" s="1"/>
      <c r="C75" s="102"/>
      <c r="D75" s="100" t="str">
        <f>IF(ISERROR(VLOOKUP(C75,'Matriz SWOT'!$J$5:$K$14,2,FALSE)),"",VLOOKUP(C75,'Matriz SWOT'!$J$5:$K$14,2,FALSE))</f>
        <v/>
      </c>
      <c r="E75" s="102"/>
      <c r="F75" s="100" t="str">
        <f>IF(ISERROR(VLOOKUP(E75,'Matriz SWOT'!$J$5:$K$24,2,FALSE)),"",VLOOKUP(E75,'Matriz SWOT'!$J$5:$K$24,2,FALSE))</f>
        <v/>
      </c>
      <c r="G75" s="100" t="str">
        <f t="shared" si="1"/>
        <v/>
      </c>
      <c r="H75" s="101" t="str">
        <f t="shared" si="2"/>
        <v/>
      </c>
      <c r="I75" s="95"/>
      <c r="J75" s="95"/>
      <c r="K75" s="95"/>
      <c r="L75" s="103"/>
      <c r="M75" s="95"/>
      <c r="N75" s="95"/>
      <c r="O75" s="95"/>
      <c r="P75" s="95"/>
      <c r="Q75" s="95"/>
      <c r="R75" s="32"/>
      <c r="S75" s="32"/>
      <c r="T75" s="32"/>
      <c r="U75" s="32"/>
      <c r="V75" s="32"/>
      <c r="W75" s="32"/>
      <c r="X75" s="32"/>
      <c r="Y75" s="32"/>
      <c r="Z75" s="32"/>
    </row>
    <row r="76" ht="34.5" customHeight="1">
      <c r="A76" s="1"/>
      <c r="C76" s="102"/>
      <c r="D76" s="100" t="str">
        <f>IF(ISERROR(VLOOKUP(C76,'Matriz SWOT'!$J$5:$K$14,2,FALSE)),"",VLOOKUP(C76,'Matriz SWOT'!$J$5:$K$14,2,FALSE))</f>
        <v/>
      </c>
      <c r="E76" s="102"/>
      <c r="F76" s="100" t="str">
        <f>IF(ISERROR(VLOOKUP(E76,'Matriz SWOT'!$J$5:$K$24,2,FALSE)),"",VLOOKUP(E76,'Matriz SWOT'!$J$5:$K$24,2,FALSE))</f>
        <v/>
      </c>
      <c r="G76" s="100" t="str">
        <f t="shared" si="1"/>
        <v/>
      </c>
      <c r="H76" s="101" t="str">
        <f t="shared" si="2"/>
        <v/>
      </c>
      <c r="I76" s="95"/>
      <c r="J76" s="95"/>
      <c r="K76" s="95"/>
      <c r="L76" s="103"/>
      <c r="M76" s="95"/>
      <c r="N76" s="95"/>
      <c r="O76" s="95"/>
      <c r="P76" s="95"/>
      <c r="Q76" s="95"/>
      <c r="R76" s="32"/>
      <c r="S76" s="32"/>
      <c r="T76" s="32"/>
      <c r="U76" s="32"/>
      <c r="V76" s="32"/>
      <c r="W76" s="32"/>
      <c r="X76" s="32"/>
      <c r="Y76" s="32"/>
      <c r="Z76" s="32"/>
    </row>
    <row r="77" ht="34.5" customHeight="1">
      <c r="A77" s="1"/>
      <c r="C77" s="102"/>
      <c r="D77" s="100" t="str">
        <f>IF(ISERROR(VLOOKUP(C77,'Matriz SWOT'!$J$5:$K$14,2,FALSE)),"",VLOOKUP(C77,'Matriz SWOT'!$J$5:$K$14,2,FALSE))</f>
        <v/>
      </c>
      <c r="E77" s="102"/>
      <c r="F77" s="100" t="str">
        <f>IF(ISERROR(VLOOKUP(E77,'Matriz SWOT'!$J$5:$K$24,2,FALSE)),"",VLOOKUP(E77,'Matriz SWOT'!$J$5:$K$24,2,FALSE))</f>
        <v/>
      </c>
      <c r="G77" s="100" t="str">
        <f t="shared" si="1"/>
        <v/>
      </c>
      <c r="H77" s="101" t="str">
        <f t="shared" si="2"/>
        <v/>
      </c>
      <c r="I77" s="95"/>
      <c r="J77" s="95"/>
      <c r="K77" s="95"/>
      <c r="L77" s="103"/>
      <c r="M77" s="95"/>
      <c r="N77" s="95"/>
      <c r="O77" s="95"/>
      <c r="P77" s="95"/>
      <c r="Q77" s="95"/>
      <c r="R77" s="32"/>
      <c r="S77" s="32"/>
      <c r="T77" s="32"/>
      <c r="U77" s="32"/>
      <c r="V77" s="32"/>
      <c r="W77" s="32"/>
      <c r="X77" s="32"/>
      <c r="Y77" s="32"/>
      <c r="Z77" s="32"/>
    </row>
    <row r="78" ht="34.5" customHeight="1">
      <c r="A78" s="1"/>
      <c r="C78" s="102"/>
      <c r="D78" s="100" t="str">
        <f>IF(ISERROR(VLOOKUP(C78,'Matriz SWOT'!$J$5:$K$14,2,FALSE)),"",VLOOKUP(C78,'Matriz SWOT'!$J$5:$K$14,2,FALSE))</f>
        <v/>
      </c>
      <c r="E78" s="102"/>
      <c r="F78" s="100" t="str">
        <f>IF(ISERROR(VLOOKUP(E78,'Matriz SWOT'!$J$5:$K$24,2,FALSE)),"",VLOOKUP(E78,'Matriz SWOT'!$J$5:$K$24,2,FALSE))</f>
        <v/>
      </c>
      <c r="G78" s="100" t="str">
        <f t="shared" si="1"/>
        <v/>
      </c>
      <c r="H78" s="101" t="str">
        <f t="shared" si="2"/>
        <v/>
      </c>
      <c r="I78" s="95"/>
      <c r="J78" s="95"/>
      <c r="K78" s="95"/>
      <c r="L78" s="103"/>
      <c r="M78" s="95"/>
      <c r="N78" s="95"/>
      <c r="O78" s="95"/>
      <c r="P78" s="95"/>
      <c r="Q78" s="95"/>
      <c r="R78" s="32"/>
      <c r="S78" s="32"/>
      <c r="T78" s="32"/>
      <c r="U78" s="32"/>
      <c r="V78" s="32"/>
      <c r="W78" s="32"/>
      <c r="X78" s="32"/>
      <c r="Y78" s="32"/>
      <c r="Z78" s="32"/>
    </row>
    <row r="79" ht="34.5" customHeight="1">
      <c r="A79" s="1"/>
      <c r="C79" s="102"/>
      <c r="D79" s="100" t="str">
        <f>IF(ISERROR(VLOOKUP(C79,'Matriz SWOT'!$J$5:$K$14,2,FALSE)),"",VLOOKUP(C79,'Matriz SWOT'!$J$5:$K$14,2,FALSE))</f>
        <v/>
      </c>
      <c r="E79" s="102"/>
      <c r="F79" s="100" t="str">
        <f>IF(ISERROR(VLOOKUP(E79,'Matriz SWOT'!$J$5:$K$24,2,FALSE)),"",VLOOKUP(E79,'Matriz SWOT'!$J$5:$K$24,2,FALSE))</f>
        <v/>
      </c>
      <c r="G79" s="100" t="str">
        <f t="shared" si="1"/>
        <v/>
      </c>
      <c r="H79" s="101" t="str">
        <f t="shared" si="2"/>
        <v/>
      </c>
      <c r="I79" s="95"/>
      <c r="J79" s="95"/>
      <c r="K79" s="95"/>
      <c r="L79" s="103"/>
      <c r="M79" s="95"/>
      <c r="N79" s="95"/>
      <c r="O79" s="95"/>
      <c r="P79" s="95"/>
      <c r="Q79" s="95"/>
      <c r="R79" s="32"/>
      <c r="S79" s="32"/>
      <c r="T79" s="32"/>
      <c r="U79" s="32"/>
      <c r="V79" s="32"/>
      <c r="W79" s="32"/>
      <c r="X79" s="32"/>
      <c r="Y79" s="32"/>
      <c r="Z79" s="32"/>
    </row>
    <row r="80" ht="34.5" customHeight="1">
      <c r="A80" s="1"/>
      <c r="C80" s="102"/>
      <c r="D80" s="100" t="str">
        <f>IF(ISERROR(VLOOKUP(C80,'Matriz SWOT'!$J$5:$K$14,2,FALSE)),"",VLOOKUP(C80,'Matriz SWOT'!$J$5:$K$14,2,FALSE))</f>
        <v/>
      </c>
      <c r="E80" s="102"/>
      <c r="F80" s="100" t="str">
        <f>IF(ISERROR(VLOOKUP(E80,'Matriz SWOT'!$J$5:$K$24,2,FALSE)),"",VLOOKUP(E80,'Matriz SWOT'!$J$5:$K$24,2,FALSE))</f>
        <v/>
      </c>
      <c r="G80" s="100" t="str">
        <f t="shared" si="1"/>
        <v/>
      </c>
      <c r="H80" s="101" t="str">
        <f t="shared" si="2"/>
        <v/>
      </c>
      <c r="I80" s="95"/>
      <c r="J80" s="95"/>
      <c r="K80" s="95"/>
      <c r="L80" s="103"/>
      <c r="M80" s="95"/>
      <c r="N80" s="95"/>
      <c r="O80" s="95"/>
      <c r="P80" s="95"/>
      <c r="Q80" s="95"/>
      <c r="R80" s="32"/>
      <c r="S80" s="32"/>
      <c r="T80" s="32"/>
      <c r="U80" s="32"/>
      <c r="V80" s="32"/>
      <c r="W80" s="32"/>
      <c r="X80" s="32"/>
      <c r="Y80" s="32"/>
      <c r="Z80" s="32"/>
    </row>
    <row r="81" ht="34.5" customHeight="1">
      <c r="A81" s="1"/>
      <c r="C81" s="102"/>
      <c r="D81" s="100" t="str">
        <f>IF(ISERROR(VLOOKUP(C81,'Matriz SWOT'!$J$5:$K$14,2,FALSE)),"",VLOOKUP(C81,'Matriz SWOT'!$J$5:$K$14,2,FALSE))</f>
        <v/>
      </c>
      <c r="E81" s="102"/>
      <c r="F81" s="100" t="str">
        <f>IF(ISERROR(VLOOKUP(E81,'Matriz SWOT'!$J$5:$K$24,2,FALSE)),"",VLOOKUP(E81,'Matriz SWOT'!$J$5:$K$24,2,FALSE))</f>
        <v/>
      </c>
      <c r="G81" s="100" t="str">
        <f t="shared" si="1"/>
        <v/>
      </c>
      <c r="H81" s="101" t="str">
        <f t="shared" si="2"/>
        <v/>
      </c>
      <c r="I81" s="95"/>
      <c r="J81" s="95"/>
      <c r="K81" s="95"/>
      <c r="L81" s="103"/>
      <c r="M81" s="95"/>
      <c r="N81" s="95"/>
      <c r="O81" s="95"/>
      <c r="P81" s="95"/>
      <c r="Q81" s="95"/>
      <c r="R81" s="32"/>
      <c r="S81" s="32"/>
      <c r="T81" s="32"/>
      <c r="U81" s="32"/>
      <c r="V81" s="32"/>
      <c r="W81" s="32"/>
      <c r="X81" s="32"/>
      <c r="Y81" s="32"/>
      <c r="Z81" s="32"/>
    </row>
    <row r="82" ht="34.5" customHeight="1">
      <c r="A82" s="1"/>
      <c r="C82" s="102"/>
      <c r="D82" s="100" t="str">
        <f>IF(ISERROR(VLOOKUP(C82,'Matriz SWOT'!$J$5:$K$14,2,FALSE)),"",VLOOKUP(C82,'Matriz SWOT'!$J$5:$K$14,2,FALSE))</f>
        <v/>
      </c>
      <c r="E82" s="102"/>
      <c r="F82" s="100" t="str">
        <f>IF(ISERROR(VLOOKUP(E82,'Matriz SWOT'!$J$5:$K$24,2,FALSE)),"",VLOOKUP(E82,'Matriz SWOT'!$J$5:$K$24,2,FALSE))</f>
        <v/>
      </c>
      <c r="G82" s="100" t="str">
        <f t="shared" si="1"/>
        <v/>
      </c>
      <c r="H82" s="101" t="str">
        <f t="shared" si="2"/>
        <v/>
      </c>
      <c r="I82" s="95"/>
      <c r="J82" s="95"/>
      <c r="K82" s="95"/>
      <c r="L82" s="103"/>
      <c r="M82" s="95"/>
      <c r="N82" s="95"/>
      <c r="O82" s="95"/>
      <c r="P82" s="95"/>
      <c r="Q82" s="95"/>
      <c r="R82" s="32"/>
      <c r="S82" s="32"/>
      <c r="T82" s="32"/>
      <c r="U82" s="32"/>
      <c r="V82" s="32"/>
      <c r="W82" s="32"/>
      <c r="X82" s="32"/>
      <c r="Y82" s="32"/>
      <c r="Z82" s="32"/>
    </row>
    <row r="83" ht="34.5" customHeight="1">
      <c r="A83" s="1"/>
      <c r="C83" s="102"/>
      <c r="D83" s="100" t="str">
        <f>IF(ISERROR(VLOOKUP(C83,'Matriz SWOT'!$J$5:$K$14,2,FALSE)),"",VLOOKUP(C83,'Matriz SWOT'!$J$5:$K$14,2,FALSE))</f>
        <v/>
      </c>
      <c r="E83" s="102"/>
      <c r="F83" s="100" t="str">
        <f>IF(ISERROR(VLOOKUP(E83,'Matriz SWOT'!$J$5:$K$24,2,FALSE)),"",VLOOKUP(E83,'Matriz SWOT'!$J$5:$K$24,2,FALSE))</f>
        <v/>
      </c>
      <c r="G83" s="100" t="str">
        <f t="shared" si="1"/>
        <v/>
      </c>
      <c r="H83" s="101" t="str">
        <f t="shared" si="2"/>
        <v/>
      </c>
      <c r="I83" s="95"/>
      <c r="J83" s="95"/>
      <c r="K83" s="95"/>
      <c r="L83" s="103"/>
      <c r="M83" s="95"/>
      <c r="N83" s="95"/>
      <c r="O83" s="95"/>
      <c r="P83" s="95"/>
      <c r="Q83" s="95"/>
      <c r="R83" s="32"/>
      <c r="S83" s="32"/>
      <c r="T83" s="32"/>
      <c r="U83" s="32"/>
      <c r="V83" s="32"/>
      <c r="W83" s="32"/>
      <c r="X83" s="32"/>
      <c r="Y83" s="32"/>
      <c r="Z83" s="32"/>
    </row>
    <row r="84" ht="34.5" customHeight="1">
      <c r="A84" s="1"/>
      <c r="C84" s="102"/>
      <c r="D84" s="100" t="str">
        <f>IF(ISERROR(VLOOKUP(C84,'Matriz SWOT'!$J$5:$K$14,2,FALSE)),"",VLOOKUP(C84,'Matriz SWOT'!$J$5:$K$14,2,FALSE))</f>
        <v/>
      </c>
      <c r="E84" s="102"/>
      <c r="F84" s="100" t="str">
        <f>IF(ISERROR(VLOOKUP(E84,'Matriz SWOT'!$J$5:$K$24,2,FALSE)),"",VLOOKUP(E84,'Matriz SWOT'!$J$5:$K$24,2,FALSE))</f>
        <v/>
      </c>
      <c r="G84" s="100" t="str">
        <f t="shared" si="1"/>
        <v/>
      </c>
      <c r="H84" s="101" t="str">
        <f t="shared" si="2"/>
        <v/>
      </c>
      <c r="I84" s="95"/>
      <c r="J84" s="95"/>
      <c r="K84" s="95"/>
      <c r="L84" s="103"/>
      <c r="M84" s="95"/>
      <c r="N84" s="95"/>
      <c r="O84" s="95"/>
      <c r="P84" s="95"/>
      <c r="Q84" s="95"/>
      <c r="R84" s="32"/>
      <c r="S84" s="32"/>
      <c r="T84" s="32"/>
      <c r="U84" s="32"/>
      <c r="V84" s="32"/>
      <c r="W84" s="32"/>
      <c r="X84" s="32"/>
      <c r="Y84" s="32"/>
      <c r="Z84" s="32"/>
    </row>
    <row r="85" ht="34.5" customHeight="1">
      <c r="A85" s="1"/>
      <c r="C85" s="102"/>
      <c r="D85" s="100" t="str">
        <f>IF(ISERROR(VLOOKUP(C85,'Matriz SWOT'!$J$5:$K$14,2,FALSE)),"",VLOOKUP(C85,'Matriz SWOT'!$J$5:$K$14,2,FALSE))</f>
        <v/>
      </c>
      <c r="E85" s="102"/>
      <c r="F85" s="100" t="str">
        <f>IF(ISERROR(VLOOKUP(E85,'Matriz SWOT'!$J$5:$K$24,2,FALSE)),"",VLOOKUP(E85,'Matriz SWOT'!$J$5:$K$24,2,FALSE))</f>
        <v/>
      </c>
      <c r="G85" s="100" t="str">
        <f t="shared" si="1"/>
        <v/>
      </c>
      <c r="H85" s="101" t="str">
        <f t="shared" si="2"/>
        <v/>
      </c>
      <c r="I85" s="95"/>
      <c r="J85" s="95"/>
      <c r="K85" s="95"/>
      <c r="L85" s="103"/>
      <c r="M85" s="95"/>
      <c r="N85" s="95"/>
      <c r="O85" s="95"/>
      <c r="P85" s="95"/>
      <c r="Q85" s="95"/>
      <c r="R85" s="32"/>
      <c r="S85" s="32"/>
      <c r="T85" s="32"/>
      <c r="U85" s="32"/>
      <c r="V85" s="32"/>
      <c r="W85" s="32"/>
      <c r="X85" s="32"/>
      <c r="Y85" s="32"/>
      <c r="Z85" s="32"/>
    </row>
    <row r="86" ht="34.5" customHeight="1">
      <c r="A86" s="1"/>
      <c r="C86" s="102"/>
      <c r="D86" s="100" t="str">
        <f>IF(ISERROR(VLOOKUP(C86,'Matriz SWOT'!$J$5:$K$14,2,FALSE)),"",VLOOKUP(C86,'Matriz SWOT'!$J$5:$K$14,2,FALSE))</f>
        <v/>
      </c>
      <c r="E86" s="102"/>
      <c r="F86" s="100" t="str">
        <f>IF(ISERROR(VLOOKUP(E86,'Matriz SWOT'!$J$5:$K$24,2,FALSE)),"",VLOOKUP(E86,'Matriz SWOT'!$J$5:$K$24,2,FALSE))</f>
        <v/>
      </c>
      <c r="G86" s="100" t="str">
        <f t="shared" si="1"/>
        <v/>
      </c>
      <c r="H86" s="101" t="str">
        <f t="shared" si="2"/>
        <v/>
      </c>
      <c r="I86" s="95"/>
      <c r="J86" s="95"/>
      <c r="K86" s="95"/>
      <c r="L86" s="103"/>
      <c r="M86" s="95"/>
      <c r="N86" s="95"/>
      <c r="O86" s="95"/>
      <c r="P86" s="95"/>
      <c r="Q86" s="95"/>
      <c r="R86" s="32"/>
      <c r="S86" s="32"/>
      <c r="T86" s="32"/>
      <c r="U86" s="32"/>
      <c r="V86" s="32"/>
      <c r="W86" s="32"/>
      <c r="X86" s="32"/>
      <c r="Y86" s="32"/>
      <c r="Z86" s="32"/>
    </row>
    <row r="87" ht="34.5" customHeight="1">
      <c r="A87" s="1"/>
      <c r="C87" s="102"/>
      <c r="D87" s="100" t="str">
        <f>IF(ISERROR(VLOOKUP(C87,'Matriz SWOT'!$J$5:$K$14,2,FALSE)),"",VLOOKUP(C87,'Matriz SWOT'!$J$5:$K$14,2,FALSE))</f>
        <v/>
      </c>
      <c r="E87" s="102"/>
      <c r="F87" s="100" t="str">
        <f>IF(ISERROR(VLOOKUP(E87,'Matriz SWOT'!$J$5:$K$24,2,FALSE)),"",VLOOKUP(E87,'Matriz SWOT'!$J$5:$K$24,2,FALSE))</f>
        <v/>
      </c>
      <c r="G87" s="100" t="str">
        <f t="shared" si="1"/>
        <v/>
      </c>
      <c r="H87" s="101" t="str">
        <f t="shared" si="2"/>
        <v/>
      </c>
      <c r="I87" s="95"/>
      <c r="J87" s="95"/>
      <c r="K87" s="95"/>
      <c r="L87" s="103"/>
      <c r="M87" s="95"/>
      <c r="N87" s="95"/>
      <c r="O87" s="95"/>
      <c r="P87" s="95"/>
      <c r="Q87" s="95"/>
      <c r="R87" s="32"/>
      <c r="S87" s="32"/>
      <c r="T87" s="32"/>
      <c r="U87" s="32"/>
      <c r="V87" s="32"/>
      <c r="W87" s="32"/>
      <c r="X87" s="32"/>
      <c r="Y87" s="32"/>
      <c r="Z87" s="32"/>
    </row>
    <row r="88" ht="34.5" customHeight="1">
      <c r="A88" s="1"/>
      <c r="C88" s="102"/>
      <c r="D88" s="100" t="str">
        <f>IF(ISERROR(VLOOKUP(C88,'Matriz SWOT'!$J$5:$K$14,2,FALSE)),"",VLOOKUP(C88,'Matriz SWOT'!$J$5:$K$14,2,FALSE))</f>
        <v/>
      </c>
      <c r="E88" s="102"/>
      <c r="F88" s="100" t="str">
        <f>IF(ISERROR(VLOOKUP(E88,'Matriz SWOT'!$J$5:$K$24,2,FALSE)),"",VLOOKUP(E88,'Matriz SWOT'!$J$5:$K$24,2,FALSE))</f>
        <v/>
      </c>
      <c r="G88" s="100" t="str">
        <f t="shared" si="1"/>
        <v/>
      </c>
      <c r="H88" s="101" t="str">
        <f t="shared" si="2"/>
        <v/>
      </c>
      <c r="I88" s="95"/>
      <c r="J88" s="95"/>
      <c r="K88" s="95"/>
      <c r="L88" s="103"/>
      <c r="M88" s="95"/>
      <c r="N88" s="95"/>
      <c r="O88" s="95"/>
      <c r="P88" s="95"/>
      <c r="Q88" s="95"/>
      <c r="R88" s="32"/>
      <c r="S88" s="32"/>
      <c r="T88" s="32"/>
      <c r="U88" s="32"/>
      <c r="V88" s="32"/>
      <c r="W88" s="32"/>
      <c r="X88" s="32"/>
      <c r="Y88" s="32"/>
      <c r="Z88" s="32"/>
    </row>
    <row r="89" ht="34.5" customHeight="1">
      <c r="A89" s="1"/>
      <c r="C89" s="102"/>
      <c r="D89" s="100" t="str">
        <f>IF(ISERROR(VLOOKUP(C89,'Matriz SWOT'!$J$5:$K$14,2,FALSE)),"",VLOOKUP(C89,'Matriz SWOT'!$J$5:$K$14,2,FALSE))</f>
        <v/>
      </c>
      <c r="E89" s="102"/>
      <c r="F89" s="100" t="str">
        <f>IF(ISERROR(VLOOKUP(E89,'Matriz SWOT'!$J$5:$K$24,2,FALSE)),"",VLOOKUP(E89,'Matriz SWOT'!$J$5:$K$24,2,FALSE))</f>
        <v/>
      </c>
      <c r="G89" s="100" t="str">
        <f t="shared" si="1"/>
        <v/>
      </c>
      <c r="H89" s="101" t="str">
        <f t="shared" si="2"/>
        <v/>
      </c>
      <c r="I89" s="95"/>
      <c r="J89" s="95"/>
      <c r="K89" s="95"/>
      <c r="L89" s="103"/>
      <c r="M89" s="95"/>
      <c r="N89" s="95"/>
      <c r="O89" s="95"/>
      <c r="P89" s="95"/>
      <c r="Q89" s="95"/>
      <c r="R89" s="32"/>
      <c r="S89" s="32"/>
      <c r="T89" s="32"/>
      <c r="U89" s="32"/>
      <c r="V89" s="32"/>
      <c r="W89" s="32"/>
      <c r="X89" s="32"/>
      <c r="Y89" s="32"/>
      <c r="Z89" s="32"/>
    </row>
    <row r="90" ht="34.5" customHeight="1">
      <c r="A90" s="1"/>
      <c r="C90" s="102"/>
      <c r="D90" s="100" t="str">
        <f>IF(ISERROR(VLOOKUP(C90,'Matriz SWOT'!$J$5:$K$14,2,FALSE)),"",VLOOKUP(C90,'Matriz SWOT'!$J$5:$K$14,2,FALSE))</f>
        <v/>
      </c>
      <c r="E90" s="102"/>
      <c r="F90" s="100" t="str">
        <f>IF(ISERROR(VLOOKUP(E90,'Matriz SWOT'!$J$5:$K$24,2,FALSE)),"",VLOOKUP(E90,'Matriz SWOT'!$J$5:$K$24,2,FALSE))</f>
        <v/>
      </c>
      <c r="G90" s="100" t="str">
        <f t="shared" si="1"/>
        <v/>
      </c>
      <c r="H90" s="101" t="str">
        <f t="shared" si="2"/>
        <v/>
      </c>
      <c r="I90" s="95"/>
      <c r="J90" s="95"/>
      <c r="K90" s="95"/>
      <c r="L90" s="103"/>
      <c r="M90" s="95"/>
      <c r="N90" s="95"/>
      <c r="O90" s="95"/>
      <c r="P90" s="95"/>
      <c r="Q90" s="95"/>
      <c r="R90" s="32"/>
      <c r="S90" s="32"/>
      <c r="T90" s="32"/>
      <c r="U90" s="32"/>
      <c r="V90" s="32"/>
      <c r="W90" s="32"/>
      <c r="X90" s="32"/>
      <c r="Y90" s="32"/>
      <c r="Z90" s="32"/>
    </row>
    <row r="91" ht="34.5" customHeight="1">
      <c r="A91" s="1"/>
      <c r="C91" s="102"/>
      <c r="D91" s="100" t="str">
        <f>IF(ISERROR(VLOOKUP(C91,'Matriz SWOT'!$J$5:$K$14,2,FALSE)),"",VLOOKUP(C91,'Matriz SWOT'!$J$5:$K$14,2,FALSE))</f>
        <v/>
      </c>
      <c r="E91" s="102"/>
      <c r="F91" s="100" t="str">
        <f>IF(ISERROR(VLOOKUP(E91,'Matriz SWOT'!$J$5:$K$24,2,FALSE)),"",VLOOKUP(E91,'Matriz SWOT'!$J$5:$K$24,2,FALSE))</f>
        <v/>
      </c>
      <c r="G91" s="100" t="str">
        <f t="shared" si="1"/>
        <v/>
      </c>
      <c r="H91" s="101" t="str">
        <f t="shared" si="2"/>
        <v/>
      </c>
      <c r="I91" s="95"/>
      <c r="J91" s="95"/>
      <c r="K91" s="95"/>
      <c r="L91" s="103"/>
      <c r="M91" s="95"/>
      <c r="N91" s="95"/>
      <c r="O91" s="95"/>
      <c r="P91" s="95"/>
      <c r="Q91" s="95"/>
      <c r="R91" s="32"/>
      <c r="S91" s="32"/>
      <c r="T91" s="32"/>
      <c r="U91" s="32"/>
      <c r="V91" s="32"/>
      <c r="W91" s="32"/>
      <c r="X91" s="32"/>
      <c r="Y91" s="32"/>
      <c r="Z91" s="32"/>
    </row>
    <row r="92" ht="34.5" customHeight="1">
      <c r="A92" s="1"/>
      <c r="C92" s="102"/>
      <c r="D92" s="100" t="str">
        <f>IF(ISERROR(VLOOKUP(C92,'Matriz SWOT'!$J$5:$K$14,2,FALSE)),"",VLOOKUP(C92,'Matriz SWOT'!$J$5:$K$14,2,FALSE))</f>
        <v/>
      </c>
      <c r="E92" s="102"/>
      <c r="F92" s="100" t="str">
        <f>IF(ISERROR(VLOOKUP(E92,'Matriz SWOT'!$J$5:$K$24,2,FALSE)),"",VLOOKUP(E92,'Matriz SWOT'!$J$5:$K$24,2,FALSE))</f>
        <v/>
      </c>
      <c r="G92" s="100" t="str">
        <f t="shared" si="1"/>
        <v/>
      </c>
      <c r="H92" s="101" t="str">
        <f t="shared" si="2"/>
        <v/>
      </c>
      <c r="I92" s="95"/>
      <c r="J92" s="95"/>
      <c r="K92" s="95"/>
      <c r="L92" s="103"/>
      <c r="M92" s="95"/>
      <c r="N92" s="95"/>
      <c r="O92" s="95"/>
      <c r="P92" s="95"/>
      <c r="Q92" s="95"/>
      <c r="R92" s="32"/>
      <c r="S92" s="32"/>
      <c r="T92" s="32"/>
      <c r="U92" s="32"/>
      <c r="V92" s="32"/>
      <c r="W92" s="32"/>
      <c r="X92" s="32"/>
      <c r="Y92" s="32"/>
      <c r="Z92" s="32"/>
    </row>
    <row r="93" ht="34.5" customHeight="1">
      <c r="A93" s="1"/>
      <c r="C93" s="102"/>
      <c r="D93" s="100" t="str">
        <f>IF(ISERROR(VLOOKUP(C93,'Matriz SWOT'!$J$5:$K$14,2,FALSE)),"",VLOOKUP(C93,'Matriz SWOT'!$J$5:$K$14,2,FALSE))</f>
        <v/>
      </c>
      <c r="E93" s="102"/>
      <c r="F93" s="100" t="str">
        <f>IF(ISERROR(VLOOKUP(E93,'Matriz SWOT'!$J$5:$K$24,2,FALSE)),"",VLOOKUP(E93,'Matriz SWOT'!$J$5:$K$24,2,FALSE))</f>
        <v/>
      </c>
      <c r="G93" s="100" t="str">
        <f t="shared" si="1"/>
        <v/>
      </c>
      <c r="H93" s="101" t="str">
        <f t="shared" si="2"/>
        <v/>
      </c>
      <c r="I93" s="95"/>
      <c r="J93" s="95"/>
      <c r="K93" s="95"/>
      <c r="L93" s="103"/>
      <c r="M93" s="95"/>
      <c r="N93" s="95"/>
      <c r="O93" s="95"/>
      <c r="P93" s="95"/>
      <c r="Q93" s="95"/>
      <c r="R93" s="32"/>
      <c r="S93" s="32"/>
      <c r="T93" s="32"/>
      <c r="U93" s="32"/>
      <c r="V93" s="32"/>
      <c r="W93" s="32"/>
      <c r="X93" s="32"/>
      <c r="Y93" s="32"/>
      <c r="Z93" s="32"/>
    </row>
    <row r="94" ht="34.5" customHeight="1">
      <c r="A94" s="1"/>
      <c r="C94" s="102"/>
      <c r="D94" s="100" t="str">
        <f>IF(ISERROR(VLOOKUP(C94,'Matriz SWOT'!$J$5:$K$14,2,FALSE)),"",VLOOKUP(C94,'Matriz SWOT'!$J$5:$K$14,2,FALSE))</f>
        <v/>
      </c>
      <c r="E94" s="102"/>
      <c r="F94" s="100" t="str">
        <f>IF(ISERROR(VLOOKUP(E94,'Matriz SWOT'!$J$5:$K$24,2,FALSE)),"",VLOOKUP(E94,'Matriz SWOT'!$J$5:$K$24,2,FALSE))</f>
        <v/>
      </c>
      <c r="G94" s="100" t="str">
        <f t="shared" si="1"/>
        <v/>
      </c>
      <c r="H94" s="101" t="str">
        <f t="shared" si="2"/>
        <v/>
      </c>
      <c r="I94" s="95"/>
      <c r="J94" s="95"/>
      <c r="K94" s="95"/>
      <c r="L94" s="103"/>
      <c r="M94" s="95"/>
      <c r="N94" s="95"/>
      <c r="O94" s="95"/>
      <c r="P94" s="95"/>
      <c r="Q94" s="95"/>
      <c r="R94" s="32"/>
      <c r="S94" s="32"/>
      <c r="T94" s="32"/>
      <c r="U94" s="32"/>
      <c r="V94" s="32"/>
      <c r="W94" s="32"/>
      <c r="X94" s="32"/>
      <c r="Y94" s="32"/>
      <c r="Z94" s="32"/>
    </row>
    <row r="95" ht="34.5" customHeight="1">
      <c r="A95" s="1"/>
      <c r="C95" s="102"/>
      <c r="D95" s="100" t="str">
        <f>IF(ISERROR(VLOOKUP(C95,'Matriz SWOT'!$J$5:$K$14,2,FALSE)),"",VLOOKUP(C95,'Matriz SWOT'!$J$5:$K$14,2,FALSE))</f>
        <v/>
      </c>
      <c r="E95" s="102"/>
      <c r="F95" s="100" t="str">
        <f>IF(ISERROR(VLOOKUP(E95,'Matriz SWOT'!$J$5:$K$24,2,FALSE)),"",VLOOKUP(E95,'Matriz SWOT'!$J$5:$K$24,2,FALSE))</f>
        <v/>
      </c>
      <c r="G95" s="100" t="str">
        <f t="shared" si="1"/>
        <v/>
      </c>
      <c r="H95" s="101" t="str">
        <f t="shared" si="2"/>
        <v/>
      </c>
      <c r="I95" s="95"/>
      <c r="J95" s="95"/>
      <c r="K95" s="95"/>
      <c r="L95" s="103"/>
      <c r="M95" s="95"/>
      <c r="N95" s="95"/>
      <c r="O95" s="95"/>
      <c r="P95" s="95"/>
      <c r="Q95" s="95"/>
      <c r="R95" s="32"/>
      <c r="S95" s="32"/>
      <c r="T95" s="32"/>
      <c r="U95" s="32"/>
      <c r="V95" s="32"/>
      <c r="W95" s="32"/>
      <c r="X95" s="32"/>
      <c r="Y95" s="32"/>
      <c r="Z95" s="32"/>
    </row>
    <row r="96" ht="34.5" customHeight="1">
      <c r="A96" s="1"/>
      <c r="C96" s="102"/>
      <c r="D96" s="100" t="str">
        <f>IF(ISERROR(VLOOKUP(C96,'Matriz SWOT'!$J$5:$K$14,2,FALSE)),"",VLOOKUP(C96,'Matriz SWOT'!$J$5:$K$14,2,FALSE))</f>
        <v/>
      </c>
      <c r="E96" s="102"/>
      <c r="F96" s="100" t="str">
        <f>IF(ISERROR(VLOOKUP(E96,'Matriz SWOT'!$J$5:$K$24,2,FALSE)),"",VLOOKUP(E96,'Matriz SWOT'!$J$5:$K$24,2,FALSE))</f>
        <v/>
      </c>
      <c r="G96" s="100" t="str">
        <f t="shared" si="1"/>
        <v/>
      </c>
      <c r="H96" s="101" t="str">
        <f t="shared" si="2"/>
        <v/>
      </c>
      <c r="I96" s="95"/>
      <c r="J96" s="95"/>
      <c r="K96" s="95"/>
      <c r="L96" s="103"/>
      <c r="M96" s="95"/>
      <c r="N96" s="95"/>
      <c r="O96" s="95"/>
      <c r="P96" s="95"/>
      <c r="Q96" s="95"/>
      <c r="R96" s="32"/>
      <c r="S96" s="32"/>
      <c r="T96" s="32"/>
      <c r="U96" s="32"/>
      <c r="V96" s="32"/>
      <c r="W96" s="32"/>
      <c r="X96" s="32"/>
      <c r="Y96" s="32"/>
      <c r="Z96" s="32"/>
    </row>
    <row r="97" ht="34.5" customHeight="1">
      <c r="A97" s="1"/>
      <c r="C97" s="102"/>
      <c r="D97" s="100" t="str">
        <f>IF(ISERROR(VLOOKUP(C97,'Matriz SWOT'!$J$5:$K$14,2,FALSE)),"",VLOOKUP(C97,'Matriz SWOT'!$J$5:$K$14,2,FALSE))</f>
        <v/>
      </c>
      <c r="E97" s="102"/>
      <c r="F97" s="100" t="str">
        <f>IF(ISERROR(VLOOKUP(E97,'Matriz SWOT'!$J$5:$K$24,2,FALSE)),"",VLOOKUP(E97,'Matriz SWOT'!$J$5:$K$24,2,FALSE))</f>
        <v/>
      </c>
      <c r="G97" s="100" t="str">
        <f t="shared" si="1"/>
        <v/>
      </c>
      <c r="H97" s="101" t="str">
        <f t="shared" si="2"/>
        <v/>
      </c>
      <c r="I97" s="95"/>
      <c r="J97" s="95"/>
      <c r="K97" s="95"/>
      <c r="L97" s="103"/>
      <c r="M97" s="95"/>
      <c r="N97" s="95"/>
      <c r="O97" s="95"/>
      <c r="P97" s="95"/>
      <c r="Q97" s="95"/>
      <c r="R97" s="32"/>
      <c r="S97" s="32"/>
      <c r="T97" s="32"/>
      <c r="U97" s="32"/>
      <c r="V97" s="32"/>
      <c r="W97" s="32"/>
      <c r="X97" s="32"/>
      <c r="Y97" s="32"/>
      <c r="Z97" s="32"/>
    </row>
    <row r="98" ht="34.5" customHeight="1">
      <c r="A98" s="1"/>
      <c r="C98" s="102"/>
      <c r="D98" s="100" t="str">
        <f>IF(ISERROR(VLOOKUP(C98,'Matriz SWOT'!$J$5:$K$14,2,FALSE)),"",VLOOKUP(C98,'Matriz SWOT'!$J$5:$K$14,2,FALSE))</f>
        <v/>
      </c>
      <c r="E98" s="102"/>
      <c r="F98" s="100" t="str">
        <f>IF(ISERROR(VLOOKUP(E98,'Matriz SWOT'!$J$5:$K$24,2,FALSE)),"",VLOOKUP(E98,'Matriz SWOT'!$J$5:$K$24,2,FALSE))</f>
        <v/>
      </c>
      <c r="G98" s="100" t="str">
        <f t="shared" si="1"/>
        <v/>
      </c>
      <c r="H98" s="101" t="str">
        <f t="shared" si="2"/>
        <v/>
      </c>
      <c r="I98" s="95"/>
      <c r="J98" s="95"/>
      <c r="K98" s="95"/>
      <c r="L98" s="103"/>
      <c r="M98" s="95"/>
      <c r="N98" s="95"/>
      <c r="O98" s="95"/>
      <c r="P98" s="95"/>
      <c r="Q98" s="95"/>
      <c r="R98" s="32"/>
      <c r="S98" s="32"/>
      <c r="T98" s="32"/>
      <c r="U98" s="32"/>
      <c r="V98" s="32"/>
      <c r="W98" s="32"/>
      <c r="X98" s="32"/>
      <c r="Y98" s="32"/>
      <c r="Z98" s="32"/>
    </row>
    <row r="99" ht="34.5" customHeight="1">
      <c r="A99" s="1"/>
      <c r="C99" s="102"/>
      <c r="D99" s="100" t="str">
        <f>IF(ISERROR(VLOOKUP(C99,'Matriz SWOT'!$J$5:$K$14,2,FALSE)),"",VLOOKUP(C99,'Matriz SWOT'!$J$5:$K$14,2,FALSE))</f>
        <v/>
      </c>
      <c r="E99" s="102"/>
      <c r="F99" s="100" t="str">
        <f>IF(ISERROR(VLOOKUP(E99,'Matriz SWOT'!$J$5:$K$24,2,FALSE)),"",VLOOKUP(E99,'Matriz SWOT'!$J$5:$K$24,2,FALSE))</f>
        <v/>
      </c>
      <c r="G99" s="100" t="str">
        <f t="shared" si="1"/>
        <v/>
      </c>
      <c r="H99" s="101" t="str">
        <f t="shared" si="2"/>
        <v/>
      </c>
      <c r="I99" s="95"/>
      <c r="J99" s="95"/>
      <c r="K99" s="95"/>
      <c r="L99" s="103"/>
      <c r="M99" s="95"/>
      <c r="N99" s="95"/>
      <c r="O99" s="95"/>
      <c r="P99" s="95"/>
      <c r="Q99" s="95"/>
      <c r="R99" s="32"/>
      <c r="S99" s="32"/>
      <c r="T99" s="32"/>
      <c r="U99" s="32"/>
      <c r="V99" s="32"/>
      <c r="W99" s="32"/>
      <c r="X99" s="32"/>
      <c r="Y99" s="32"/>
      <c r="Z99" s="32"/>
    </row>
    <row r="100" ht="34.5" customHeight="1">
      <c r="A100" s="1"/>
      <c r="C100" s="102"/>
      <c r="D100" s="100" t="str">
        <f>IF(ISERROR(VLOOKUP(C100,'Matriz SWOT'!$J$5:$K$14,2,FALSE)),"",VLOOKUP(C100,'Matriz SWOT'!$J$5:$K$14,2,FALSE))</f>
        <v/>
      </c>
      <c r="E100" s="102"/>
      <c r="F100" s="100" t="str">
        <f>IF(ISERROR(VLOOKUP(E100,'Matriz SWOT'!$J$5:$K$24,2,FALSE)),"",VLOOKUP(E100,'Matriz SWOT'!$J$5:$K$24,2,FALSE))</f>
        <v/>
      </c>
      <c r="G100" s="100" t="str">
        <f t="shared" si="1"/>
        <v/>
      </c>
      <c r="H100" s="101" t="str">
        <f t="shared" si="2"/>
        <v/>
      </c>
      <c r="I100" s="95"/>
      <c r="J100" s="95"/>
      <c r="K100" s="95"/>
      <c r="L100" s="103"/>
      <c r="M100" s="95"/>
      <c r="N100" s="95"/>
      <c r="O100" s="95"/>
      <c r="P100" s="95"/>
      <c r="Q100" s="95"/>
      <c r="R100" s="32"/>
      <c r="S100" s="32"/>
      <c r="T100" s="32"/>
      <c r="U100" s="32"/>
      <c r="V100" s="32"/>
      <c r="W100" s="32"/>
      <c r="X100" s="32"/>
      <c r="Y100" s="32"/>
      <c r="Z100" s="32"/>
    </row>
    <row r="101" ht="34.5" customHeight="1">
      <c r="A101" s="1"/>
      <c r="C101" s="102"/>
      <c r="D101" s="100" t="str">
        <f>IF(ISERROR(VLOOKUP(C101,'Matriz SWOT'!$J$5:$K$14,2,FALSE)),"",VLOOKUP(C101,'Matriz SWOT'!$J$5:$K$14,2,FALSE))</f>
        <v/>
      </c>
      <c r="E101" s="102"/>
      <c r="F101" s="100" t="str">
        <f>IF(ISERROR(VLOOKUP(E101,'Matriz SWOT'!$J$5:$K$24,2,FALSE)),"",VLOOKUP(E101,'Matriz SWOT'!$J$5:$K$24,2,FALSE))</f>
        <v/>
      </c>
      <c r="G101" s="100" t="str">
        <f t="shared" si="1"/>
        <v/>
      </c>
      <c r="H101" s="101" t="str">
        <f t="shared" si="2"/>
        <v/>
      </c>
      <c r="I101" s="95"/>
      <c r="J101" s="95"/>
      <c r="K101" s="95"/>
      <c r="L101" s="103"/>
      <c r="M101" s="95"/>
      <c r="N101" s="95"/>
      <c r="O101" s="95"/>
      <c r="P101" s="95"/>
      <c r="Q101" s="95"/>
      <c r="R101" s="32"/>
      <c r="S101" s="32"/>
      <c r="T101" s="32"/>
      <c r="U101" s="32"/>
      <c r="V101" s="32"/>
      <c r="W101" s="32"/>
      <c r="X101" s="32"/>
      <c r="Y101" s="32"/>
      <c r="Z101" s="32"/>
    </row>
    <row r="102" ht="34.5" customHeight="1">
      <c r="A102" s="1"/>
      <c r="C102" s="102"/>
      <c r="D102" s="100" t="str">
        <f>IF(ISERROR(VLOOKUP(C102,'Matriz SWOT'!$J$5:$K$14,2,FALSE)),"",VLOOKUP(C102,'Matriz SWOT'!$J$5:$K$14,2,FALSE))</f>
        <v/>
      </c>
      <c r="E102" s="102"/>
      <c r="F102" s="100" t="str">
        <f>IF(ISERROR(VLOOKUP(E102,'Matriz SWOT'!$J$5:$K$24,2,FALSE)),"",VLOOKUP(E102,'Matriz SWOT'!$J$5:$K$24,2,FALSE))</f>
        <v/>
      </c>
      <c r="G102" s="100" t="str">
        <f t="shared" si="1"/>
        <v/>
      </c>
      <c r="H102" s="101" t="str">
        <f t="shared" si="2"/>
        <v/>
      </c>
      <c r="I102" s="95"/>
      <c r="J102" s="95"/>
      <c r="K102" s="95"/>
      <c r="L102" s="103"/>
      <c r="M102" s="95"/>
      <c r="N102" s="95"/>
      <c r="O102" s="95"/>
      <c r="P102" s="95"/>
      <c r="Q102" s="95"/>
      <c r="R102" s="32"/>
      <c r="S102" s="32"/>
      <c r="T102" s="32"/>
      <c r="U102" s="32"/>
      <c r="V102" s="32"/>
      <c r="W102" s="32"/>
      <c r="X102" s="32"/>
      <c r="Y102" s="32"/>
      <c r="Z102" s="32"/>
    </row>
    <row r="103" ht="34.5" customHeight="1">
      <c r="A103" s="1"/>
      <c r="C103" s="102"/>
      <c r="D103" s="100" t="str">
        <f>IF(ISERROR(VLOOKUP(C103,'Matriz SWOT'!$J$5:$K$14,2,FALSE)),"",VLOOKUP(C103,'Matriz SWOT'!$J$5:$K$14,2,FALSE))</f>
        <v/>
      </c>
      <c r="E103" s="102"/>
      <c r="F103" s="100" t="str">
        <f>IF(ISERROR(VLOOKUP(E103,'Matriz SWOT'!$J$5:$K$24,2,FALSE)),"",VLOOKUP(E103,'Matriz SWOT'!$J$5:$K$24,2,FALSE))</f>
        <v/>
      </c>
      <c r="G103" s="100" t="str">
        <f t="shared" si="1"/>
        <v/>
      </c>
      <c r="H103" s="101" t="str">
        <f t="shared" si="2"/>
        <v/>
      </c>
      <c r="I103" s="95"/>
      <c r="J103" s="95"/>
      <c r="K103" s="95"/>
      <c r="L103" s="103"/>
      <c r="M103" s="95"/>
      <c r="N103" s="95"/>
      <c r="O103" s="95"/>
      <c r="P103" s="95"/>
      <c r="Q103" s="95"/>
      <c r="R103" s="32"/>
      <c r="S103" s="32"/>
      <c r="T103" s="32"/>
      <c r="U103" s="32"/>
      <c r="V103" s="32"/>
      <c r="W103" s="32"/>
      <c r="X103" s="32"/>
      <c r="Y103" s="32"/>
      <c r="Z103" s="32"/>
    </row>
    <row r="104" ht="34.5" customHeight="1">
      <c r="A104" s="1"/>
      <c r="C104" s="102"/>
      <c r="D104" s="100" t="str">
        <f>IF(ISERROR(VLOOKUP(C104,'Matriz SWOT'!$J$5:$K$14,2,FALSE)),"",VLOOKUP(C104,'Matriz SWOT'!$J$5:$K$14,2,FALSE))</f>
        <v/>
      </c>
      <c r="E104" s="102"/>
      <c r="F104" s="100" t="str">
        <f>IF(ISERROR(VLOOKUP(E104,'Matriz SWOT'!$J$5:$K$24,2,FALSE)),"",VLOOKUP(E104,'Matriz SWOT'!$J$5:$K$24,2,FALSE))</f>
        <v/>
      </c>
      <c r="G104" s="100" t="str">
        <f t="shared" si="1"/>
        <v/>
      </c>
      <c r="H104" s="101" t="str">
        <f t="shared" si="2"/>
        <v/>
      </c>
      <c r="I104" s="95"/>
      <c r="J104" s="95"/>
      <c r="K104" s="95"/>
      <c r="L104" s="103"/>
      <c r="M104" s="95"/>
      <c r="N104" s="95"/>
      <c r="O104" s="95"/>
      <c r="P104" s="95"/>
      <c r="Q104" s="95"/>
      <c r="R104" s="32"/>
      <c r="S104" s="32"/>
      <c r="T104" s="32"/>
      <c r="U104" s="32"/>
      <c r="V104" s="32"/>
      <c r="W104" s="32"/>
      <c r="X104" s="32"/>
      <c r="Y104" s="32"/>
      <c r="Z104" s="32"/>
    </row>
    <row r="105" ht="34.5" customHeight="1">
      <c r="A105" s="1"/>
      <c r="C105" s="102"/>
      <c r="D105" s="100" t="str">
        <f>IF(ISERROR(VLOOKUP(C105,'Matriz SWOT'!$J$5:$K$14,2,FALSE)),"",VLOOKUP(C105,'Matriz SWOT'!$J$5:$K$14,2,FALSE))</f>
        <v/>
      </c>
      <c r="E105" s="102"/>
      <c r="F105" s="100" t="str">
        <f>IF(ISERROR(VLOOKUP(E105,'Matriz SWOT'!$J$5:$K$24,2,FALSE)),"",VLOOKUP(E105,'Matriz SWOT'!$J$5:$K$24,2,FALSE))</f>
        <v/>
      </c>
      <c r="G105" s="100" t="str">
        <f t="shared" si="1"/>
        <v/>
      </c>
      <c r="H105" s="101" t="str">
        <f t="shared" si="2"/>
        <v/>
      </c>
      <c r="I105" s="95"/>
      <c r="J105" s="95"/>
      <c r="K105" s="95"/>
      <c r="L105" s="103"/>
      <c r="M105" s="95"/>
      <c r="N105" s="95"/>
      <c r="O105" s="95"/>
      <c r="P105" s="95"/>
      <c r="Q105" s="95"/>
      <c r="R105" s="32"/>
      <c r="S105" s="32"/>
      <c r="T105" s="32"/>
      <c r="U105" s="32"/>
      <c r="V105" s="32"/>
      <c r="W105" s="32"/>
      <c r="X105" s="32"/>
      <c r="Y105" s="32"/>
      <c r="Z105" s="32"/>
    </row>
    <row r="106" ht="34.5" customHeight="1">
      <c r="A106" s="1"/>
      <c r="C106" s="102"/>
      <c r="D106" s="100" t="str">
        <f>IF(ISERROR(VLOOKUP(C106,'Matriz SWOT'!$J$5:$K$14,2,FALSE)),"",VLOOKUP(C106,'Matriz SWOT'!$J$5:$K$14,2,FALSE))</f>
        <v/>
      </c>
      <c r="E106" s="102"/>
      <c r="F106" s="100" t="str">
        <f>IF(ISERROR(VLOOKUP(E106,'Matriz SWOT'!$J$5:$K$24,2,FALSE)),"",VLOOKUP(E106,'Matriz SWOT'!$J$5:$K$24,2,FALSE))</f>
        <v/>
      </c>
      <c r="G106" s="100" t="str">
        <f t="shared" si="1"/>
        <v/>
      </c>
      <c r="H106" s="101" t="str">
        <f t="shared" si="2"/>
        <v/>
      </c>
      <c r="I106" s="95"/>
      <c r="J106" s="95"/>
      <c r="K106" s="95"/>
      <c r="L106" s="103"/>
      <c r="M106" s="95"/>
      <c r="N106" s="95"/>
      <c r="O106" s="95"/>
      <c r="P106" s="95"/>
      <c r="Q106" s="95"/>
      <c r="R106" s="32"/>
      <c r="S106" s="32"/>
      <c r="T106" s="32"/>
      <c r="U106" s="32"/>
      <c r="V106" s="32"/>
      <c r="W106" s="32"/>
      <c r="X106" s="32"/>
      <c r="Y106" s="32"/>
      <c r="Z106" s="32"/>
    </row>
    <row r="107" ht="34.5" customHeight="1">
      <c r="A107" s="1"/>
      <c r="C107" s="102"/>
      <c r="D107" s="100" t="str">
        <f>IF(ISERROR(VLOOKUP(C107,'Matriz SWOT'!$J$5:$K$14,2,FALSE)),"",VLOOKUP(C107,'Matriz SWOT'!$J$5:$K$14,2,FALSE))</f>
        <v/>
      </c>
      <c r="E107" s="102"/>
      <c r="F107" s="100" t="str">
        <f>IF(ISERROR(VLOOKUP(E107,'Matriz SWOT'!$J$5:$K$24,2,FALSE)),"",VLOOKUP(E107,'Matriz SWOT'!$J$5:$K$24,2,FALSE))</f>
        <v/>
      </c>
      <c r="G107" s="100" t="str">
        <f t="shared" si="1"/>
        <v/>
      </c>
      <c r="H107" s="101" t="str">
        <f t="shared" si="2"/>
        <v/>
      </c>
      <c r="I107" s="95"/>
      <c r="J107" s="95"/>
      <c r="K107" s="95"/>
      <c r="L107" s="103"/>
      <c r="M107" s="95"/>
      <c r="N107" s="95"/>
      <c r="O107" s="95"/>
      <c r="P107" s="95"/>
      <c r="Q107" s="95"/>
      <c r="R107" s="32"/>
      <c r="S107" s="32"/>
      <c r="T107" s="32"/>
      <c r="U107" s="32"/>
      <c r="V107" s="32"/>
      <c r="W107" s="32"/>
      <c r="X107" s="32"/>
      <c r="Y107" s="32"/>
      <c r="Z107" s="32"/>
    </row>
    <row r="108" ht="34.5" customHeight="1">
      <c r="A108" s="1"/>
      <c r="C108" s="102"/>
      <c r="D108" s="100" t="str">
        <f>IF(ISERROR(VLOOKUP(C108,'Matriz SWOT'!$J$5:$K$14,2,FALSE)),"",VLOOKUP(C108,'Matriz SWOT'!$J$5:$K$14,2,FALSE))</f>
        <v/>
      </c>
      <c r="E108" s="102"/>
      <c r="F108" s="100" t="str">
        <f>IF(ISERROR(VLOOKUP(E108,'Matriz SWOT'!$J$5:$K$24,2,FALSE)),"",VLOOKUP(E108,'Matriz SWOT'!$J$5:$K$24,2,FALSE))</f>
        <v/>
      </c>
      <c r="G108" s="100" t="str">
        <f t="shared" si="1"/>
        <v/>
      </c>
      <c r="H108" s="101" t="str">
        <f t="shared" si="2"/>
        <v/>
      </c>
      <c r="J108" s="95"/>
      <c r="K108" s="95"/>
      <c r="L108" s="103"/>
      <c r="M108" s="95"/>
      <c r="N108" s="95"/>
      <c r="O108" s="95"/>
      <c r="P108" s="95"/>
      <c r="Q108" s="95"/>
      <c r="R108" s="32"/>
      <c r="S108" s="32"/>
      <c r="T108" s="32"/>
      <c r="U108" s="32"/>
      <c r="V108" s="32"/>
      <c r="W108" s="32"/>
      <c r="X108" s="32"/>
      <c r="Y108" s="32"/>
      <c r="Z108" s="32"/>
    </row>
    <row r="109" ht="30.0" customHeight="1">
      <c r="A109" s="1"/>
      <c r="C109" s="58"/>
      <c r="E109" s="58"/>
      <c r="H109" s="95"/>
      <c r="I109" s="95"/>
      <c r="J109" s="95"/>
      <c r="K109" s="95"/>
      <c r="L109" s="103"/>
      <c r="M109" s="95"/>
      <c r="N109" s="95"/>
      <c r="O109" s="95"/>
      <c r="P109" s="95"/>
      <c r="Q109" s="95"/>
      <c r="R109" s="32"/>
      <c r="S109" s="32"/>
      <c r="T109" s="32"/>
      <c r="U109" s="32"/>
      <c r="V109" s="32"/>
      <c r="W109" s="32"/>
      <c r="X109" s="32"/>
      <c r="Y109" s="32"/>
      <c r="Z109" s="32"/>
    </row>
    <row r="110" ht="30.0" customHeight="1">
      <c r="A110" s="1"/>
      <c r="C110" s="58"/>
      <c r="E110" s="58"/>
      <c r="H110" s="95"/>
      <c r="I110" s="95"/>
      <c r="J110" s="95"/>
      <c r="K110" s="95"/>
      <c r="L110" s="103"/>
      <c r="M110" s="95"/>
      <c r="N110" s="95"/>
      <c r="O110" s="95"/>
      <c r="P110" s="95"/>
      <c r="Q110" s="95"/>
      <c r="R110" s="32"/>
      <c r="S110" s="32"/>
      <c r="T110" s="32"/>
      <c r="U110" s="32"/>
      <c r="V110" s="32"/>
      <c r="W110" s="32"/>
      <c r="X110" s="32"/>
      <c r="Y110" s="32"/>
      <c r="Z110" s="32"/>
    </row>
    <row r="111" ht="30.0" customHeight="1">
      <c r="A111" s="1"/>
      <c r="C111" s="58"/>
      <c r="E111" s="58"/>
      <c r="H111" s="95"/>
      <c r="I111" s="95"/>
      <c r="J111" s="95"/>
      <c r="K111" s="95"/>
      <c r="L111" s="103"/>
      <c r="M111" s="95"/>
      <c r="N111" s="95"/>
      <c r="O111" s="95"/>
      <c r="P111" s="95"/>
      <c r="Q111" s="95"/>
      <c r="R111" s="32"/>
      <c r="S111" s="32"/>
      <c r="T111" s="32"/>
      <c r="U111" s="32"/>
      <c r="V111" s="32"/>
      <c r="W111" s="32"/>
      <c r="X111" s="32"/>
      <c r="Y111" s="32"/>
      <c r="Z111" s="32"/>
    </row>
    <row r="112" ht="30.0" customHeight="1">
      <c r="A112" s="1"/>
      <c r="C112" s="58"/>
      <c r="E112" s="58"/>
      <c r="H112" s="95"/>
      <c r="I112" s="95"/>
      <c r="J112" s="95"/>
      <c r="K112" s="95"/>
      <c r="L112" s="103"/>
      <c r="M112" s="95"/>
      <c r="N112" s="95"/>
      <c r="O112" s="95"/>
      <c r="P112" s="95"/>
      <c r="Q112" s="95"/>
      <c r="R112" s="32"/>
      <c r="S112" s="32"/>
      <c r="T112" s="32"/>
      <c r="U112" s="32"/>
      <c r="V112" s="32"/>
      <c r="W112" s="32"/>
      <c r="X112" s="32"/>
      <c r="Y112" s="32"/>
      <c r="Z112" s="32"/>
    </row>
    <row r="113" ht="30.0" customHeight="1">
      <c r="A113" s="1"/>
      <c r="C113" s="58"/>
      <c r="E113" s="58"/>
      <c r="H113" s="95"/>
      <c r="I113" s="95"/>
      <c r="J113" s="95"/>
      <c r="K113" s="95"/>
      <c r="L113" s="103"/>
      <c r="M113" s="95"/>
      <c r="N113" s="95"/>
      <c r="O113" s="95"/>
      <c r="P113" s="95"/>
      <c r="Q113" s="95"/>
      <c r="R113" s="32"/>
      <c r="S113" s="32"/>
      <c r="T113" s="32"/>
      <c r="U113" s="32"/>
      <c r="V113" s="32"/>
      <c r="W113" s="32"/>
      <c r="X113" s="32"/>
      <c r="Y113" s="32"/>
      <c r="Z113" s="32"/>
    </row>
    <row r="114" ht="30.0" customHeight="1">
      <c r="A114" s="1"/>
      <c r="H114" s="95"/>
      <c r="I114" s="95"/>
      <c r="J114" s="95"/>
      <c r="K114" s="95"/>
      <c r="L114" s="103"/>
      <c r="M114" s="95"/>
      <c r="N114" s="95"/>
      <c r="O114" s="95"/>
      <c r="P114" s="95"/>
      <c r="Q114" s="95"/>
      <c r="R114" s="32"/>
      <c r="S114" s="32"/>
      <c r="T114" s="32"/>
      <c r="U114" s="32"/>
      <c r="V114" s="32"/>
      <c r="W114" s="32"/>
      <c r="X114" s="32"/>
      <c r="Y114" s="32"/>
      <c r="Z114" s="32"/>
    </row>
    <row r="115" ht="30.0" customHeight="1">
      <c r="A115" s="1"/>
      <c r="B115" s="31"/>
      <c r="H115" s="95"/>
      <c r="I115" s="95"/>
      <c r="J115" s="95"/>
      <c r="K115" s="95"/>
      <c r="L115" s="103"/>
      <c r="M115" s="95"/>
      <c r="N115" s="95"/>
      <c r="O115" s="95"/>
      <c r="P115" s="95"/>
      <c r="Q115" s="95"/>
      <c r="R115" s="32"/>
      <c r="S115" s="32"/>
      <c r="T115" s="32"/>
      <c r="U115" s="32"/>
      <c r="V115" s="32"/>
      <c r="W115" s="32"/>
      <c r="X115" s="32"/>
      <c r="Y115" s="32"/>
      <c r="Z115" s="32"/>
    </row>
    <row r="116" ht="30.0" customHeight="1">
      <c r="A116" s="1"/>
      <c r="B116" s="31"/>
      <c r="H116" s="95"/>
      <c r="I116" s="95"/>
      <c r="J116" s="95"/>
      <c r="K116" s="95"/>
      <c r="L116" s="103"/>
      <c r="M116" s="95"/>
      <c r="N116" s="95"/>
      <c r="O116" s="95"/>
      <c r="P116" s="95"/>
      <c r="Q116" s="95"/>
      <c r="R116" s="32"/>
      <c r="S116" s="32"/>
      <c r="T116" s="32"/>
      <c r="U116" s="32"/>
      <c r="V116" s="32"/>
      <c r="W116" s="32"/>
      <c r="X116" s="32"/>
      <c r="Y116" s="32"/>
      <c r="Z116" s="32"/>
    </row>
    <row r="117" ht="30.0" customHeight="1">
      <c r="A117" s="1"/>
      <c r="B117" s="31"/>
      <c r="H117" s="95"/>
      <c r="I117" s="95"/>
      <c r="J117" s="95"/>
      <c r="K117" s="95"/>
      <c r="L117" s="103"/>
      <c r="M117" s="95"/>
      <c r="N117" s="95"/>
      <c r="O117" s="95"/>
      <c r="P117" s="95"/>
      <c r="Q117" s="95"/>
      <c r="R117" s="32"/>
      <c r="S117" s="32"/>
      <c r="T117" s="32"/>
      <c r="U117" s="32"/>
      <c r="V117" s="32"/>
      <c r="W117" s="32"/>
      <c r="X117" s="32"/>
      <c r="Y117" s="32"/>
      <c r="Z117" s="32"/>
    </row>
    <row r="118" ht="30.0" customHeight="1">
      <c r="A118" s="1"/>
      <c r="B118" s="31"/>
      <c r="H118" s="95"/>
      <c r="I118" s="95"/>
      <c r="J118" s="95"/>
      <c r="K118" s="95"/>
      <c r="L118" s="103"/>
      <c r="M118" s="95"/>
      <c r="N118" s="95"/>
      <c r="O118" s="95"/>
      <c r="P118" s="95"/>
      <c r="Q118" s="95"/>
      <c r="R118" s="32"/>
      <c r="S118" s="32"/>
      <c r="T118" s="32"/>
      <c r="U118" s="32"/>
      <c r="V118" s="32"/>
      <c r="W118" s="32"/>
      <c r="X118" s="32"/>
      <c r="Y118" s="32"/>
      <c r="Z118" s="32"/>
    </row>
    <row r="119" ht="30.0" customHeight="1">
      <c r="A119" s="1"/>
      <c r="B119" s="31"/>
      <c r="H119" s="95"/>
      <c r="I119" s="95"/>
      <c r="J119" s="95"/>
      <c r="K119" s="95"/>
      <c r="L119" s="103"/>
      <c r="M119" s="95"/>
      <c r="N119" s="95"/>
      <c r="O119" s="95"/>
      <c r="P119" s="95"/>
      <c r="Q119" s="95"/>
      <c r="R119" s="32"/>
      <c r="S119" s="32"/>
      <c r="T119" s="32"/>
      <c r="U119" s="32"/>
      <c r="V119" s="32"/>
      <c r="W119" s="32"/>
      <c r="X119" s="32"/>
      <c r="Y119" s="32"/>
      <c r="Z119" s="32"/>
    </row>
    <row r="120" ht="30.0" customHeight="1">
      <c r="A120" s="1"/>
      <c r="B120" s="31"/>
      <c r="G120" s="31"/>
      <c r="H120" s="95"/>
      <c r="I120" s="95"/>
      <c r="J120" s="95"/>
      <c r="K120" s="95"/>
      <c r="L120" s="103"/>
      <c r="M120" s="95"/>
      <c r="N120" s="95"/>
      <c r="O120" s="95"/>
      <c r="P120" s="95"/>
      <c r="Q120" s="95"/>
      <c r="R120" s="32"/>
      <c r="S120" s="32"/>
      <c r="T120" s="32"/>
      <c r="U120" s="32"/>
      <c r="V120" s="32"/>
      <c r="W120" s="32"/>
      <c r="X120" s="32"/>
      <c r="Y120" s="32"/>
      <c r="Z120" s="32"/>
    </row>
    <row r="121" ht="52.5" customHeight="1">
      <c r="A121" s="1"/>
      <c r="B121" s="31"/>
      <c r="G121" s="31"/>
      <c r="H121" s="95"/>
      <c r="I121" s="95"/>
      <c r="J121" s="95"/>
      <c r="K121" s="95"/>
      <c r="L121" s="95"/>
      <c r="M121" s="103"/>
      <c r="N121" s="95"/>
      <c r="O121" s="95"/>
      <c r="P121" s="95"/>
      <c r="Q121" s="95"/>
      <c r="R121" s="32"/>
      <c r="S121" s="32"/>
      <c r="T121" s="32"/>
      <c r="U121" s="32"/>
      <c r="V121" s="32"/>
      <c r="W121" s="32"/>
      <c r="X121" s="32"/>
      <c r="Y121" s="32"/>
      <c r="Z121" s="32"/>
    </row>
    <row r="122" ht="30.0" customHeight="1">
      <c r="A122" s="1"/>
      <c r="B122" s="31"/>
      <c r="G122" s="31"/>
      <c r="H122" s="95"/>
      <c r="I122" s="95"/>
      <c r="J122" s="95"/>
      <c r="K122" s="95"/>
      <c r="L122" s="95"/>
      <c r="M122" s="103"/>
      <c r="N122" s="95"/>
      <c r="O122" s="95"/>
      <c r="P122" s="95"/>
      <c r="Q122" s="95"/>
      <c r="R122" s="32"/>
      <c r="S122" s="32"/>
      <c r="T122" s="32"/>
      <c r="U122" s="32"/>
      <c r="V122" s="32"/>
      <c r="W122" s="32"/>
      <c r="X122" s="32"/>
      <c r="Y122" s="32"/>
      <c r="Z122" s="32"/>
    </row>
    <row r="123" ht="30.0" customHeight="1">
      <c r="A123" s="1"/>
      <c r="B123" s="31"/>
      <c r="G123" s="31"/>
      <c r="H123" s="95"/>
      <c r="I123" s="95"/>
      <c r="J123" s="95"/>
      <c r="K123" s="95"/>
      <c r="L123" s="95"/>
      <c r="M123" s="103"/>
      <c r="N123" s="95"/>
      <c r="O123" s="95"/>
      <c r="P123" s="95"/>
      <c r="Q123" s="95"/>
      <c r="R123" s="32"/>
      <c r="S123" s="32"/>
      <c r="T123" s="32"/>
      <c r="U123" s="32"/>
      <c r="V123" s="32"/>
      <c r="W123" s="32"/>
      <c r="X123" s="32"/>
      <c r="Y123" s="32"/>
      <c r="Z123" s="32"/>
    </row>
    <row r="124" ht="30.0" customHeight="1">
      <c r="A124" s="1"/>
      <c r="B124" s="31"/>
      <c r="G124" s="31"/>
      <c r="H124" s="95"/>
      <c r="I124" s="95"/>
      <c r="J124" s="95"/>
      <c r="K124" s="95"/>
      <c r="L124" s="95"/>
      <c r="M124" s="103"/>
      <c r="N124" s="95"/>
      <c r="O124" s="95"/>
      <c r="P124" s="95"/>
      <c r="Q124" s="95"/>
      <c r="R124" s="32"/>
      <c r="S124" s="32"/>
      <c r="T124" s="32"/>
      <c r="U124" s="32"/>
      <c r="V124" s="32"/>
      <c r="W124" s="32"/>
      <c r="X124" s="32"/>
      <c r="Y124" s="32"/>
      <c r="Z124" s="32"/>
    </row>
    <row r="125" ht="30.0" customHeight="1">
      <c r="A125" s="1"/>
      <c r="B125" s="31"/>
      <c r="G125" s="31"/>
      <c r="H125" s="95"/>
      <c r="I125" s="95"/>
      <c r="J125" s="95"/>
      <c r="K125" s="95"/>
      <c r="L125" s="95"/>
      <c r="M125" s="103"/>
      <c r="N125" s="95"/>
      <c r="O125" s="95"/>
      <c r="P125" s="95"/>
      <c r="Q125" s="95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1"/>
      <c r="C126" s="58"/>
      <c r="E126" s="58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1"/>
      <c r="C127" s="58"/>
      <c r="E127" s="58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1"/>
      <c r="C128" s="58"/>
      <c r="E128" s="58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1"/>
      <c r="C129" s="58"/>
      <c r="E129" s="58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1"/>
      <c r="C130" s="58"/>
      <c r="E130" s="58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1"/>
      <c r="C131" s="58"/>
      <c r="E131" s="58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1"/>
      <c r="C132" s="58"/>
      <c r="E132" s="58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1"/>
      <c r="C133" s="58"/>
      <c r="E133" s="58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1"/>
      <c r="C134" s="58"/>
      <c r="E134" s="58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1"/>
      <c r="C135" s="58"/>
      <c r="E135" s="58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1"/>
      <c r="C136" s="58"/>
      <c r="E136" s="58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1"/>
      <c r="C137" s="58"/>
      <c r="E137" s="58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1"/>
      <c r="C138" s="58"/>
      <c r="E138" s="58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1"/>
      <c r="C139" s="58"/>
      <c r="E139" s="58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1"/>
      <c r="C140" s="58"/>
      <c r="E140" s="58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1"/>
      <c r="C141" s="58"/>
      <c r="E141" s="58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1"/>
      <c r="C142" s="58"/>
      <c r="E142" s="58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1"/>
      <c r="C143" s="58"/>
      <c r="E143" s="58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1"/>
      <c r="C144" s="58"/>
      <c r="E144" s="58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1"/>
      <c r="C145" s="58"/>
      <c r="E145" s="58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1"/>
      <c r="C146" s="58"/>
      <c r="E146" s="58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1"/>
      <c r="C147" s="58"/>
      <c r="E147" s="58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1"/>
      <c r="C148" s="58"/>
      <c r="E148" s="58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1"/>
      <c r="C149" s="58"/>
      <c r="E149" s="58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1"/>
      <c r="C150" s="58"/>
      <c r="E150" s="58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1"/>
      <c r="C151" s="58"/>
      <c r="E151" s="58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1"/>
      <c r="C152" s="58"/>
      <c r="E152" s="58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1"/>
      <c r="C153" s="58"/>
      <c r="E153" s="58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1"/>
      <c r="C154" s="58"/>
      <c r="E154" s="58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1"/>
      <c r="C155" s="58"/>
      <c r="E155" s="58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1"/>
      <c r="C156" s="58"/>
      <c r="E156" s="58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1"/>
      <c r="C157" s="58"/>
      <c r="E157" s="58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1"/>
      <c r="C158" s="58"/>
      <c r="E158" s="58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1"/>
      <c r="C159" s="58"/>
      <c r="E159" s="58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1"/>
      <c r="C160" s="58"/>
      <c r="E160" s="58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1"/>
      <c r="C161" s="58"/>
      <c r="E161" s="58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1"/>
      <c r="C162" s="58"/>
      <c r="E162" s="58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1"/>
      <c r="C163" s="58"/>
      <c r="E163" s="58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1"/>
      <c r="C164" s="58"/>
      <c r="E164" s="58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1"/>
      <c r="C165" s="58"/>
      <c r="E165" s="58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1"/>
      <c r="C166" s="58"/>
      <c r="E166" s="58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1"/>
      <c r="C167" s="58"/>
      <c r="E167" s="58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1"/>
      <c r="C168" s="58"/>
      <c r="E168" s="58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1"/>
      <c r="C169" s="58"/>
      <c r="E169" s="58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1"/>
      <c r="C170" s="58"/>
      <c r="E170" s="58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1"/>
      <c r="C171" s="58"/>
      <c r="E171" s="58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1"/>
      <c r="C172" s="58"/>
      <c r="E172" s="58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1"/>
      <c r="C173" s="58"/>
      <c r="E173" s="58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1"/>
      <c r="C174" s="58"/>
      <c r="E174" s="58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1"/>
      <c r="C175" s="58"/>
      <c r="E175" s="58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1"/>
      <c r="C176" s="58"/>
      <c r="E176" s="58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1"/>
      <c r="C177" s="58"/>
      <c r="E177" s="58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1"/>
      <c r="C178" s="58"/>
      <c r="E178" s="58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1"/>
      <c r="C179" s="58"/>
      <c r="E179" s="58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1"/>
      <c r="C180" s="58"/>
      <c r="E180" s="58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1"/>
      <c r="C181" s="58"/>
      <c r="E181" s="58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1"/>
      <c r="C182" s="58"/>
      <c r="E182" s="58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1"/>
      <c r="C183" s="58"/>
      <c r="E183" s="58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1"/>
      <c r="C184" s="58"/>
      <c r="E184" s="58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1"/>
      <c r="C185" s="58"/>
      <c r="E185" s="58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1"/>
      <c r="C186" s="58"/>
      <c r="E186" s="58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1"/>
      <c r="C187" s="58"/>
      <c r="E187" s="58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1"/>
      <c r="C188" s="58"/>
      <c r="E188" s="58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1"/>
      <c r="C189" s="58"/>
      <c r="E189" s="58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1"/>
      <c r="C190" s="58"/>
      <c r="E190" s="58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1"/>
      <c r="C191" s="58"/>
      <c r="E191" s="58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1"/>
      <c r="C192" s="58"/>
      <c r="E192" s="58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1"/>
      <c r="C193" s="58"/>
      <c r="E193" s="58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1"/>
      <c r="C194" s="58"/>
      <c r="E194" s="58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1"/>
      <c r="C195" s="58"/>
      <c r="E195" s="58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1"/>
      <c r="C196" s="58"/>
      <c r="E196" s="58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1"/>
      <c r="C197" s="58"/>
      <c r="E197" s="58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1"/>
      <c r="C198" s="58"/>
      <c r="E198" s="58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1"/>
      <c r="C199" s="58"/>
      <c r="E199" s="58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1"/>
      <c r="C200" s="58"/>
      <c r="E200" s="58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1"/>
      <c r="C201" s="58"/>
      <c r="E201" s="58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1"/>
      <c r="C202" s="58"/>
      <c r="E202" s="58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1"/>
      <c r="C203" s="58"/>
      <c r="E203" s="58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1"/>
      <c r="C204" s="58"/>
      <c r="E204" s="58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1"/>
      <c r="C205" s="58"/>
      <c r="E205" s="58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1"/>
      <c r="C206" s="58"/>
      <c r="E206" s="58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1"/>
      <c r="C207" s="58"/>
      <c r="E207" s="58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1"/>
      <c r="C208" s="58"/>
      <c r="E208" s="58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1"/>
      <c r="C209" s="58"/>
      <c r="E209" s="58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1"/>
      <c r="C210" s="58"/>
      <c r="E210" s="58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1"/>
      <c r="C211" s="58"/>
      <c r="E211" s="58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1"/>
      <c r="C212" s="58"/>
      <c r="E212" s="58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1"/>
      <c r="C213" s="58"/>
      <c r="E213" s="58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1"/>
      <c r="C214" s="58"/>
      <c r="E214" s="58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1"/>
      <c r="C215" s="58"/>
      <c r="E215" s="58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1"/>
      <c r="C216" s="58"/>
      <c r="E216" s="58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1"/>
      <c r="C217" s="58"/>
      <c r="E217" s="58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1"/>
      <c r="C218" s="58"/>
      <c r="E218" s="58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1"/>
      <c r="C219" s="58"/>
      <c r="E219" s="58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1"/>
      <c r="C220" s="58"/>
      <c r="E220" s="58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1"/>
      <c r="C221" s="58"/>
      <c r="E221" s="58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1"/>
      <c r="C222" s="58"/>
      <c r="E222" s="58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1"/>
      <c r="C223" s="58"/>
      <c r="E223" s="58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1"/>
      <c r="C224" s="58"/>
      <c r="E224" s="58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1"/>
      <c r="C225" s="58"/>
      <c r="E225" s="58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1"/>
      <c r="C226" s="58"/>
      <c r="E226" s="58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1"/>
      <c r="C227" s="58"/>
      <c r="E227" s="58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1"/>
      <c r="C228" s="58"/>
      <c r="E228" s="58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1"/>
      <c r="C229" s="58"/>
      <c r="E229" s="58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1"/>
      <c r="C230" s="58"/>
      <c r="E230" s="58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1"/>
      <c r="C231" s="58"/>
      <c r="E231" s="58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1"/>
      <c r="C232" s="58"/>
      <c r="E232" s="58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1"/>
      <c r="C233" s="58"/>
      <c r="E233" s="58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1"/>
      <c r="C234" s="58"/>
      <c r="E234" s="58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1"/>
      <c r="C235" s="58"/>
      <c r="E235" s="58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1"/>
      <c r="C236" s="58"/>
      <c r="E236" s="58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1"/>
      <c r="C237" s="58"/>
      <c r="E237" s="58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1"/>
      <c r="C238" s="58"/>
      <c r="E238" s="58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1"/>
      <c r="C239" s="58"/>
      <c r="E239" s="58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1"/>
      <c r="C240" s="58"/>
      <c r="E240" s="58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1"/>
      <c r="C241" s="58"/>
      <c r="E241" s="58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1"/>
      <c r="C242" s="58"/>
      <c r="E242" s="58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1"/>
      <c r="C243" s="58"/>
      <c r="E243" s="58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1"/>
      <c r="C244" s="58"/>
      <c r="E244" s="58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1"/>
      <c r="C245" s="58"/>
      <c r="E245" s="58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1"/>
      <c r="C246" s="58"/>
      <c r="E246" s="58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1"/>
      <c r="C247" s="58"/>
      <c r="E247" s="58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1"/>
      <c r="C248" s="58"/>
      <c r="E248" s="58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1"/>
      <c r="C249" s="58"/>
      <c r="E249" s="58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1"/>
      <c r="C250" s="58"/>
      <c r="E250" s="58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1"/>
      <c r="C251" s="58"/>
      <c r="E251" s="58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1"/>
      <c r="C252" s="58"/>
      <c r="E252" s="58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1"/>
      <c r="C253" s="58"/>
      <c r="E253" s="58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1"/>
      <c r="C254" s="58"/>
      <c r="E254" s="58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1"/>
      <c r="C255" s="58"/>
      <c r="E255" s="58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1"/>
      <c r="C256" s="58"/>
      <c r="E256" s="58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1"/>
      <c r="C257" s="58"/>
      <c r="E257" s="58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1"/>
      <c r="C258" s="58"/>
      <c r="E258" s="58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1"/>
      <c r="C259" s="58"/>
      <c r="E259" s="58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1"/>
      <c r="C260" s="58"/>
      <c r="E260" s="58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1"/>
      <c r="C261" s="58"/>
      <c r="E261" s="58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1"/>
      <c r="C262" s="58"/>
      <c r="E262" s="58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1"/>
      <c r="C263" s="58"/>
      <c r="E263" s="58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1"/>
      <c r="C264" s="58"/>
      <c r="E264" s="58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1"/>
      <c r="C265" s="58"/>
      <c r="E265" s="58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1"/>
      <c r="C266" s="58"/>
      <c r="E266" s="58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1"/>
      <c r="C267" s="58"/>
      <c r="E267" s="58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1"/>
      <c r="C268" s="58"/>
      <c r="E268" s="58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1"/>
      <c r="C269" s="58"/>
      <c r="E269" s="58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1"/>
      <c r="C270" s="58"/>
      <c r="E270" s="58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1"/>
      <c r="C271" s="58"/>
      <c r="E271" s="58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1"/>
      <c r="C272" s="58"/>
      <c r="E272" s="58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1"/>
      <c r="C273" s="58"/>
      <c r="E273" s="58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1"/>
      <c r="C274" s="58"/>
      <c r="E274" s="58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1"/>
      <c r="C275" s="58"/>
      <c r="E275" s="58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1"/>
      <c r="C276" s="58"/>
      <c r="E276" s="58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1"/>
      <c r="C277" s="58"/>
      <c r="E277" s="58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1"/>
      <c r="C278" s="58"/>
      <c r="E278" s="58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1"/>
      <c r="C279" s="58"/>
      <c r="E279" s="58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1"/>
      <c r="C280" s="58"/>
      <c r="E280" s="58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1"/>
      <c r="C281" s="58"/>
      <c r="E281" s="58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1"/>
      <c r="C282" s="58"/>
      <c r="E282" s="58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1"/>
      <c r="C283" s="58"/>
      <c r="E283" s="58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1"/>
      <c r="C284" s="58"/>
      <c r="E284" s="58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1"/>
      <c r="C285" s="58"/>
      <c r="E285" s="58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1"/>
      <c r="C286" s="58"/>
      <c r="E286" s="58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1"/>
      <c r="C287" s="58"/>
      <c r="E287" s="58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1"/>
      <c r="C288" s="58"/>
      <c r="E288" s="58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1"/>
      <c r="C289" s="58"/>
      <c r="E289" s="58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1"/>
      <c r="C290" s="58"/>
      <c r="E290" s="58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1"/>
      <c r="C291" s="58"/>
      <c r="E291" s="58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1"/>
      <c r="C292" s="58"/>
      <c r="E292" s="58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1"/>
      <c r="C293" s="58"/>
      <c r="E293" s="58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1"/>
      <c r="C294" s="58"/>
      <c r="E294" s="58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1"/>
      <c r="C295" s="58"/>
      <c r="E295" s="58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1"/>
      <c r="C296" s="58"/>
      <c r="E296" s="58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1"/>
      <c r="C297" s="58"/>
      <c r="E297" s="58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1"/>
      <c r="C298" s="58"/>
      <c r="E298" s="58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1"/>
      <c r="C299" s="58"/>
      <c r="E299" s="58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1"/>
      <c r="C300" s="58"/>
      <c r="E300" s="58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1"/>
      <c r="C301" s="58"/>
      <c r="E301" s="58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1"/>
      <c r="C302" s="58"/>
      <c r="E302" s="58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1"/>
      <c r="C303" s="58"/>
      <c r="E303" s="58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1"/>
      <c r="C304" s="58"/>
      <c r="E304" s="58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1"/>
      <c r="C305" s="58"/>
      <c r="E305" s="58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1"/>
      <c r="C306" s="58"/>
      <c r="E306" s="58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1"/>
      <c r="C307" s="58"/>
      <c r="E307" s="58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1"/>
      <c r="C308" s="58"/>
      <c r="E308" s="58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C2"/>
    <mergeCell ref="E1:E2"/>
    <mergeCell ref="C4:H5"/>
  </mergeCells>
  <conditionalFormatting sqref="D9:D108 F9:F108">
    <cfRule type="containsText" dxfId="4" priority="1" operator="containsText" text="o">
      <formula>NOT(ISERROR(SEARCH(("o"),(D9))))</formula>
    </cfRule>
  </conditionalFormatting>
  <conditionalFormatting sqref="D9:D108 F9:F108">
    <cfRule type="containsText" dxfId="5" priority="2" operator="containsText" text="a">
      <formula>NOT(ISERROR(SEARCH(("a"),(D9))))</formula>
    </cfRule>
  </conditionalFormatting>
  <conditionalFormatting sqref="G9:G108">
    <cfRule type="containsText" dxfId="5" priority="3" operator="containsText" text="defensiva">
      <formula>NOT(ISERROR(SEARCH(("defensiva"),(G9))))</formula>
    </cfRule>
  </conditionalFormatting>
  <conditionalFormatting sqref="G9:G108">
    <cfRule type="containsText" dxfId="4" priority="4" operator="containsText" text="ofensiva">
      <formula>NOT(ISERROR(SEARCH(("ofensiva"),(G9))))</formula>
    </cfRule>
  </conditionalFormatting>
  <conditionalFormatting sqref="G9:G108">
    <cfRule type="cellIs" dxfId="6" priority="5" operator="notEqual">
      <formula>""</formula>
    </cfRule>
  </conditionalFormatting>
  <dataValidations>
    <dataValidation type="list" allowBlank="1" showErrorMessage="1" sqref="C9:C108">
      <formula1>OFFSET($J$9,,,10-COUNTBLANK($J$9:$J$18))</formula1>
    </dataValidation>
    <dataValidation type="list" allowBlank="1" showErrorMessage="1" sqref="E9:E108">
      <formula1>OFFSET($K$9,,,10-COUNTBLANK($K$9:$K$18))</formula1>
    </dataValidation>
  </dataValidations>
  <printOptions horizontalCentered="1"/>
  <pageMargins bottom="0.7480314960629921" footer="0.0" header="0.0" left="0.2362204724409449" right="0.2362204724409449" top="0.7480314960629921"/>
  <pageSetup paperSize="9" scale="56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7.71"/>
    <col customWidth="1" min="2" max="2" width="2.0"/>
    <col customWidth="1" min="3" max="3" width="50.71"/>
    <col customWidth="1" min="4" max="4" width="30.71"/>
    <col customWidth="1" min="5" max="5" width="17.43"/>
    <col customWidth="1" min="6" max="6" width="25.71"/>
    <col customWidth="1" min="7" max="7" width="20.71"/>
    <col customWidth="1" min="8" max="9" width="17.0"/>
    <col customWidth="1" min="10" max="10" width="15.0"/>
    <col customWidth="1" min="11" max="11" width="16.29"/>
    <col customWidth="1" min="12" max="12" width="20.43"/>
    <col customWidth="1" min="13" max="20" width="8.71"/>
    <col customWidth="1" min="21" max="21" width="9.29"/>
    <col customWidth="1" hidden="1" min="22" max="50" width="9.29"/>
  </cols>
  <sheetData>
    <row r="1" ht="33.75" customHeight="1">
      <c r="A1" s="1"/>
      <c r="B1" s="23"/>
      <c r="C1" s="67" t="s">
        <v>121</v>
      </c>
      <c r="D1" s="23"/>
      <c r="E1" s="25"/>
      <c r="F1" s="25"/>
      <c r="G1" s="25"/>
      <c r="H1" s="25"/>
      <c r="I1" s="25"/>
      <c r="J1" s="25"/>
      <c r="K1" s="25"/>
      <c r="L1" s="25"/>
      <c r="M1" s="70"/>
      <c r="N1" s="25"/>
      <c r="O1" s="25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</row>
    <row r="2" ht="37.5" customHeight="1">
      <c r="A2" s="1"/>
      <c r="B2" s="23"/>
      <c r="C2" s="71"/>
      <c r="D2" s="29"/>
      <c r="E2" s="29"/>
      <c r="F2" s="29"/>
      <c r="G2" s="29"/>
      <c r="H2" s="29"/>
      <c r="I2" s="29"/>
      <c r="J2" s="29"/>
      <c r="K2" s="29"/>
      <c r="L2" s="29"/>
      <c r="M2" s="93"/>
      <c r="N2" s="93"/>
      <c r="O2" s="93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</row>
    <row r="3" ht="6.75" customHeight="1">
      <c r="A3" s="1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</row>
    <row r="4" ht="27.75" customHeight="1">
      <c r="A4" s="1"/>
      <c r="C4" s="94" t="s">
        <v>122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</row>
    <row r="5" ht="18.75" customHeight="1">
      <c r="A5" s="1"/>
      <c r="L5" s="95"/>
      <c r="M5" s="95"/>
      <c r="N5" s="95"/>
      <c r="O5" s="95"/>
      <c r="P5" s="95"/>
      <c r="Q5" s="95"/>
      <c r="R5" s="95"/>
      <c r="S5" s="95"/>
      <c r="T5" s="95"/>
      <c r="U5" s="95"/>
      <c r="V5" s="32" t="s">
        <v>89</v>
      </c>
      <c r="W5" s="32" t="s">
        <v>90</v>
      </c>
      <c r="X5" s="32" t="s">
        <v>91</v>
      </c>
      <c r="Y5" s="32" t="s">
        <v>92</v>
      </c>
      <c r="Z5" s="32" t="s">
        <v>93</v>
      </c>
      <c r="AA5" s="32" t="s">
        <v>94</v>
      </c>
      <c r="AB5" s="32" t="s">
        <v>95</v>
      </c>
      <c r="AC5" s="32" t="s">
        <v>96</v>
      </c>
      <c r="AD5" s="32" t="s">
        <v>97</v>
      </c>
      <c r="AE5" s="32" t="s">
        <v>123</v>
      </c>
      <c r="AF5" s="32" t="s">
        <v>124</v>
      </c>
      <c r="AG5" s="32" t="s">
        <v>125</v>
      </c>
      <c r="AH5" s="32" t="s">
        <v>89</v>
      </c>
      <c r="AI5" s="32" t="s">
        <v>90</v>
      </c>
      <c r="AJ5" s="32" t="s">
        <v>91</v>
      </c>
      <c r="AK5" s="32" t="s">
        <v>92</v>
      </c>
      <c r="AL5" s="32" t="s">
        <v>93</v>
      </c>
      <c r="AM5" s="32" t="s">
        <v>94</v>
      </c>
      <c r="AN5" s="32" t="s">
        <v>95</v>
      </c>
      <c r="AO5" s="32" t="s">
        <v>96</v>
      </c>
      <c r="AP5" s="32" t="s">
        <v>97</v>
      </c>
      <c r="AQ5" s="32" t="s">
        <v>123</v>
      </c>
      <c r="AR5" s="32" t="s">
        <v>124</v>
      </c>
      <c r="AS5" s="32" t="s">
        <v>125</v>
      </c>
      <c r="AT5" s="32" t="s">
        <v>89</v>
      </c>
      <c r="AU5" s="32" t="s">
        <v>90</v>
      </c>
      <c r="AV5" s="32" t="s">
        <v>91</v>
      </c>
      <c r="AW5" s="32" t="s">
        <v>92</v>
      </c>
      <c r="AX5" s="32"/>
    </row>
    <row r="6" ht="30.0" customHeight="1">
      <c r="A6" s="33"/>
      <c r="B6" s="34"/>
      <c r="C6" s="35" t="s">
        <v>126</v>
      </c>
      <c r="D6" s="35" t="s">
        <v>127</v>
      </c>
      <c r="E6" s="35"/>
      <c r="F6" s="35" t="s">
        <v>128</v>
      </c>
      <c r="G6" s="35" t="s">
        <v>129</v>
      </c>
      <c r="H6" s="35" t="s">
        <v>130</v>
      </c>
      <c r="I6" s="35" t="s">
        <v>131</v>
      </c>
      <c r="J6" s="35" t="s">
        <v>132</v>
      </c>
      <c r="K6" s="35" t="s">
        <v>133</v>
      </c>
      <c r="L6" s="96"/>
      <c r="M6" s="96"/>
      <c r="N6" s="96"/>
      <c r="O6" s="96"/>
      <c r="P6" s="96"/>
      <c r="Q6" s="96"/>
      <c r="R6" s="96"/>
      <c r="S6" s="96"/>
      <c r="T6" s="96"/>
      <c r="U6" s="96"/>
      <c r="V6" s="38">
        <v>1.0</v>
      </c>
      <c r="W6" s="38">
        <v>1.0</v>
      </c>
      <c r="X6" s="38">
        <v>1.0</v>
      </c>
      <c r="Y6" s="38">
        <v>1.0</v>
      </c>
      <c r="Z6" s="38">
        <v>2.0</v>
      </c>
      <c r="AA6" s="38">
        <v>2.0</v>
      </c>
      <c r="AB6" s="38">
        <v>2.0</v>
      </c>
      <c r="AC6" s="38">
        <v>2.0</v>
      </c>
      <c r="AD6" s="38">
        <v>2.0</v>
      </c>
      <c r="AE6" s="38">
        <v>2.0</v>
      </c>
      <c r="AF6" s="38">
        <v>2.0</v>
      </c>
      <c r="AG6" s="38">
        <v>2.0</v>
      </c>
      <c r="AH6" s="38">
        <v>2.0</v>
      </c>
      <c r="AI6" s="38">
        <v>2.0</v>
      </c>
      <c r="AJ6" s="38">
        <v>2.0</v>
      </c>
      <c r="AK6" s="38">
        <v>2.0</v>
      </c>
      <c r="AL6" s="38">
        <v>3.0</v>
      </c>
      <c r="AM6" s="38">
        <v>3.0</v>
      </c>
      <c r="AN6" s="38">
        <v>3.0</v>
      </c>
      <c r="AO6" s="38">
        <v>3.0</v>
      </c>
      <c r="AP6" s="38">
        <v>3.0</v>
      </c>
      <c r="AQ6" s="38">
        <v>3.0</v>
      </c>
      <c r="AR6" s="38">
        <v>3.0</v>
      </c>
      <c r="AS6" s="38">
        <v>3.0</v>
      </c>
      <c r="AT6" s="38">
        <v>3.0</v>
      </c>
      <c r="AU6" s="38">
        <v>3.0</v>
      </c>
      <c r="AV6" s="38">
        <v>3.0</v>
      </c>
      <c r="AW6" s="38">
        <v>3.0</v>
      </c>
      <c r="AX6" s="38"/>
    </row>
    <row r="7" ht="30.0" customHeight="1">
      <c r="A7" s="1"/>
      <c r="C7" s="97" t="s">
        <v>134</v>
      </c>
      <c r="D7" s="39" t="s">
        <v>135</v>
      </c>
      <c r="E7" s="39" t="s">
        <v>104</v>
      </c>
      <c r="F7" s="39" t="s">
        <v>136</v>
      </c>
      <c r="G7" s="39" t="s">
        <v>137</v>
      </c>
      <c r="H7" s="42" t="s">
        <v>138</v>
      </c>
      <c r="I7" s="42" t="s">
        <v>139</v>
      </c>
      <c r="J7" s="42" t="s">
        <v>140</v>
      </c>
      <c r="K7" s="39" t="s">
        <v>141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</row>
    <row r="8" ht="28.5" customHeight="1">
      <c r="A8" s="1"/>
      <c r="C8" s="99"/>
      <c r="D8" s="104"/>
      <c r="E8" s="100" t="str">
        <f>IF(ISERROR(VLOOKUP(D8,'Matriz SWOT'!$J$5:$K$24,2,FALSE)),"",VLOOKUP(D8,'Matriz SWOT'!$J$5:$K$24,2,FALSE))</f>
        <v/>
      </c>
      <c r="F8" s="39"/>
      <c r="G8" s="101"/>
      <c r="H8" s="105"/>
      <c r="I8" s="106"/>
      <c r="J8" s="107"/>
      <c r="K8" s="100"/>
      <c r="L8" s="95"/>
      <c r="M8" s="32" t="str">
        <f t="shared" ref="M8:M57" si="1">#REF!</f>
        <v>#REF!</v>
      </c>
      <c r="N8" s="95"/>
      <c r="O8" s="32">
        <v>1.0</v>
      </c>
      <c r="P8" s="48" t="str">
        <f>VLOOKUP(LARGE('Matriz SWOT'!$I$5:$I$24,$O8),'Matriz SWOT'!$I$5:$J$24,2,FALSE)</f>
        <v/>
      </c>
      <c r="Q8" s="95"/>
      <c r="R8" s="103"/>
      <c r="S8" s="103"/>
      <c r="T8" s="95"/>
      <c r="U8" s="95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</row>
    <row r="9" ht="34.5" customHeight="1">
      <c r="A9" s="1"/>
      <c r="C9" s="102"/>
      <c r="D9" s="104"/>
      <c r="E9" s="100" t="str">
        <f>IF(ISERROR(VLOOKUP(D9,'Matriz SWOT'!$J$5:$K$24,2,FALSE)),"",VLOOKUP(D9,'Matriz SWOT'!$J$5:$K$24,2,FALSE))</f>
        <v/>
      </c>
      <c r="F9" s="39"/>
      <c r="G9" s="101"/>
      <c r="H9" s="42"/>
      <c r="I9" s="106"/>
      <c r="J9" s="108"/>
      <c r="K9" s="100"/>
      <c r="L9" s="95"/>
      <c r="M9" s="32" t="str">
        <f t="shared" si="1"/>
        <v>#REF!</v>
      </c>
      <c r="N9" s="95"/>
      <c r="O9" s="32">
        <v>2.0</v>
      </c>
      <c r="P9" s="48" t="str">
        <f>VLOOKUP(LARGE('Matriz SWOT'!$I$5:$I$24,$O9),'Matriz SWOT'!$I$5:$J$24,2,FALSE)</f>
        <v/>
      </c>
      <c r="Q9" s="95"/>
      <c r="R9" s="95"/>
      <c r="S9" s="95"/>
      <c r="T9" s="95"/>
      <c r="U9" s="95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</row>
    <row r="10" ht="34.5" customHeight="1">
      <c r="A10" s="1"/>
      <c r="C10" s="102"/>
      <c r="D10" s="109"/>
      <c r="E10" s="100" t="str">
        <f>IF(ISERROR(VLOOKUP(D10,'Matriz SWOT'!$J$5:$K$24,2,FALSE)),"",VLOOKUP(D10,'Matriz SWOT'!$J$5:$K$24,2,FALSE))</f>
        <v/>
      </c>
      <c r="F10" s="39"/>
      <c r="G10" s="101"/>
      <c r="H10" s="42"/>
      <c r="I10" s="106"/>
      <c r="J10" s="108"/>
      <c r="K10" s="100"/>
      <c r="L10" s="95"/>
      <c r="M10" s="32" t="str">
        <f t="shared" si="1"/>
        <v>#REF!</v>
      </c>
      <c r="N10" s="95"/>
      <c r="O10" s="32">
        <v>3.0</v>
      </c>
      <c r="P10" s="48" t="str">
        <f>VLOOKUP(LARGE('Matriz SWOT'!$I$5:$I$24,$O10),'Matriz SWOT'!$I$5:$J$24,2,FALSE)</f>
        <v/>
      </c>
      <c r="Q10" s="95"/>
      <c r="R10" s="95"/>
      <c r="S10" s="95"/>
      <c r="T10" s="95"/>
      <c r="U10" s="95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</row>
    <row r="11" ht="34.5" customHeight="1">
      <c r="A11" s="1"/>
      <c r="C11" s="102"/>
      <c r="D11" s="109"/>
      <c r="E11" s="100" t="str">
        <f>IF(ISERROR(VLOOKUP(D11,'Matriz SWOT'!$J$5:$K$24,2,FALSE)),"",VLOOKUP(D11,'Matriz SWOT'!$J$5:$K$24,2,FALSE))</f>
        <v/>
      </c>
      <c r="F11" s="39"/>
      <c r="G11" s="101"/>
      <c r="H11" s="42"/>
      <c r="I11" s="106"/>
      <c r="J11" s="108"/>
      <c r="K11" s="100"/>
      <c r="L11" s="95"/>
      <c r="M11" s="32" t="str">
        <f t="shared" si="1"/>
        <v>#REF!</v>
      </c>
      <c r="N11" s="95"/>
      <c r="O11" s="32">
        <v>4.0</v>
      </c>
      <c r="P11" s="48" t="str">
        <f>VLOOKUP(LARGE('Matriz SWOT'!$I$5:$I$24,$O11),'Matriz SWOT'!$I$5:$J$24,2,FALSE)</f>
        <v/>
      </c>
      <c r="Q11" s="95"/>
      <c r="R11" s="95"/>
      <c r="S11" s="95"/>
      <c r="T11" s="95"/>
      <c r="U11" s="95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</row>
    <row r="12" ht="34.5" customHeight="1">
      <c r="A12" s="1"/>
      <c r="C12" s="102"/>
      <c r="D12" s="109"/>
      <c r="E12" s="100" t="str">
        <f>IF(ISERROR(VLOOKUP(D12,'Matriz SWOT'!$J$5:$K$24,2,FALSE)),"",VLOOKUP(D12,'Matriz SWOT'!$J$5:$K$24,2,FALSE))</f>
        <v/>
      </c>
      <c r="F12" s="39"/>
      <c r="G12" s="101"/>
      <c r="H12" s="42"/>
      <c r="I12" s="106"/>
      <c r="J12" s="108"/>
      <c r="K12" s="100"/>
      <c r="L12" s="95"/>
      <c r="M12" s="32" t="str">
        <f t="shared" si="1"/>
        <v>#REF!</v>
      </c>
      <c r="N12" s="95"/>
      <c r="O12" s="32">
        <v>5.0</v>
      </c>
      <c r="P12" s="48" t="str">
        <f>VLOOKUP(LARGE('Matriz SWOT'!$I$5:$I$24,$O12),'Matriz SWOT'!$I$5:$J$24,2,FALSE)</f>
        <v/>
      </c>
      <c r="Q12" s="95"/>
      <c r="R12" s="95"/>
      <c r="S12" s="95"/>
      <c r="T12" s="95"/>
      <c r="U12" s="95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</row>
    <row r="13" ht="34.5" customHeight="1">
      <c r="A13" s="1"/>
      <c r="C13" s="102"/>
      <c r="D13" s="109"/>
      <c r="E13" s="100" t="str">
        <f>IF(ISERROR(VLOOKUP(D13,'Matriz SWOT'!$J$5:$K$24,2,FALSE)),"",VLOOKUP(D13,'Matriz SWOT'!$J$5:$K$24,2,FALSE))</f>
        <v/>
      </c>
      <c r="F13" s="39"/>
      <c r="G13" s="101"/>
      <c r="H13" s="42"/>
      <c r="I13" s="106"/>
      <c r="J13" s="108"/>
      <c r="K13" s="100"/>
      <c r="L13" s="95"/>
      <c r="M13" s="32" t="str">
        <f t="shared" si="1"/>
        <v>#REF!</v>
      </c>
      <c r="N13" s="95"/>
      <c r="O13" s="32">
        <v>6.0</v>
      </c>
      <c r="P13" s="48" t="str">
        <f>VLOOKUP(LARGE('Matriz SWOT'!$I$5:$I$24,$O13),'Matriz SWOT'!$I$5:$J$24,2,FALSE)</f>
        <v/>
      </c>
      <c r="Q13" s="95"/>
      <c r="R13" s="95"/>
      <c r="S13" s="95"/>
      <c r="T13" s="95"/>
      <c r="U13" s="95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</row>
    <row r="14" ht="34.5" customHeight="1">
      <c r="A14" s="1"/>
      <c r="C14" s="102"/>
      <c r="D14" s="109"/>
      <c r="E14" s="100" t="str">
        <f>IF(ISERROR(VLOOKUP(D14,'Matriz SWOT'!$J$5:$K$24,2,FALSE)),"",VLOOKUP(D14,'Matriz SWOT'!$J$5:$K$24,2,FALSE))</f>
        <v/>
      </c>
      <c r="F14" s="110"/>
      <c r="G14" s="101"/>
      <c r="H14" s="111"/>
      <c r="I14" s="106"/>
      <c r="J14" s="108"/>
      <c r="K14" s="100"/>
      <c r="L14" s="95"/>
      <c r="M14" s="32" t="str">
        <f t="shared" si="1"/>
        <v>#REF!</v>
      </c>
      <c r="N14" s="95"/>
      <c r="O14" s="32">
        <v>7.0</v>
      </c>
      <c r="P14" s="48" t="str">
        <f>VLOOKUP(LARGE('Matriz SWOT'!$I$5:$I$24,$O14),'Matriz SWOT'!$I$5:$J$24,2,FALSE)</f>
        <v/>
      </c>
      <c r="Q14" s="95"/>
      <c r="R14" s="95"/>
      <c r="S14" s="95"/>
      <c r="T14" s="95"/>
      <c r="U14" s="95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</row>
    <row r="15" ht="34.5" customHeight="1">
      <c r="A15" s="1"/>
      <c r="C15" s="102"/>
      <c r="D15" s="109"/>
      <c r="E15" s="100" t="str">
        <f>IF(ISERROR(VLOOKUP(D15,'Matriz SWOT'!$J$5:$K$24,2,FALSE)),"",VLOOKUP(D15,'Matriz SWOT'!$J$5:$K$24,2,FALSE))</f>
        <v/>
      </c>
      <c r="F15" s="110"/>
      <c r="G15" s="101"/>
      <c r="H15" s="111"/>
      <c r="I15" s="106"/>
      <c r="J15" s="108"/>
      <c r="K15" s="100"/>
      <c r="L15" s="95"/>
      <c r="M15" s="32" t="str">
        <f t="shared" si="1"/>
        <v>#REF!</v>
      </c>
      <c r="N15" s="95"/>
      <c r="O15" s="32">
        <v>8.0</v>
      </c>
      <c r="P15" s="48" t="str">
        <f>VLOOKUP(LARGE('Matriz SWOT'!$I$5:$I$24,$O15),'Matriz SWOT'!$I$5:$J$24,2,FALSE)</f>
        <v/>
      </c>
      <c r="Q15" s="95"/>
      <c r="R15" s="95"/>
      <c r="S15" s="95"/>
      <c r="T15" s="95"/>
      <c r="U15" s="95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</row>
    <row r="16" ht="34.5" customHeight="1">
      <c r="A16" s="1"/>
      <c r="C16" s="102"/>
      <c r="D16" s="109"/>
      <c r="E16" s="100" t="str">
        <f>IF(ISERROR(VLOOKUP(D16,'Matriz SWOT'!$J$5:$K$24,2,FALSE)),"",VLOOKUP(D16,'Matriz SWOT'!$J$5:$K$24,2,FALSE))</f>
        <v/>
      </c>
      <c r="F16" s="110"/>
      <c r="G16" s="101"/>
      <c r="H16" s="111"/>
      <c r="I16" s="106"/>
      <c r="J16" s="108"/>
      <c r="K16" s="100"/>
      <c r="L16" s="95"/>
      <c r="M16" s="32" t="str">
        <f t="shared" si="1"/>
        <v>#REF!</v>
      </c>
      <c r="N16" s="95"/>
      <c r="O16" s="32">
        <v>9.0</v>
      </c>
      <c r="P16" s="48" t="str">
        <f>VLOOKUP(LARGE('Matriz SWOT'!$I$5:$I$24,$O16),'Matriz SWOT'!$I$5:$J$24,2,FALSE)</f>
        <v/>
      </c>
      <c r="Q16" s="95"/>
      <c r="R16" s="95"/>
      <c r="S16" s="95"/>
      <c r="T16" s="95"/>
      <c r="U16" s="95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</row>
    <row r="17" ht="34.5" customHeight="1">
      <c r="A17" s="1"/>
      <c r="C17" s="102"/>
      <c r="D17" s="109"/>
      <c r="E17" s="100" t="str">
        <f>IF(ISERROR(VLOOKUP(D17,'Matriz SWOT'!$J$5:$K$24,2,FALSE)),"",VLOOKUP(D17,'Matriz SWOT'!$J$5:$K$24,2,FALSE))</f>
        <v/>
      </c>
      <c r="F17" s="110"/>
      <c r="G17" s="101"/>
      <c r="H17" s="111"/>
      <c r="I17" s="106"/>
      <c r="J17" s="108"/>
      <c r="K17" s="100"/>
      <c r="L17" s="95"/>
      <c r="M17" s="32" t="str">
        <f t="shared" si="1"/>
        <v>#REF!</v>
      </c>
      <c r="N17" s="95"/>
      <c r="O17" s="32">
        <v>10.0</v>
      </c>
      <c r="P17" s="48" t="str">
        <f>VLOOKUP(LARGE('Matriz SWOT'!$I$5:$I$24,$O17),'Matriz SWOT'!$I$5:$J$24,2,FALSE)</f>
        <v/>
      </c>
      <c r="Q17" s="95"/>
      <c r="R17" s="95"/>
      <c r="S17" s="95"/>
      <c r="T17" s="95"/>
      <c r="U17" s="95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</row>
    <row r="18" ht="34.5" customHeight="1">
      <c r="A18" s="1"/>
      <c r="C18" s="102"/>
      <c r="D18" s="109"/>
      <c r="E18" s="100" t="str">
        <f>IF(ISERROR(VLOOKUP(D18,'Matriz SWOT'!$J$5:$K$24,2,FALSE)),"",VLOOKUP(D18,'Matriz SWOT'!$J$5:$K$24,2,FALSE))</f>
        <v/>
      </c>
      <c r="F18" s="110"/>
      <c r="G18" s="101"/>
      <c r="H18" s="111"/>
      <c r="I18" s="106"/>
      <c r="J18" s="108"/>
      <c r="K18" s="100"/>
      <c r="L18" s="95"/>
      <c r="M18" s="32" t="str">
        <f t="shared" si="1"/>
        <v>#REF!</v>
      </c>
      <c r="N18" s="95"/>
      <c r="O18" s="32">
        <v>11.0</v>
      </c>
      <c r="P18" s="48" t="str">
        <f>VLOOKUP(LARGE('Matriz SWOT'!$I$5:$I$24,$O18),'Matriz SWOT'!$I$5:$J$24,2,FALSE)</f>
        <v/>
      </c>
      <c r="Q18" s="95"/>
      <c r="R18" s="95"/>
      <c r="S18" s="95"/>
      <c r="T18" s="95"/>
      <c r="U18" s="95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</row>
    <row r="19" ht="34.5" customHeight="1">
      <c r="A19" s="1"/>
      <c r="C19" s="102"/>
      <c r="D19" s="109"/>
      <c r="E19" s="100" t="str">
        <f>IF(ISERROR(VLOOKUP(D19,'Matriz SWOT'!$J$5:$K$24,2,FALSE)),"",VLOOKUP(D19,'Matriz SWOT'!$J$5:$K$24,2,FALSE))</f>
        <v/>
      </c>
      <c r="F19" s="110"/>
      <c r="G19" s="101"/>
      <c r="H19" s="111"/>
      <c r="I19" s="106"/>
      <c r="J19" s="108"/>
      <c r="K19" s="100"/>
      <c r="L19" s="95"/>
      <c r="M19" s="32" t="str">
        <f t="shared" si="1"/>
        <v>#REF!</v>
      </c>
      <c r="N19" s="95"/>
      <c r="O19" s="32">
        <v>12.0</v>
      </c>
      <c r="P19" s="48" t="str">
        <f>VLOOKUP(LARGE('Matriz SWOT'!$I$5:$I$24,$O19),'Matriz SWOT'!$I$5:$J$24,2,FALSE)</f>
        <v/>
      </c>
      <c r="Q19" s="95"/>
      <c r="R19" s="95"/>
      <c r="S19" s="95"/>
      <c r="T19" s="95"/>
      <c r="U19" s="95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</row>
    <row r="20" ht="34.5" customHeight="1">
      <c r="A20" s="1"/>
      <c r="C20" s="102"/>
      <c r="D20" s="109"/>
      <c r="E20" s="100" t="str">
        <f>IF(ISERROR(VLOOKUP(D20,'Matriz SWOT'!$J$5:$K$24,2,FALSE)),"",VLOOKUP(D20,'Matriz SWOT'!$J$5:$K$24,2,FALSE))</f>
        <v/>
      </c>
      <c r="F20" s="110"/>
      <c r="G20" s="101"/>
      <c r="H20" s="111"/>
      <c r="I20" s="106"/>
      <c r="J20" s="108"/>
      <c r="K20" s="100"/>
      <c r="L20" s="95"/>
      <c r="M20" s="32" t="str">
        <f t="shared" si="1"/>
        <v>#REF!</v>
      </c>
      <c r="N20" s="95"/>
      <c r="O20" s="32">
        <v>13.0</v>
      </c>
      <c r="P20" s="48" t="str">
        <f>VLOOKUP(LARGE('Matriz SWOT'!$I$5:$I$24,$O20),'Matriz SWOT'!$I$5:$J$24,2,FALSE)</f>
        <v/>
      </c>
      <c r="Q20" s="95"/>
      <c r="R20" s="95"/>
      <c r="S20" s="95"/>
      <c r="T20" s="95"/>
      <c r="U20" s="95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</row>
    <row r="21" ht="34.5" customHeight="1">
      <c r="A21" s="1"/>
      <c r="C21" s="102"/>
      <c r="D21" s="109"/>
      <c r="E21" s="100" t="str">
        <f>IF(ISERROR(VLOOKUP(D21,'Matriz SWOT'!$J$5:$K$24,2,FALSE)),"",VLOOKUP(D21,'Matriz SWOT'!$J$5:$K$24,2,FALSE))</f>
        <v/>
      </c>
      <c r="F21" s="110"/>
      <c r="G21" s="101"/>
      <c r="H21" s="111"/>
      <c r="I21" s="106"/>
      <c r="J21" s="108"/>
      <c r="K21" s="100"/>
      <c r="L21" s="95"/>
      <c r="M21" s="32" t="str">
        <f t="shared" si="1"/>
        <v>#REF!</v>
      </c>
      <c r="N21" s="95"/>
      <c r="O21" s="32">
        <v>14.0</v>
      </c>
      <c r="P21" s="48" t="str">
        <f>VLOOKUP(LARGE('Matriz SWOT'!$I$5:$I$24,$O21),'Matriz SWOT'!$I$5:$J$24,2,FALSE)</f>
        <v/>
      </c>
      <c r="Q21" s="95"/>
      <c r="R21" s="95"/>
      <c r="S21" s="95"/>
      <c r="T21" s="95"/>
      <c r="U21" s="95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</row>
    <row r="22" ht="34.5" customHeight="1">
      <c r="A22" s="1"/>
      <c r="C22" s="102"/>
      <c r="D22" s="109"/>
      <c r="E22" s="100" t="str">
        <f>IF(ISERROR(VLOOKUP(D22,'Matriz SWOT'!$J$5:$K$24,2,FALSE)),"",VLOOKUP(D22,'Matriz SWOT'!$J$5:$K$24,2,FALSE))</f>
        <v/>
      </c>
      <c r="F22" s="110"/>
      <c r="G22" s="101"/>
      <c r="H22" s="111"/>
      <c r="I22" s="106"/>
      <c r="J22" s="108"/>
      <c r="K22" s="100"/>
      <c r="L22" s="95"/>
      <c r="M22" s="32" t="str">
        <f t="shared" si="1"/>
        <v>#REF!</v>
      </c>
      <c r="N22" s="95"/>
      <c r="O22" s="32">
        <v>15.0</v>
      </c>
      <c r="P22" s="48" t="str">
        <f>VLOOKUP(LARGE('Matriz SWOT'!$I$5:$I$24,$O22),'Matriz SWOT'!$I$5:$J$24,2,FALSE)</f>
        <v/>
      </c>
      <c r="Q22" s="95"/>
      <c r="R22" s="95"/>
      <c r="S22" s="95"/>
      <c r="T22" s="95"/>
      <c r="U22" s="95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</row>
    <row r="23" ht="34.5" customHeight="1">
      <c r="A23" s="1"/>
      <c r="C23" s="102"/>
      <c r="D23" s="109"/>
      <c r="E23" s="100" t="str">
        <f>IF(ISERROR(VLOOKUP(D23,'Matriz SWOT'!$J$5:$K$24,2,FALSE)),"",VLOOKUP(D23,'Matriz SWOT'!$J$5:$K$24,2,FALSE))</f>
        <v/>
      </c>
      <c r="F23" s="110"/>
      <c r="G23" s="101"/>
      <c r="H23" s="111"/>
      <c r="I23" s="106"/>
      <c r="J23" s="108"/>
      <c r="K23" s="100"/>
      <c r="L23" s="95"/>
      <c r="M23" s="32" t="str">
        <f t="shared" si="1"/>
        <v>#REF!</v>
      </c>
      <c r="N23" s="95"/>
      <c r="O23" s="32">
        <v>16.0</v>
      </c>
      <c r="P23" s="48" t="str">
        <f>VLOOKUP(LARGE('Matriz SWOT'!$I$5:$I$24,$O23),'Matriz SWOT'!$I$5:$J$24,2,FALSE)</f>
        <v/>
      </c>
      <c r="Q23" s="95"/>
      <c r="R23" s="95"/>
      <c r="S23" s="95"/>
      <c r="T23" s="95"/>
      <c r="U23" s="95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</row>
    <row r="24" ht="34.5" customHeight="1">
      <c r="A24" s="1"/>
      <c r="C24" s="102"/>
      <c r="D24" s="109"/>
      <c r="E24" s="100" t="str">
        <f>IF(ISERROR(VLOOKUP(D24,'Matriz SWOT'!$J$5:$K$24,2,FALSE)),"",VLOOKUP(D24,'Matriz SWOT'!$J$5:$K$24,2,FALSE))</f>
        <v/>
      </c>
      <c r="F24" s="110"/>
      <c r="G24" s="101"/>
      <c r="H24" s="111"/>
      <c r="I24" s="106"/>
      <c r="J24" s="108"/>
      <c r="K24" s="100"/>
      <c r="L24" s="95"/>
      <c r="M24" s="32" t="str">
        <f t="shared" si="1"/>
        <v>#REF!</v>
      </c>
      <c r="N24" s="95"/>
      <c r="O24" s="32">
        <v>17.0</v>
      </c>
      <c r="P24" s="48" t="str">
        <f>VLOOKUP(LARGE('Matriz SWOT'!$I$5:$I$24,$O24),'Matriz SWOT'!$I$5:$J$24,2,FALSE)</f>
        <v/>
      </c>
      <c r="Q24" s="95"/>
      <c r="R24" s="95"/>
      <c r="S24" s="95"/>
      <c r="T24" s="95"/>
      <c r="U24" s="95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</row>
    <row r="25" ht="34.5" customHeight="1">
      <c r="A25" s="1"/>
      <c r="C25" s="102"/>
      <c r="D25" s="109"/>
      <c r="E25" s="100" t="str">
        <f>IF(ISERROR(VLOOKUP(D25,'Matriz SWOT'!$J$5:$K$24,2,FALSE)),"",VLOOKUP(D25,'Matriz SWOT'!$J$5:$K$24,2,FALSE))</f>
        <v/>
      </c>
      <c r="F25" s="110"/>
      <c r="G25" s="101"/>
      <c r="H25" s="111"/>
      <c r="I25" s="106"/>
      <c r="J25" s="108"/>
      <c r="K25" s="100"/>
      <c r="L25" s="95"/>
      <c r="M25" s="32" t="str">
        <f t="shared" si="1"/>
        <v>#REF!</v>
      </c>
      <c r="N25" s="95"/>
      <c r="O25" s="32">
        <v>18.0</v>
      </c>
      <c r="P25" s="48" t="str">
        <f>VLOOKUP(LARGE('Matriz SWOT'!$I$5:$I$24,$O25),'Matriz SWOT'!$I$5:$J$24,2,FALSE)</f>
        <v/>
      </c>
      <c r="Q25" s="95"/>
      <c r="R25" s="95"/>
      <c r="S25" s="95"/>
      <c r="T25" s="95"/>
      <c r="U25" s="95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</row>
    <row r="26" ht="34.5" customHeight="1">
      <c r="A26" s="1"/>
      <c r="C26" s="102"/>
      <c r="D26" s="109"/>
      <c r="E26" s="100" t="str">
        <f>IF(ISERROR(VLOOKUP(D26,'Matriz SWOT'!$J$5:$K$24,2,FALSE)),"",VLOOKUP(D26,'Matriz SWOT'!$J$5:$K$24,2,FALSE))</f>
        <v/>
      </c>
      <c r="F26" s="110"/>
      <c r="G26" s="101"/>
      <c r="H26" s="111"/>
      <c r="I26" s="106"/>
      <c r="J26" s="108"/>
      <c r="K26" s="100"/>
      <c r="L26" s="95"/>
      <c r="M26" s="32" t="str">
        <f t="shared" si="1"/>
        <v>#REF!</v>
      </c>
      <c r="N26" s="95"/>
      <c r="O26" s="32">
        <v>19.0</v>
      </c>
      <c r="P26" s="48" t="str">
        <f>VLOOKUP(LARGE('Matriz SWOT'!$I$5:$I$24,$O26),'Matriz SWOT'!$I$5:$J$24,2,FALSE)</f>
        <v/>
      </c>
      <c r="Q26" s="95"/>
      <c r="R26" s="95"/>
      <c r="S26" s="95"/>
      <c r="T26" s="95"/>
      <c r="U26" s="95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</row>
    <row r="27" ht="34.5" customHeight="1">
      <c r="A27" s="1"/>
      <c r="C27" s="102"/>
      <c r="D27" s="109"/>
      <c r="E27" s="100" t="str">
        <f>IF(ISERROR(VLOOKUP(D27,'Matriz SWOT'!$J$5:$K$24,2,FALSE)),"",VLOOKUP(D27,'Matriz SWOT'!$J$5:$K$24,2,FALSE))</f>
        <v/>
      </c>
      <c r="F27" s="110"/>
      <c r="G27" s="101"/>
      <c r="H27" s="111"/>
      <c r="I27" s="106"/>
      <c r="J27" s="112"/>
      <c r="K27" s="100"/>
      <c r="L27" s="95"/>
      <c r="M27" s="32" t="str">
        <f t="shared" si="1"/>
        <v>#REF!</v>
      </c>
      <c r="N27" s="95"/>
      <c r="O27" s="32">
        <v>20.0</v>
      </c>
      <c r="P27" s="48" t="str">
        <f>VLOOKUP(LARGE('Matriz SWOT'!$I$5:$I$24,$O27),'Matriz SWOT'!$I$5:$J$24,2,FALSE)</f>
        <v/>
      </c>
      <c r="Q27" s="95"/>
      <c r="R27" s="95"/>
      <c r="S27" s="95"/>
      <c r="T27" s="95"/>
      <c r="U27" s="95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</row>
    <row r="28" ht="34.5" customHeight="1">
      <c r="A28" s="1"/>
      <c r="C28" s="102"/>
      <c r="D28" s="109"/>
      <c r="E28" s="100" t="str">
        <f>IF(ISERROR(VLOOKUP(D28,'Matriz SWOT'!$J$5:$K$24,2,FALSE)),"",VLOOKUP(D28,'Matriz SWOT'!$J$5:$K$24,2,FALSE))</f>
        <v/>
      </c>
      <c r="F28" s="110"/>
      <c r="G28" s="101"/>
      <c r="H28" s="111"/>
      <c r="I28" s="106"/>
      <c r="J28" s="112"/>
      <c r="K28" s="100"/>
      <c r="L28" s="95"/>
      <c r="M28" s="32" t="str">
        <f t="shared" si="1"/>
        <v>#REF!</v>
      </c>
      <c r="N28" s="95"/>
      <c r="O28" s="95"/>
      <c r="P28" s="103"/>
      <c r="Q28" s="95"/>
      <c r="R28" s="95"/>
      <c r="S28" s="95"/>
      <c r="T28" s="95"/>
      <c r="U28" s="95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</row>
    <row r="29" ht="34.5" customHeight="1">
      <c r="A29" s="1"/>
      <c r="C29" s="102"/>
      <c r="D29" s="109"/>
      <c r="E29" s="100" t="str">
        <f>IF(ISERROR(VLOOKUP(D29,'Matriz SWOT'!$J$5:$K$24,2,FALSE)),"",VLOOKUP(D29,'Matriz SWOT'!$J$5:$K$24,2,FALSE))</f>
        <v/>
      </c>
      <c r="F29" s="110"/>
      <c r="G29" s="101"/>
      <c r="H29" s="111"/>
      <c r="I29" s="106"/>
      <c r="J29" s="112"/>
      <c r="K29" s="100"/>
      <c r="L29" s="95"/>
      <c r="M29" s="32" t="str">
        <f t="shared" si="1"/>
        <v>#REF!</v>
      </c>
      <c r="N29" s="95"/>
      <c r="O29" s="95"/>
      <c r="P29" s="103"/>
      <c r="Q29" s="95"/>
      <c r="R29" s="95"/>
      <c r="S29" s="95"/>
      <c r="T29" s="95"/>
      <c r="U29" s="95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</row>
    <row r="30" ht="34.5" customHeight="1">
      <c r="A30" s="1"/>
      <c r="C30" s="102"/>
      <c r="D30" s="109"/>
      <c r="E30" s="100" t="str">
        <f>IF(ISERROR(VLOOKUP(D30,'Matriz SWOT'!$J$5:$K$24,2,FALSE)),"",VLOOKUP(D30,'Matriz SWOT'!$J$5:$K$24,2,FALSE))</f>
        <v/>
      </c>
      <c r="F30" s="110"/>
      <c r="G30" s="101"/>
      <c r="H30" s="111"/>
      <c r="I30" s="106"/>
      <c r="J30" s="112"/>
      <c r="K30" s="100"/>
      <c r="L30" s="95"/>
      <c r="M30" s="32" t="str">
        <f t="shared" si="1"/>
        <v>#REF!</v>
      </c>
      <c r="N30" s="95"/>
      <c r="O30" s="95"/>
      <c r="P30" s="103"/>
      <c r="Q30" s="95"/>
      <c r="R30" s="95"/>
      <c r="S30" s="95"/>
      <c r="T30" s="95"/>
      <c r="U30" s="95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</row>
    <row r="31" ht="34.5" customHeight="1">
      <c r="A31" s="1"/>
      <c r="C31" s="102"/>
      <c r="D31" s="109"/>
      <c r="E31" s="100" t="str">
        <f>IF(ISERROR(VLOOKUP(D31,'Matriz SWOT'!$J$5:$K$24,2,FALSE)),"",VLOOKUP(D31,'Matriz SWOT'!$J$5:$K$24,2,FALSE))</f>
        <v/>
      </c>
      <c r="F31" s="110"/>
      <c r="G31" s="101"/>
      <c r="H31" s="111"/>
      <c r="I31" s="106"/>
      <c r="J31" s="112"/>
      <c r="K31" s="100"/>
      <c r="L31" s="95"/>
      <c r="M31" s="32" t="str">
        <f t="shared" si="1"/>
        <v>#REF!</v>
      </c>
      <c r="N31" s="95"/>
      <c r="O31" s="95"/>
      <c r="P31" s="103"/>
      <c r="Q31" s="95"/>
      <c r="R31" s="95"/>
      <c r="S31" s="95"/>
      <c r="T31" s="95"/>
      <c r="U31" s="95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</row>
    <row r="32" ht="34.5" customHeight="1">
      <c r="A32" s="1"/>
      <c r="C32" s="102"/>
      <c r="D32" s="109"/>
      <c r="E32" s="100" t="str">
        <f>IF(ISERROR(VLOOKUP(D32,'Matriz SWOT'!$J$5:$K$24,2,FALSE)),"",VLOOKUP(D32,'Matriz SWOT'!$J$5:$K$24,2,FALSE))</f>
        <v/>
      </c>
      <c r="F32" s="110"/>
      <c r="G32" s="101"/>
      <c r="H32" s="111"/>
      <c r="I32" s="106"/>
      <c r="J32" s="112"/>
      <c r="K32" s="100"/>
      <c r="L32" s="95"/>
      <c r="M32" s="32" t="str">
        <f t="shared" si="1"/>
        <v>#REF!</v>
      </c>
      <c r="N32" s="95"/>
      <c r="O32" s="95"/>
      <c r="P32" s="103"/>
      <c r="Q32" s="95"/>
      <c r="R32" s="95"/>
      <c r="S32" s="95"/>
      <c r="T32" s="95"/>
      <c r="U32" s="95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</row>
    <row r="33" ht="34.5" customHeight="1">
      <c r="A33" s="1"/>
      <c r="C33" s="102"/>
      <c r="D33" s="109"/>
      <c r="E33" s="100" t="str">
        <f>IF(ISERROR(VLOOKUP(D33,'Matriz SWOT'!$J$5:$K$24,2,FALSE)),"",VLOOKUP(D33,'Matriz SWOT'!$J$5:$K$24,2,FALSE))</f>
        <v/>
      </c>
      <c r="F33" s="110"/>
      <c r="G33" s="101"/>
      <c r="H33" s="111"/>
      <c r="I33" s="106"/>
      <c r="J33" s="112"/>
      <c r="K33" s="100"/>
      <c r="L33" s="95"/>
      <c r="M33" s="32" t="str">
        <f t="shared" si="1"/>
        <v>#REF!</v>
      </c>
      <c r="N33" s="95"/>
      <c r="O33" s="95"/>
      <c r="P33" s="103"/>
      <c r="Q33" s="95"/>
      <c r="R33" s="95"/>
      <c r="S33" s="95"/>
      <c r="T33" s="95"/>
      <c r="U33" s="95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</row>
    <row r="34" ht="34.5" customHeight="1">
      <c r="A34" s="1"/>
      <c r="C34" s="102"/>
      <c r="D34" s="109"/>
      <c r="E34" s="100" t="str">
        <f>IF(ISERROR(VLOOKUP(D34,'Matriz SWOT'!$J$5:$K$24,2,FALSE)),"",VLOOKUP(D34,'Matriz SWOT'!$J$5:$K$24,2,FALSE))</f>
        <v/>
      </c>
      <c r="F34" s="110"/>
      <c r="G34" s="101" t="str">
        <f t="shared" ref="G34:G107" si="2">IF(F34=0,"",VLOOKUP(F34,#REF!,2,FALSE))</f>
        <v/>
      </c>
      <c r="H34" s="111"/>
      <c r="I34" s="106"/>
      <c r="J34" s="112"/>
      <c r="K34" s="100"/>
      <c r="L34" s="95"/>
      <c r="M34" s="32" t="str">
        <f t="shared" si="1"/>
        <v>#REF!</v>
      </c>
      <c r="N34" s="95"/>
      <c r="O34" s="95"/>
      <c r="P34" s="103"/>
      <c r="Q34" s="95"/>
      <c r="R34" s="95"/>
      <c r="S34" s="95"/>
      <c r="T34" s="95"/>
      <c r="U34" s="95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</row>
    <row r="35" ht="34.5" customHeight="1">
      <c r="A35" s="1"/>
      <c r="C35" s="102"/>
      <c r="D35" s="109"/>
      <c r="E35" s="100" t="str">
        <f>IF(ISERROR(VLOOKUP(D35,'Matriz SWOT'!$J$5:$K$24,2,FALSE)),"",VLOOKUP(D35,'Matriz SWOT'!$J$5:$K$24,2,FALSE))</f>
        <v/>
      </c>
      <c r="F35" s="110"/>
      <c r="G35" s="101" t="str">
        <f t="shared" si="2"/>
        <v/>
      </c>
      <c r="H35" s="111"/>
      <c r="I35" s="106"/>
      <c r="J35" s="112"/>
      <c r="K35" s="100"/>
      <c r="L35" s="95"/>
      <c r="M35" s="32" t="str">
        <f t="shared" si="1"/>
        <v>#REF!</v>
      </c>
      <c r="N35" s="95"/>
      <c r="O35" s="95"/>
      <c r="P35" s="103"/>
      <c r="Q35" s="95"/>
      <c r="R35" s="95"/>
      <c r="S35" s="95"/>
      <c r="T35" s="95"/>
      <c r="U35" s="95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</row>
    <row r="36" ht="34.5" customHeight="1">
      <c r="A36" s="1"/>
      <c r="C36" s="102"/>
      <c r="D36" s="109"/>
      <c r="E36" s="100" t="str">
        <f>IF(ISERROR(VLOOKUP(D36,'Matriz SWOT'!$J$5:$K$24,2,FALSE)),"",VLOOKUP(D36,'Matriz SWOT'!$J$5:$K$24,2,FALSE))</f>
        <v/>
      </c>
      <c r="F36" s="110"/>
      <c r="G36" s="101" t="str">
        <f t="shared" si="2"/>
        <v/>
      </c>
      <c r="H36" s="111"/>
      <c r="I36" s="106"/>
      <c r="J36" s="112"/>
      <c r="K36" s="100"/>
      <c r="L36" s="95"/>
      <c r="M36" s="32" t="str">
        <f t="shared" si="1"/>
        <v>#REF!</v>
      </c>
      <c r="N36" s="95"/>
      <c r="O36" s="95"/>
      <c r="P36" s="103"/>
      <c r="Q36" s="95"/>
      <c r="R36" s="95"/>
      <c r="S36" s="95"/>
      <c r="T36" s="95"/>
      <c r="U36" s="95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</row>
    <row r="37" ht="34.5" customHeight="1">
      <c r="A37" s="1"/>
      <c r="C37" s="102"/>
      <c r="D37" s="109"/>
      <c r="E37" s="100" t="str">
        <f>IF(ISERROR(VLOOKUP(D37,'Matriz SWOT'!$J$5:$K$24,2,FALSE)),"",VLOOKUP(D37,'Matriz SWOT'!$J$5:$K$24,2,FALSE))</f>
        <v/>
      </c>
      <c r="F37" s="110"/>
      <c r="G37" s="101" t="str">
        <f t="shared" si="2"/>
        <v/>
      </c>
      <c r="H37" s="111"/>
      <c r="I37" s="106"/>
      <c r="J37" s="112"/>
      <c r="K37" s="100"/>
      <c r="L37" s="95"/>
      <c r="M37" s="32" t="str">
        <f t="shared" si="1"/>
        <v>#REF!</v>
      </c>
      <c r="N37" s="95"/>
      <c r="O37" s="95"/>
      <c r="P37" s="103"/>
      <c r="Q37" s="95"/>
      <c r="R37" s="95"/>
      <c r="S37" s="95"/>
      <c r="T37" s="95"/>
      <c r="U37" s="95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</row>
    <row r="38" ht="34.5" customHeight="1">
      <c r="A38" s="1"/>
      <c r="C38" s="102"/>
      <c r="D38" s="109"/>
      <c r="E38" s="100" t="str">
        <f>IF(ISERROR(VLOOKUP(D38,'Matriz SWOT'!$J$5:$K$24,2,FALSE)),"",VLOOKUP(D38,'Matriz SWOT'!$J$5:$K$24,2,FALSE))</f>
        <v/>
      </c>
      <c r="F38" s="110"/>
      <c r="G38" s="101" t="str">
        <f t="shared" si="2"/>
        <v/>
      </c>
      <c r="H38" s="111"/>
      <c r="I38" s="106"/>
      <c r="J38" s="112"/>
      <c r="K38" s="100"/>
      <c r="L38" s="95"/>
      <c r="M38" s="32" t="str">
        <f t="shared" si="1"/>
        <v>#REF!</v>
      </c>
      <c r="N38" s="95"/>
      <c r="O38" s="95"/>
      <c r="P38" s="103"/>
      <c r="Q38" s="95"/>
      <c r="R38" s="95"/>
      <c r="S38" s="95"/>
      <c r="T38" s="95"/>
      <c r="U38" s="95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</row>
    <row r="39" ht="34.5" customHeight="1">
      <c r="A39" s="1"/>
      <c r="C39" s="102"/>
      <c r="D39" s="109"/>
      <c r="E39" s="100" t="str">
        <f>IF(ISERROR(VLOOKUP(D39,'Matriz SWOT'!$J$5:$K$24,2,FALSE)),"",VLOOKUP(D39,'Matriz SWOT'!$J$5:$K$24,2,FALSE))</f>
        <v/>
      </c>
      <c r="F39" s="110"/>
      <c r="G39" s="101" t="str">
        <f t="shared" si="2"/>
        <v/>
      </c>
      <c r="H39" s="111"/>
      <c r="I39" s="106"/>
      <c r="J39" s="112"/>
      <c r="K39" s="100"/>
      <c r="L39" s="95"/>
      <c r="M39" s="32" t="str">
        <f t="shared" si="1"/>
        <v>#REF!</v>
      </c>
      <c r="N39" s="95"/>
      <c r="O39" s="95"/>
      <c r="P39" s="103"/>
      <c r="Q39" s="95"/>
      <c r="R39" s="95"/>
      <c r="S39" s="95"/>
      <c r="T39" s="95"/>
      <c r="U39" s="95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</row>
    <row r="40" ht="34.5" customHeight="1">
      <c r="A40" s="1"/>
      <c r="C40" s="102"/>
      <c r="D40" s="109"/>
      <c r="E40" s="100" t="str">
        <f>IF(ISERROR(VLOOKUP(D40,'Matriz SWOT'!$J$5:$K$24,2,FALSE)),"",VLOOKUP(D40,'Matriz SWOT'!$J$5:$K$24,2,FALSE))</f>
        <v/>
      </c>
      <c r="F40" s="110"/>
      <c r="G40" s="101" t="str">
        <f t="shared" si="2"/>
        <v/>
      </c>
      <c r="H40" s="111"/>
      <c r="I40" s="106"/>
      <c r="J40" s="112"/>
      <c r="K40" s="100"/>
      <c r="L40" s="95"/>
      <c r="M40" s="32" t="str">
        <f t="shared" si="1"/>
        <v>#REF!</v>
      </c>
      <c r="N40" s="95"/>
      <c r="O40" s="95"/>
      <c r="P40" s="103"/>
      <c r="Q40" s="95"/>
      <c r="R40" s="95"/>
      <c r="S40" s="95"/>
      <c r="T40" s="95"/>
      <c r="U40" s="95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</row>
    <row r="41" ht="34.5" customHeight="1">
      <c r="A41" s="1"/>
      <c r="C41" s="102"/>
      <c r="D41" s="109"/>
      <c r="E41" s="100" t="str">
        <f>IF(ISERROR(VLOOKUP(D41,'Matriz SWOT'!$J$5:$K$24,2,FALSE)),"",VLOOKUP(D41,'Matriz SWOT'!$J$5:$K$24,2,FALSE))</f>
        <v/>
      </c>
      <c r="F41" s="110"/>
      <c r="G41" s="101" t="str">
        <f t="shared" si="2"/>
        <v/>
      </c>
      <c r="H41" s="111"/>
      <c r="I41" s="106"/>
      <c r="J41" s="112"/>
      <c r="K41" s="100"/>
      <c r="L41" s="95"/>
      <c r="M41" s="32" t="str">
        <f t="shared" si="1"/>
        <v>#REF!</v>
      </c>
      <c r="N41" s="95"/>
      <c r="O41" s="95"/>
      <c r="P41" s="103"/>
      <c r="Q41" s="95"/>
      <c r="R41" s="95"/>
      <c r="S41" s="95"/>
      <c r="T41" s="95"/>
      <c r="U41" s="95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</row>
    <row r="42" ht="34.5" customHeight="1">
      <c r="A42" s="1"/>
      <c r="C42" s="102"/>
      <c r="D42" s="109"/>
      <c r="E42" s="100" t="str">
        <f>IF(ISERROR(VLOOKUP(D42,'Matriz SWOT'!$J$5:$K$24,2,FALSE)),"",VLOOKUP(D42,'Matriz SWOT'!$J$5:$K$24,2,FALSE))</f>
        <v/>
      </c>
      <c r="F42" s="110"/>
      <c r="G42" s="101" t="str">
        <f t="shared" si="2"/>
        <v/>
      </c>
      <c r="H42" s="111"/>
      <c r="I42" s="106"/>
      <c r="J42" s="112"/>
      <c r="K42" s="100"/>
      <c r="L42" s="95"/>
      <c r="M42" s="32" t="str">
        <f t="shared" si="1"/>
        <v>#REF!</v>
      </c>
      <c r="N42" s="95"/>
      <c r="O42" s="95"/>
      <c r="P42" s="103"/>
      <c r="Q42" s="95"/>
      <c r="R42" s="95"/>
      <c r="S42" s="95"/>
      <c r="T42" s="95"/>
      <c r="U42" s="95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</row>
    <row r="43" ht="34.5" customHeight="1">
      <c r="A43" s="1"/>
      <c r="C43" s="102"/>
      <c r="D43" s="109"/>
      <c r="E43" s="100" t="str">
        <f>IF(ISERROR(VLOOKUP(D43,'Matriz SWOT'!$J$5:$K$24,2,FALSE)),"",VLOOKUP(D43,'Matriz SWOT'!$J$5:$K$24,2,FALSE))</f>
        <v/>
      </c>
      <c r="F43" s="110"/>
      <c r="G43" s="101" t="str">
        <f t="shared" si="2"/>
        <v/>
      </c>
      <c r="H43" s="111"/>
      <c r="I43" s="106"/>
      <c r="J43" s="112"/>
      <c r="K43" s="100"/>
      <c r="L43" s="95"/>
      <c r="M43" s="32" t="str">
        <f t="shared" si="1"/>
        <v>#REF!</v>
      </c>
      <c r="N43" s="95"/>
      <c r="O43" s="95"/>
      <c r="P43" s="103"/>
      <c r="Q43" s="95"/>
      <c r="R43" s="95"/>
      <c r="S43" s="95"/>
      <c r="T43" s="95"/>
      <c r="U43" s="95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</row>
    <row r="44" ht="34.5" customHeight="1">
      <c r="A44" s="1"/>
      <c r="C44" s="102"/>
      <c r="D44" s="109"/>
      <c r="E44" s="100" t="str">
        <f>IF(ISERROR(VLOOKUP(D44,'Matriz SWOT'!$J$5:$K$24,2,FALSE)),"",VLOOKUP(D44,'Matriz SWOT'!$J$5:$K$24,2,FALSE))</f>
        <v/>
      </c>
      <c r="F44" s="110"/>
      <c r="G44" s="101" t="str">
        <f t="shared" si="2"/>
        <v/>
      </c>
      <c r="H44" s="111"/>
      <c r="I44" s="106"/>
      <c r="J44" s="112"/>
      <c r="K44" s="100"/>
      <c r="L44" s="95"/>
      <c r="M44" s="32" t="str">
        <f t="shared" si="1"/>
        <v>#REF!</v>
      </c>
      <c r="N44" s="95"/>
      <c r="O44" s="95"/>
      <c r="P44" s="103"/>
      <c r="Q44" s="95"/>
      <c r="R44" s="95"/>
      <c r="S44" s="95"/>
      <c r="T44" s="95"/>
      <c r="U44" s="95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</row>
    <row r="45" ht="34.5" customHeight="1">
      <c r="A45" s="1"/>
      <c r="C45" s="102"/>
      <c r="D45" s="109"/>
      <c r="E45" s="100" t="str">
        <f>IF(ISERROR(VLOOKUP(D45,'Matriz SWOT'!$J$5:$K$24,2,FALSE)),"",VLOOKUP(D45,'Matriz SWOT'!$J$5:$K$24,2,FALSE))</f>
        <v/>
      </c>
      <c r="F45" s="110"/>
      <c r="G45" s="101" t="str">
        <f t="shared" si="2"/>
        <v/>
      </c>
      <c r="H45" s="111"/>
      <c r="I45" s="106"/>
      <c r="J45" s="112"/>
      <c r="K45" s="100"/>
      <c r="L45" s="95"/>
      <c r="M45" s="32" t="str">
        <f t="shared" si="1"/>
        <v>#REF!</v>
      </c>
      <c r="N45" s="95"/>
      <c r="O45" s="95"/>
      <c r="P45" s="103"/>
      <c r="Q45" s="95"/>
      <c r="R45" s="95"/>
      <c r="S45" s="95"/>
      <c r="T45" s="95"/>
      <c r="U45" s="95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</row>
    <row r="46" ht="34.5" customHeight="1">
      <c r="A46" s="1"/>
      <c r="C46" s="102"/>
      <c r="D46" s="109"/>
      <c r="E46" s="100" t="str">
        <f>IF(ISERROR(VLOOKUP(D46,'Matriz SWOT'!$J$5:$K$24,2,FALSE)),"",VLOOKUP(D46,'Matriz SWOT'!$J$5:$K$24,2,FALSE))</f>
        <v/>
      </c>
      <c r="F46" s="110"/>
      <c r="G46" s="101" t="str">
        <f t="shared" si="2"/>
        <v/>
      </c>
      <c r="H46" s="111"/>
      <c r="I46" s="106"/>
      <c r="J46" s="112"/>
      <c r="K46" s="100"/>
      <c r="L46" s="95"/>
      <c r="M46" s="32" t="str">
        <f t="shared" si="1"/>
        <v>#REF!</v>
      </c>
      <c r="N46" s="95"/>
      <c r="O46" s="95"/>
      <c r="P46" s="103"/>
      <c r="Q46" s="95"/>
      <c r="R46" s="95"/>
      <c r="S46" s="95"/>
      <c r="T46" s="95"/>
      <c r="U46" s="95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</row>
    <row r="47" ht="34.5" customHeight="1">
      <c r="A47" s="1"/>
      <c r="C47" s="102"/>
      <c r="D47" s="109"/>
      <c r="E47" s="100" t="str">
        <f>IF(ISERROR(VLOOKUP(D47,'Matriz SWOT'!$J$5:$K$24,2,FALSE)),"",VLOOKUP(D47,'Matriz SWOT'!$J$5:$K$24,2,FALSE))</f>
        <v/>
      </c>
      <c r="F47" s="110"/>
      <c r="G47" s="101" t="str">
        <f t="shared" si="2"/>
        <v/>
      </c>
      <c r="H47" s="111"/>
      <c r="I47" s="106"/>
      <c r="J47" s="112"/>
      <c r="K47" s="100"/>
      <c r="L47" s="95"/>
      <c r="M47" s="32" t="str">
        <f t="shared" si="1"/>
        <v>#REF!</v>
      </c>
      <c r="N47" s="95"/>
      <c r="O47" s="95"/>
      <c r="P47" s="103"/>
      <c r="Q47" s="95"/>
      <c r="R47" s="95"/>
      <c r="S47" s="95"/>
      <c r="T47" s="95"/>
      <c r="U47" s="95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</row>
    <row r="48" ht="34.5" customHeight="1">
      <c r="A48" s="1"/>
      <c r="C48" s="102"/>
      <c r="D48" s="109"/>
      <c r="E48" s="100" t="str">
        <f>IF(ISERROR(VLOOKUP(D48,'Matriz SWOT'!$J$5:$K$24,2,FALSE)),"",VLOOKUP(D48,'Matriz SWOT'!$J$5:$K$24,2,FALSE))</f>
        <v/>
      </c>
      <c r="F48" s="110"/>
      <c r="G48" s="101" t="str">
        <f t="shared" si="2"/>
        <v/>
      </c>
      <c r="H48" s="111"/>
      <c r="I48" s="106"/>
      <c r="J48" s="112"/>
      <c r="K48" s="100"/>
      <c r="L48" s="95"/>
      <c r="M48" s="32" t="str">
        <f t="shared" si="1"/>
        <v>#REF!</v>
      </c>
      <c r="N48" s="95"/>
      <c r="O48" s="95"/>
      <c r="P48" s="103"/>
      <c r="Q48" s="95"/>
      <c r="R48" s="95"/>
      <c r="S48" s="95"/>
      <c r="T48" s="95"/>
      <c r="U48" s="95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</row>
    <row r="49" ht="34.5" customHeight="1">
      <c r="A49" s="1"/>
      <c r="C49" s="102"/>
      <c r="D49" s="109"/>
      <c r="E49" s="100" t="str">
        <f>IF(ISERROR(VLOOKUP(D49,'Matriz SWOT'!$J$5:$K$24,2,FALSE)),"",VLOOKUP(D49,'Matriz SWOT'!$J$5:$K$24,2,FALSE))</f>
        <v/>
      </c>
      <c r="F49" s="110"/>
      <c r="G49" s="101" t="str">
        <f t="shared" si="2"/>
        <v/>
      </c>
      <c r="H49" s="111"/>
      <c r="I49" s="106"/>
      <c r="J49" s="112"/>
      <c r="K49" s="100"/>
      <c r="L49" s="95"/>
      <c r="M49" s="32" t="str">
        <f t="shared" si="1"/>
        <v>#REF!</v>
      </c>
      <c r="N49" s="95"/>
      <c r="O49" s="95"/>
      <c r="P49" s="103"/>
      <c r="Q49" s="95"/>
      <c r="R49" s="95"/>
      <c r="S49" s="95"/>
      <c r="T49" s="95"/>
      <c r="U49" s="95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</row>
    <row r="50" ht="34.5" customHeight="1">
      <c r="A50" s="1"/>
      <c r="C50" s="102"/>
      <c r="D50" s="109"/>
      <c r="E50" s="100" t="str">
        <f>IF(ISERROR(VLOOKUP(D50,'Matriz SWOT'!$J$5:$K$24,2,FALSE)),"",VLOOKUP(D50,'Matriz SWOT'!$J$5:$K$24,2,FALSE))</f>
        <v/>
      </c>
      <c r="F50" s="110"/>
      <c r="G50" s="101" t="str">
        <f t="shared" si="2"/>
        <v/>
      </c>
      <c r="H50" s="111"/>
      <c r="I50" s="106"/>
      <c r="J50" s="112"/>
      <c r="K50" s="100"/>
      <c r="L50" s="95"/>
      <c r="M50" s="32" t="str">
        <f t="shared" si="1"/>
        <v>#REF!</v>
      </c>
      <c r="N50" s="95"/>
      <c r="O50" s="95"/>
      <c r="P50" s="103"/>
      <c r="Q50" s="95"/>
      <c r="R50" s="95"/>
      <c r="S50" s="95"/>
      <c r="T50" s="95"/>
      <c r="U50" s="95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</row>
    <row r="51" ht="34.5" customHeight="1">
      <c r="A51" s="1"/>
      <c r="C51" s="102"/>
      <c r="D51" s="109"/>
      <c r="E51" s="100" t="str">
        <f>IF(ISERROR(VLOOKUP(D51,'Matriz SWOT'!$J$5:$K$24,2,FALSE)),"",VLOOKUP(D51,'Matriz SWOT'!$J$5:$K$24,2,FALSE))</f>
        <v/>
      </c>
      <c r="F51" s="110"/>
      <c r="G51" s="101" t="str">
        <f t="shared" si="2"/>
        <v/>
      </c>
      <c r="H51" s="111"/>
      <c r="I51" s="106"/>
      <c r="J51" s="112"/>
      <c r="K51" s="100"/>
      <c r="L51" s="95"/>
      <c r="M51" s="32" t="str">
        <f t="shared" si="1"/>
        <v>#REF!</v>
      </c>
      <c r="N51" s="95"/>
      <c r="O51" s="95"/>
      <c r="P51" s="103"/>
      <c r="Q51" s="95"/>
      <c r="R51" s="95"/>
      <c r="S51" s="95"/>
      <c r="T51" s="95"/>
      <c r="U51" s="95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</row>
    <row r="52" ht="34.5" customHeight="1">
      <c r="A52" s="1"/>
      <c r="C52" s="102"/>
      <c r="D52" s="109"/>
      <c r="E52" s="100" t="str">
        <f>IF(ISERROR(VLOOKUP(D52,'Matriz SWOT'!$J$5:$K$24,2,FALSE)),"",VLOOKUP(D52,'Matriz SWOT'!$J$5:$K$24,2,FALSE))</f>
        <v/>
      </c>
      <c r="F52" s="110"/>
      <c r="G52" s="101" t="str">
        <f t="shared" si="2"/>
        <v/>
      </c>
      <c r="H52" s="111"/>
      <c r="I52" s="106"/>
      <c r="J52" s="112"/>
      <c r="K52" s="100"/>
      <c r="L52" s="95"/>
      <c r="M52" s="32" t="str">
        <f t="shared" si="1"/>
        <v>#REF!</v>
      </c>
      <c r="N52" s="95"/>
      <c r="O52" s="95"/>
      <c r="P52" s="103"/>
      <c r="Q52" s="95"/>
      <c r="R52" s="95"/>
      <c r="S52" s="95"/>
      <c r="T52" s="95"/>
      <c r="U52" s="95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</row>
    <row r="53" ht="34.5" customHeight="1">
      <c r="A53" s="1"/>
      <c r="C53" s="102"/>
      <c r="D53" s="109"/>
      <c r="E53" s="100" t="str">
        <f>IF(ISERROR(VLOOKUP(D53,'Matriz SWOT'!$J$5:$K$24,2,FALSE)),"",VLOOKUP(D53,'Matriz SWOT'!$J$5:$K$24,2,FALSE))</f>
        <v/>
      </c>
      <c r="F53" s="110"/>
      <c r="G53" s="101" t="str">
        <f t="shared" si="2"/>
        <v/>
      </c>
      <c r="H53" s="111"/>
      <c r="I53" s="106"/>
      <c r="J53" s="112"/>
      <c r="K53" s="100"/>
      <c r="L53" s="95"/>
      <c r="M53" s="32" t="str">
        <f t="shared" si="1"/>
        <v>#REF!</v>
      </c>
      <c r="N53" s="95"/>
      <c r="O53" s="95"/>
      <c r="P53" s="103"/>
      <c r="Q53" s="95"/>
      <c r="R53" s="95"/>
      <c r="S53" s="95"/>
      <c r="T53" s="95"/>
      <c r="U53" s="95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</row>
    <row r="54" ht="34.5" customHeight="1">
      <c r="A54" s="1"/>
      <c r="C54" s="102"/>
      <c r="D54" s="109"/>
      <c r="E54" s="100" t="str">
        <f>IF(ISERROR(VLOOKUP(D54,'Matriz SWOT'!$J$5:$K$24,2,FALSE)),"",VLOOKUP(D54,'Matriz SWOT'!$J$5:$K$24,2,FALSE))</f>
        <v/>
      </c>
      <c r="F54" s="110"/>
      <c r="G54" s="101" t="str">
        <f t="shared" si="2"/>
        <v/>
      </c>
      <c r="H54" s="111"/>
      <c r="I54" s="106"/>
      <c r="J54" s="112"/>
      <c r="K54" s="100"/>
      <c r="L54" s="95"/>
      <c r="M54" s="32" t="str">
        <f t="shared" si="1"/>
        <v>#REF!</v>
      </c>
      <c r="N54" s="95"/>
      <c r="O54" s="95"/>
      <c r="P54" s="103"/>
      <c r="Q54" s="95"/>
      <c r="R54" s="95"/>
      <c r="S54" s="95"/>
      <c r="T54" s="95"/>
      <c r="U54" s="95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</row>
    <row r="55" ht="34.5" customHeight="1">
      <c r="A55" s="1"/>
      <c r="C55" s="102"/>
      <c r="D55" s="109"/>
      <c r="E55" s="100" t="str">
        <f>IF(ISERROR(VLOOKUP(D55,'Matriz SWOT'!$J$5:$K$24,2,FALSE)),"",VLOOKUP(D55,'Matriz SWOT'!$J$5:$K$24,2,FALSE))</f>
        <v/>
      </c>
      <c r="F55" s="110"/>
      <c r="G55" s="101" t="str">
        <f t="shared" si="2"/>
        <v/>
      </c>
      <c r="H55" s="111"/>
      <c r="I55" s="106"/>
      <c r="J55" s="112"/>
      <c r="K55" s="100"/>
      <c r="L55" s="95"/>
      <c r="M55" s="32" t="str">
        <f t="shared" si="1"/>
        <v>#REF!</v>
      </c>
      <c r="N55" s="95"/>
      <c r="O55" s="95"/>
      <c r="P55" s="103"/>
      <c r="Q55" s="95"/>
      <c r="R55" s="95"/>
      <c r="S55" s="95"/>
      <c r="T55" s="95"/>
      <c r="U55" s="95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</row>
    <row r="56" ht="34.5" customHeight="1">
      <c r="A56" s="1"/>
      <c r="C56" s="102"/>
      <c r="D56" s="109"/>
      <c r="E56" s="100" t="str">
        <f>IF(ISERROR(VLOOKUP(D56,'Matriz SWOT'!$J$5:$K$24,2,FALSE)),"",VLOOKUP(D56,'Matriz SWOT'!$J$5:$K$24,2,FALSE))</f>
        <v/>
      </c>
      <c r="F56" s="110"/>
      <c r="G56" s="101" t="str">
        <f t="shared" si="2"/>
        <v/>
      </c>
      <c r="H56" s="111"/>
      <c r="I56" s="106"/>
      <c r="J56" s="112"/>
      <c r="K56" s="100"/>
      <c r="L56" s="95"/>
      <c r="M56" s="32" t="str">
        <f t="shared" si="1"/>
        <v>#REF!</v>
      </c>
      <c r="N56" s="95"/>
      <c r="O56" s="95"/>
      <c r="P56" s="103"/>
      <c r="Q56" s="95"/>
      <c r="R56" s="95"/>
      <c r="S56" s="95"/>
      <c r="T56" s="95"/>
      <c r="U56" s="95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</row>
    <row r="57" ht="34.5" customHeight="1">
      <c r="A57" s="1"/>
      <c r="C57" s="102"/>
      <c r="D57" s="109"/>
      <c r="E57" s="100" t="str">
        <f>IF(ISERROR(VLOOKUP(D57,'Matriz SWOT'!$J$5:$K$24,2,FALSE)),"",VLOOKUP(D57,'Matriz SWOT'!$J$5:$K$24,2,FALSE))</f>
        <v/>
      </c>
      <c r="F57" s="110"/>
      <c r="G57" s="101" t="str">
        <f t="shared" si="2"/>
        <v/>
      </c>
      <c r="H57" s="111"/>
      <c r="I57" s="106"/>
      <c r="J57" s="112"/>
      <c r="K57" s="100"/>
      <c r="L57" s="95"/>
      <c r="M57" s="32" t="str">
        <f t="shared" si="1"/>
        <v>#REF!</v>
      </c>
      <c r="N57" s="95"/>
      <c r="O57" s="95"/>
      <c r="P57" s="103"/>
      <c r="Q57" s="95"/>
      <c r="R57" s="95"/>
      <c r="S57" s="95"/>
      <c r="T57" s="95"/>
      <c r="U57" s="95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</row>
    <row r="58" ht="34.5" customHeight="1">
      <c r="A58" s="1"/>
      <c r="C58" s="102"/>
      <c r="D58" s="109"/>
      <c r="E58" s="100" t="str">
        <f>IF(ISERROR(VLOOKUP(D58,'Matriz SWOT'!$J$5:$K$24,2,FALSE)),"",VLOOKUP(D58,'Matriz SWOT'!$J$5:$K$24,2,FALSE))</f>
        <v/>
      </c>
      <c r="F58" s="110"/>
      <c r="G58" s="101" t="str">
        <f t="shared" si="2"/>
        <v/>
      </c>
      <c r="H58" s="111"/>
      <c r="I58" s="106"/>
      <c r="J58" s="112"/>
      <c r="K58" s="100"/>
      <c r="L58" s="95"/>
      <c r="M58" s="95"/>
      <c r="N58" s="95"/>
      <c r="O58" s="95"/>
      <c r="P58" s="103"/>
      <c r="Q58" s="95"/>
      <c r="R58" s="95"/>
      <c r="S58" s="95"/>
      <c r="T58" s="95"/>
      <c r="U58" s="95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</row>
    <row r="59" ht="34.5" customHeight="1">
      <c r="A59" s="1"/>
      <c r="C59" s="102"/>
      <c r="D59" s="109"/>
      <c r="E59" s="100" t="str">
        <f>IF(ISERROR(VLOOKUP(D59,'Matriz SWOT'!$J$5:$K$24,2,FALSE)),"",VLOOKUP(D59,'Matriz SWOT'!$J$5:$K$24,2,FALSE))</f>
        <v/>
      </c>
      <c r="F59" s="110"/>
      <c r="G59" s="101" t="str">
        <f t="shared" si="2"/>
        <v/>
      </c>
      <c r="H59" s="111"/>
      <c r="I59" s="106"/>
      <c r="J59" s="112"/>
      <c r="K59" s="100"/>
      <c r="L59" s="95"/>
      <c r="M59" s="95"/>
      <c r="N59" s="95"/>
      <c r="O59" s="95"/>
      <c r="P59" s="103"/>
      <c r="Q59" s="95"/>
      <c r="R59" s="95"/>
      <c r="S59" s="95"/>
      <c r="T59" s="95"/>
      <c r="U59" s="95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</row>
    <row r="60" ht="34.5" customHeight="1">
      <c r="A60" s="1"/>
      <c r="C60" s="102"/>
      <c r="D60" s="109"/>
      <c r="E60" s="100" t="str">
        <f>IF(ISERROR(VLOOKUP(D60,'Matriz SWOT'!$J$5:$K$24,2,FALSE)),"",VLOOKUP(D60,'Matriz SWOT'!$J$5:$K$24,2,FALSE))</f>
        <v/>
      </c>
      <c r="F60" s="110"/>
      <c r="G60" s="101" t="str">
        <f t="shared" si="2"/>
        <v/>
      </c>
      <c r="H60" s="111"/>
      <c r="I60" s="106"/>
      <c r="J60" s="112"/>
      <c r="K60" s="100"/>
      <c r="L60" s="95"/>
      <c r="M60" s="95"/>
      <c r="N60" s="95"/>
      <c r="O60" s="95"/>
      <c r="P60" s="103"/>
      <c r="Q60" s="95"/>
      <c r="R60" s="95"/>
      <c r="S60" s="95"/>
      <c r="T60" s="95"/>
      <c r="U60" s="95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</row>
    <row r="61" ht="34.5" customHeight="1">
      <c r="A61" s="1"/>
      <c r="C61" s="102"/>
      <c r="D61" s="109"/>
      <c r="E61" s="100" t="str">
        <f>IF(ISERROR(VLOOKUP(D61,'Matriz SWOT'!$J$5:$K$24,2,FALSE)),"",VLOOKUP(D61,'Matriz SWOT'!$J$5:$K$24,2,FALSE))</f>
        <v/>
      </c>
      <c r="F61" s="110"/>
      <c r="G61" s="101" t="str">
        <f t="shared" si="2"/>
        <v/>
      </c>
      <c r="H61" s="111"/>
      <c r="I61" s="106"/>
      <c r="J61" s="112"/>
      <c r="K61" s="100"/>
      <c r="L61" s="95"/>
      <c r="M61" s="95"/>
      <c r="N61" s="95"/>
      <c r="O61" s="95"/>
      <c r="P61" s="103"/>
      <c r="Q61" s="95"/>
      <c r="R61" s="95"/>
      <c r="S61" s="95"/>
      <c r="T61" s="95"/>
      <c r="U61" s="95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</row>
    <row r="62" ht="34.5" customHeight="1">
      <c r="A62" s="1"/>
      <c r="C62" s="102"/>
      <c r="D62" s="109"/>
      <c r="E62" s="100" t="str">
        <f>IF(ISERROR(VLOOKUP(D62,'Matriz SWOT'!$J$5:$K$24,2,FALSE)),"",VLOOKUP(D62,'Matriz SWOT'!$J$5:$K$24,2,FALSE))</f>
        <v/>
      </c>
      <c r="F62" s="110"/>
      <c r="G62" s="101" t="str">
        <f t="shared" si="2"/>
        <v/>
      </c>
      <c r="H62" s="111"/>
      <c r="I62" s="106"/>
      <c r="J62" s="112"/>
      <c r="K62" s="100"/>
      <c r="L62" s="95"/>
      <c r="M62" s="95"/>
      <c r="N62" s="95"/>
      <c r="O62" s="95"/>
      <c r="P62" s="103"/>
      <c r="Q62" s="95"/>
      <c r="R62" s="95"/>
      <c r="S62" s="95"/>
      <c r="T62" s="95"/>
      <c r="U62" s="95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</row>
    <row r="63" ht="34.5" customHeight="1">
      <c r="A63" s="1"/>
      <c r="C63" s="102"/>
      <c r="D63" s="109"/>
      <c r="E63" s="100" t="str">
        <f>IF(ISERROR(VLOOKUP(D63,'Matriz SWOT'!$J$5:$K$24,2,FALSE)),"",VLOOKUP(D63,'Matriz SWOT'!$J$5:$K$24,2,FALSE))</f>
        <v/>
      </c>
      <c r="F63" s="110"/>
      <c r="G63" s="101" t="str">
        <f t="shared" si="2"/>
        <v/>
      </c>
      <c r="H63" s="111"/>
      <c r="I63" s="106"/>
      <c r="J63" s="112"/>
      <c r="K63" s="100"/>
      <c r="L63" s="95"/>
      <c r="M63" s="95"/>
      <c r="N63" s="95"/>
      <c r="O63" s="95"/>
      <c r="P63" s="103"/>
      <c r="Q63" s="95"/>
      <c r="R63" s="95"/>
      <c r="S63" s="95"/>
      <c r="T63" s="95"/>
      <c r="U63" s="95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</row>
    <row r="64" ht="34.5" customHeight="1">
      <c r="A64" s="1"/>
      <c r="C64" s="102"/>
      <c r="D64" s="109"/>
      <c r="E64" s="100" t="str">
        <f>IF(ISERROR(VLOOKUP(D64,'Matriz SWOT'!$J$5:$K$24,2,FALSE)),"",VLOOKUP(D64,'Matriz SWOT'!$J$5:$K$24,2,FALSE))</f>
        <v/>
      </c>
      <c r="F64" s="110"/>
      <c r="G64" s="101" t="str">
        <f t="shared" si="2"/>
        <v/>
      </c>
      <c r="H64" s="111"/>
      <c r="I64" s="106"/>
      <c r="J64" s="112"/>
      <c r="K64" s="100"/>
      <c r="L64" s="95"/>
      <c r="M64" s="95"/>
      <c r="N64" s="95"/>
      <c r="O64" s="95"/>
      <c r="P64" s="103"/>
      <c r="Q64" s="95"/>
      <c r="R64" s="95"/>
      <c r="S64" s="95"/>
      <c r="T64" s="95"/>
      <c r="U64" s="95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</row>
    <row r="65" ht="34.5" customHeight="1">
      <c r="A65" s="1"/>
      <c r="C65" s="102"/>
      <c r="D65" s="109"/>
      <c r="E65" s="100" t="str">
        <f>IF(ISERROR(VLOOKUP(D65,'Matriz SWOT'!$J$5:$K$24,2,FALSE)),"",VLOOKUP(D65,'Matriz SWOT'!$J$5:$K$24,2,FALSE))</f>
        <v/>
      </c>
      <c r="F65" s="110"/>
      <c r="G65" s="101" t="str">
        <f t="shared" si="2"/>
        <v/>
      </c>
      <c r="H65" s="111"/>
      <c r="I65" s="106"/>
      <c r="J65" s="112"/>
      <c r="K65" s="100"/>
      <c r="L65" s="95"/>
      <c r="M65" s="95"/>
      <c r="N65" s="95"/>
      <c r="O65" s="95"/>
      <c r="P65" s="103"/>
      <c r="Q65" s="95"/>
      <c r="R65" s="95"/>
      <c r="S65" s="95"/>
      <c r="T65" s="95"/>
      <c r="U65" s="95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</row>
    <row r="66" ht="34.5" customHeight="1">
      <c r="A66" s="1"/>
      <c r="C66" s="102"/>
      <c r="D66" s="109"/>
      <c r="E66" s="100" t="str">
        <f>IF(ISERROR(VLOOKUP(D66,'Matriz SWOT'!$J$5:$K$24,2,FALSE)),"",VLOOKUP(D66,'Matriz SWOT'!$J$5:$K$24,2,FALSE))</f>
        <v/>
      </c>
      <c r="F66" s="110"/>
      <c r="G66" s="101" t="str">
        <f t="shared" si="2"/>
        <v/>
      </c>
      <c r="H66" s="111"/>
      <c r="I66" s="106"/>
      <c r="J66" s="112"/>
      <c r="K66" s="100"/>
      <c r="L66" s="95"/>
      <c r="M66" s="95"/>
      <c r="N66" s="95"/>
      <c r="O66" s="95"/>
      <c r="P66" s="103"/>
      <c r="Q66" s="95"/>
      <c r="R66" s="95"/>
      <c r="S66" s="95"/>
      <c r="T66" s="95"/>
      <c r="U66" s="95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</row>
    <row r="67" ht="34.5" customHeight="1">
      <c r="A67" s="1"/>
      <c r="C67" s="102"/>
      <c r="D67" s="109"/>
      <c r="E67" s="100" t="str">
        <f>IF(ISERROR(VLOOKUP(D67,'Matriz SWOT'!$J$5:$K$24,2,FALSE)),"",VLOOKUP(D67,'Matriz SWOT'!$J$5:$K$24,2,FALSE))</f>
        <v/>
      </c>
      <c r="F67" s="110"/>
      <c r="G67" s="101" t="str">
        <f t="shared" si="2"/>
        <v/>
      </c>
      <c r="H67" s="111"/>
      <c r="I67" s="106"/>
      <c r="J67" s="112"/>
      <c r="K67" s="100"/>
      <c r="L67" s="95"/>
      <c r="M67" s="95"/>
      <c r="N67" s="95"/>
      <c r="O67" s="95"/>
      <c r="P67" s="103"/>
      <c r="Q67" s="95"/>
      <c r="R67" s="95"/>
      <c r="S67" s="95"/>
      <c r="T67" s="95"/>
      <c r="U67" s="95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</row>
    <row r="68" ht="34.5" customHeight="1">
      <c r="A68" s="1"/>
      <c r="C68" s="102"/>
      <c r="D68" s="109"/>
      <c r="E68" s="100" t="str">
        <f>IF(ISERROR(VLOOKUP(D68,'Matriz SWOT'!$J$5:$K$24,2,FALSE)),"",VLOOKUP(D68,'Matriz SWOT'!$J$5:$K$24,2,FALSE))</f>
        <v/>
      </c>
      <c r="F68" s="110"/>
      <c r="G68" s="101" t="str">
        <f t="shared" si="2"/>
        <v/>
      </c>
      <c r="H68" s="111"/>
      <c r="I68" s="106"/>
      <c r="J68" s="112"/>
      <c r="K68" s="100"/>
      <c r="L68" s="95"/>
      <c r="M68" s="95"/>
      <c r="N68" s="95"/>
      <c r="O68" s="95"/>
      <c r="P68" s="103"/>
      <c r="Q68" s="95"/>
      <c r="R68" s="95"/>
      <c r="S68" s="95"/>
      <c r="T68" s="95"/>
      <c r="U68" s="95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</row>
    <row r="69" ht="34.5" customHeight="1">
      <c r="A69" s="1"/>
      <c r="C69" s="102"/>
      <c r="D69" s="109"/>
      <c r="E69" s="100" t="str">
        <f>IF(ISERROR(VLOOKUP(D69,'Matriz SWOT'!$J$5:$K$24,2,FALSE)),"",VLOOKUP(D69,'Matriz SWOT'!$J$5:$K$24,2,FALSE))</f>
        <v/>
      </c>
      <c r="F69" s="110"/>
      <c r="G69" s="101" t="str">
        <f t="shared" si="2"/>
        <v/>
      </c>
      <c r="H69" s="111"/>
      <c r="I69" s="106"/>
      <c r="J69" s="112"/>
      <c r="K69" s="100"/>
      <c r="L69" s="95"/>
      <c r="M69" s="95"/>
      <c r="N69" s="95"/>
      <c r="O69" s="95"/>
      <c r="P69" s="103"/>
      <c r="Q69" s="95"/>
      <c r="R69" s="95"/>
      <c r="S69" s="95"/>
      <c r="T69" s="95"/>
      <c r="U69" s="95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</row>
    <row r="70" ht="34.5" customHeight="1">
      <c r="A70" s="1"/>
      <c r="C70" s="102"/>
      <c r="D70" s="109"/>
      <c r="E70" s="100" t="str">
        <f>IF(ISERROR(VLOOKUP(D70,'Matriz SWOT'!$J$5:$K$24,2,FALSE)),"",VLOOKUP(D70,'Matriz SWOT'!$J$5:$K$24,2,FALSE))</f>
        <v/>
      </c>
      <c r="F70" s="110"/>
      <c r="G70" s="101" t="str">
        <f t="shared" si="2"/>
        <v/>
      </c>
      <c r="H70" s="111"/>
      <c r="I70" s="106"/>
      <c r="J70" s="112"/>
      <c r="K70" s="100"/>
      <c r="L70" s="95"/>
      <c r="M70" s="95"/>
      <c r="N70" s="95"/>
      <c r="O70" s="95"/>
      <c r="P70" s="103"/>
      <c r="Q70" s="95"/>
      <c r="R70" s="95"/>
      <c r="S70" s="95"/>
      <c r="T70" s="95"/>
      <c r="U70" s="95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</row>
    <row r="71" ht="34.5" customHeight="1">
      <c r="A71" s="1"/>
      <c r="C71" s="102"/>
      <c r="D71" s="109"/>
      <c r="E71" s="100" t="str">
        <f>IF(ISERROR(VLOOKUP(D71,'Matriz SWOT'!$J$5:$K$24,2,FALSE)),"",VLOOKUP(D71,'Matriz SWOT'!$J$5:$K$24,2,FALSE))</f>
        <v/>
      </c>
      <c r="F71" s="110"/>
      <c r="G71" s="101" t="str">
        <f t="shared" si="2"/>
        <v/>
      </c>
      <c r="H71" s="111"/>
      <c r="I71" s="106"/>
      <c r="J71" s="112"/>
      <c r="K71" s="100"/>
      <c r="L71" s="95"/>
      <c r="M71" s="95"/>
      <c r="N71" s="95"/>
      <c r="O71" s="95"/>
      <c r="P71" s="103"/>
      <c r="Q71" s="95"/>
      <c r="R71" s="95"/>
      <c r="S71" s="95"/>
      <c r="T71" s="95"/>
      <c r="U71" s="95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</row>
    <row r="72" ht="34.5" customHeight="1">
      <c r="A72" s="1"/>
      <c r="C72" s="102"/>
      <c r="D72" s="109"/>
      <c r="E72" s="100" t="str">
        <f>IF(ISERROR(VLOOKUP(D72,'Matriz SWOT'!$J$5:$K$24,2,FALSE)),"",VLOOKUP(D72,'Matriz SWOT'!$J$5:$K$24,2,FALSE))</f>
        <v/>
      </c>
      <c r="F72" s="110"/>
      <c r="G72" s="101" t="str">
        <f t="shared" si="2"/>
        <v/>
      </c>
      <c r="H72" s="111"/>
      <c r="I72" s="106"/>
      <c r="J72" s="112"/>
      <c r="K72" s="100"/>
      <c r="L72" s="95"/>
      <c r="M72" s="95"/>
      <c r="N72" s="95"/>
      <c r="O72" s="95"/>
      <c r="P72" s="103"/>
      <c r="Q72" s="95"/>
      <c r="R72" s="95"/>
      <c r="S72" s="95"/>
      <c r="T72" s="95"/>
      <c r="U72" s="95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</row>
    <row r="73" ht="34.5" customHeight="1">
      <c r="A73" s="1"/>
      <c r="C73" s="102"/>
      <c r="D73" s="109"/>
      <c r="E73" s="100" t="str">
        <f>IF(ISERROR(VLOOKUP(D73,'Matriz SWOT'!$J$5:$K$24,2,FALSE)),"",VLOOKUP(D73,'Matriz SWOT'!$J$5:$K$24,2,FALSE))</f>
        <v/>
      </c>
      <c r="F73" s="110"/>
      <c r="G73" s="101" t="str">
        <f t="shared" si="2"/>
        <v/>
      </c>
      <c r="H73" s="111"/>
      <c r="I73" s="106"/>
      <c r="J73" s="112"/>
      <c r="K73" s="100"/>
      <c r="L73" s="95"/>
      <c r="M73" s="95"/>
      <c r="N73" s="95"/>
      <c r="O73" s="95"/>
      <c r="P73" s="103"/>
      <c r="Q73" s="95"/>
      <c r="R73" s="95"/>
      <c r="S73" s="95"/>
      <c r="T73" s="95"/>
      <c r="U73" s="95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</row>
    <row r="74" ht="34.5" customHeight="1">
      <c r="A74" s="1"/>
      <c r="C74" s="102"/>
      <c r="D74" s="109"/>
      <c r="E74" s="100" t="str">
        <f>IF(ISERROR(VLOOKUP(D74,'Matriz SWOT'!$J$5:$K$24,2,FALSE)),"",VLOOKUP(D74,'Matriz SWOT'!$J$5:$K$24,2,FALSE))</f>
        <v/>
      </c>
      <c r="F74" s="110"/>
      <c r="G74" s="101" t="str">
        <f t="shared" si="2"/>
        <v/>
      </c>
      <c r="H74" s="111"/>
      <c r="I74" s="106"/>
      <c r="J74" s="112"/>
      <c r="K74" s="100"/>
      <c r="L74" s="95"/>
      <c r="M74" s="95"/>
      <c r="N74" s="95"/>
      <c r="O74" s="95"/>
      <c r="P74" s="103"/>
      <c r="Q74" s="95"/>
      <c r="R74" s="95"/>
      <c r="S74" s="95"/>
      <c r="T74" s="95"/>
      <c r="U74" s="95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</row>
    <row r="75" ht="34.5" customHeight="1">
      <c r="A75" s="1"/>
      <c r="C75" s="102"/>
      <c r="D75" s="109"/>
      <c r="E75" s="100" t="str">
        <f>IF(ISERROR(VLOOKUP(D75,'Matriz SWOT'!$J$5:$K$24,2,FALSE)),"",VLOOKUP(D75,'Matriz SWOT'!$J$5:$K$24,2,FALSE))</f>
        <v/>
      </c>
      <c r="F75" s="110"/>
      <c r="G75" s="101" t="str">
        <f t="shared" si="2"/>
        <v/>
      </c>
      <c r="H75" s="111"/>
      <c r="I75" s="106"/>
      <c r="J75" s="112"/>
      <c r="K75" s="100"/>
      <c r="L75" s="95"/>
      <c r="M75" s="95"/>
      <c r="N75" s="95"/>
      <c r="O75" s="95"/>
      <c r="P75" s="103"/>
      <c r="Q75" s="95"/>
      <c r="R75" s="95"/>
      <c r="S75" s="95"/>
      <c r="T75" s="95"/>
      <c r="U75" s="95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</row>
    <row r="76" ht="34.5" customHeight="1">
      <c r="A76" s="1"/>
      <c r="C76" s="102"/>
      <c r="D76" s="109"/>
      <c r="E76" s="100" t="str">
        <f>IF(ISERROR(VLOOKUP(D76,'Matriz SWOT'!$J$5:$K$24,2,FALSE)),"",VLOOKUP(D76,'Matriz SWOT'!$J$5:$K$24,2,FALSE))</f>
        <v/>
      </c>
      <c r="F76" s="110"/>
      <c r="G76" s="101" t="str">
        <f t="shared" si="2"/>
        <v/>
      </c>
      <c r="H76" s="111"/>
      <c r="I76" s="106"/>
      <c r="J76" s="112"/>
      <c r="K76" s="100"/>
      <c r="L76" s="95"/>
      <c r="M76" s="95"/>
      <c r="N76" s="95"/>
      <c r="O76" s="95"/>
      <c r="P76" s="103"/>
      <c r="Q76" s="95"/>
      <c r="R76" s="95"/>
      <c r="S76" s="95"/>
      <c r="T76" s="95"/>
      <c r="U76" s="95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</row>
    <row r="77" ht="34.5" customHeight="1">
      <c r="A77" s="1"/>
      <c r="C77" s="102"/>
      <c r="D77" s="109"/>
      <c r="E77" s="100" t="str">
        <f>IF(ISERROR(VLOOKUP(D77,'Matriz SWOT'!$J$5:$K$24,2,FALSE)),"",VLOOKUP(D77,'Matriz SWOT'!$J$5:$K$24,2,FALSE))</f>
        <v/>
      </c>
      <c r="F77" s="110"/>
      <c r="G77" s="101" t="str">
        <f t="shared" si="2"/>
        <v/>
      </c>
      <c r="H77" s="111"/>
      <c r="I77" s="106"/>
      <c r="J77" s="112"/>
      <c r="K77" s="100"/>
      <c r="L77" s="95"/>
      <c r="M77" s="95"/>
      <c r="N77" s="95"/>
      <c r="O77" s="95"/>
      <c r="P77" s="103"/>
      <c r="Q77" s="95"/>
      <c r="R77" s="95"/>
      <c r="S77" s="95"/>
      <c r="T77" s="95"/>
      <c r="U77" s="95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</row>
    <row r="78" ht="34.5" customHeight="1">
      <c r="A78" s="1"/>
      <c r="C78" s="102"/>
      <c r="D78" s="109"/>
      <c r="E78" s="100" t="str">
        <f>IF(ISERROR(VLOOKUP(D78,'Matriz SWOT'!$J$5:$K$24,2,FALSE)),"",VLOOKUP(D78,'Matriz SWOT'!$J$5:$K$24,2,FALSE))</f>
        <v/>
      </c>
      <c r="F78" s="110"/>
      <c r="G78" s="101" t="str">
        <f t="shared" si="2"/>
        <v/>
      </c>
      <c r="H78" s="111"/>
      <c r="I78" s="106"/>
      <c r="J78" s="112"/>
      <c r="K78" s="100"/>
      <c r="L78" s="95"/>
      <c r="M78" s="95"/>
      <c r="N78" s="95"/>
      <c r="O78" s="95"/>
      <c r="P78" s="103"/>
      <c r="Q78" s="95"/>
      <c r="R78" s="95"/>
      <c r="S78" s="95"/>
      <c r="T78" s="95"/>
      <c r="U78" s="95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</row>
    <row r="79" ht="34.5" customHeight="1">
      <c r="A79" s="1"/>
      <c r="C79" s="102"/>
      <c r="D79" s="109"/>
      <c r="E79" s="100" t="str">
        <f>IF(ISERROR(VLOOKUP(D79,'Matriz SWOT'!$J$5:$K$24,2,FALSE)),"",VLOOKUP(D79,'Matriz SWOT'!$J$5:$K$24,2,FALSE))</f>
        <v/>
      </c>
      <c r="F79" s="110"/>
      <c r="G79" s="101" t="str">
        <f t="shared" si="2"/>
        <v/>
      </c>
      <c r="H79" s="111"/>
      <c r="I79" s="106"/>
      <c r="J79" s="112"/>
      <c r="K79" s="100"/>
      <c r="L79" s="95"/>
      <c r="M79" s="95"/>
      <c r="N79" s="95"/>
      <c r="O79" s="95"/>
      <c r="P79" s="103"/>
      <c r="Q79" s="95"/>
      <c r="R79" s="95"/>
      <c r="S79" s="95"/>
      <c r="T79" s="95"/>
      <c r="U79" s="95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</row>
    <row r="80" ht="34.5" customHeight="1">
      <c r="A80" s="1"/>
      <c r="C80" s="102"/>
      <c r="D80" s="109"/>
      <c r="E80" s="100" t="str">
        <f>IF(ISERROR(VLOOKUP(D80,'Matriz SWOT'!$J$5:$K$24,2,FALSE)),"",VLOOKUP(D80,'Matriz SWOT'!$J$5:$K$24,2,FALSE))</f>
        <v/>
      </c>
      <c r="F80" s="110"/>
      <c r="G80" s="101" t="str">
        <f t="shared" si="2"/>
        <v/>
      </c>
      <c r="H80" s="111"/>
      <c r="I80" s="106"/>
      <c r="J80" s="112"/>
      <c r="K80" s="100"/>
      <c r="L80" s="95"/>
      <c r="M80" s="95"/>
      <c r="N80" s="95"/>
      <c r="O80" s="95"/>
      <c r="P80" s="103"/>
      <c r="Q80" s="95"/>
      <c r="R80" s="95"/>
      <c r="S80" s="95"/>
      <c r="T80" s="95"/>
      <c r="U80" s="95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</row>
    <row r="81" ht="34.5" customHeight="1">
      <c r="A81" s="1"/>
      <c r="C81" s="102"/>
      <c r="D81" s="109"/>
      <c r="E81" s="100" t="str">
        <f>IF(ISERROR(VLOOKUP(D81,'Matriz SWOT'!$J$5:$K$24,2,FALSE)),"",VLOOKUP(D81,'Matriz SWOT'!$J$5:$K$24,2,FALSE))</f>
        <v/>
      </c>
      <c r="F81" s="110"/>
      <c r="G81" s="101" t="str">
        <f t="shared" si="2"/>
        <v/>
      </c>
      <c r="H81" s="111"/>
      <c r="I81" s="106"/>
      <c r="J81" s="112"/>
      <c r="K81" s="100"/>
      <c r="L81" s="95"/>
      <c r="M81" s="95"/>
      <c r="N81" s="95"/>
      <c r="O81" s="95"/>
      <c r="P81" s="103"/>
      <c r="Q81" s="95"/>
      <c r="R81" s="95"/>
      <c r="S81" s="95"/>
      <c r="T81" s="95"/>
      <c r="U81" s="95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</row>
    <row r="82" ht="34.5" customHeight="1">
      <c r="A82" s="1"/>
      <c r="C82" s="102"/>
      <c r="D82" s="109"/>
      <c r="E82" s="100" t="str">
        <f>IF(ISERROR(VLOOKUP(D82,'Matriz SWOT'!$J$5:$K$24,2,FALSE)),"",VLOOKUP(D82,'Matriz SWOT'!$J$5:$K$24,2,FALSE))</f>
        <v/>
      </c>
      <c r="F82" s="110"/>
      <c r="G82" s="101" t="str">
        <f t="shared" si="2"/>
        <v/>
      </c>
      <c r="H82" s="111"/>
      <c r="I82" s="106"/>
      <c r="J82" s="112"/>
      <c r="K82" s="100"/>
      <c r="L82" s="95"/>
      <c r="M82" s="95"/>
      <c r="N82" s="95"/>
      <c r="O82" s="95"/>
      <c r="P82" s="103"/>
      <c r="Q82" s="95"/>
      <c r="R82" s="95"/>
      <c r="S82" s="95"/>
      <c r="T82" s="95"/>
      <c r="U82" s="95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</row>
    <row r="83" ht="34.5" customHeight="1">
      <c r="A83" s="1"/>
      <c r="C83" s="102"/>
      <c r="D83" s="109"/>
      <c r="E83" s="100" t="str">
        <f>IF(ISERROR(VLOOKUP(D83,'Matriz SWOT'!$J$5:$K$24,2,FALSE)),"",VLOOKUP(D83,'Matriz SWOT'!$J$5:$K$24,2,FALSE))</f>
        <v/>
      </c>
      <c r="F83" s="110"/>
      <c r="G83" s="101" t="str">
        <f t="shared" si="2"/>
        <v/>
      </c>
      <c r="H83" s="111"/>
      <c r="I83" s="106"/>
      <c r="J83" s="112"/>
      <c r="K83" s="100"/>
      <c r="L83" s="95"/>
      <c r="M83" s="95"/>
      <c r="N83" s="95"/>
      <c r="O83" s="95"/>
      <c r="P83" s="103"/>
      <c r="Q83" s="95"/>
      <c r="R83" s="95"/>
      <c r="S83" s="95"/>
      <c r="T83" s="95"/>
      <c r="U83" s="95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</row>
    <row r="84" ht="34.5" customHeight="1">
      <c r="A84" s="1"/>
      <c r="C84" s="102"/>
      <c r="D84" s="109"/>
      <c r="E84" s="100" t="str">
        <f>IF(ISERROR(VLOOKUP(D84,'Matriz SWOT'!$J$5:$K$24,2,FALSE)),"",VLOOKUP(D84,'Matriz SWOT'!$J$5:$K$24,2,FALSE))</f>
        <v/>
      </c>
      <c r="F84" s="110"/>
      <c r="G84" s="101" t="str">
        <f t="shared" si="2"/>
        <v/>
      </c>
      <c r="H84" s="111"/>
      <c r="I84" s="106"/>
      <c r="J84" s="112"/>
      <c r="K84" s="100"/>
      <c r="L84" s="95"/>
      <c r="M84" s="95"/>
      <c r="N84" s="95"/>
      <c r="O84" s="95"/>
      <c r="P84" s="103"/>
      <c r="Q84" s="95"/>
      <c r="R84" s="95"/>
      <c r="S84" s="95"/>
      <c r="T84" s="95"/>
      <c r="U84" s="95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</row>
    <row r="85" ht="34.5" customHeight="1">
      <c r="A85" s="1"/>
      <c r="C85" s="102"/>
      <c r="D85" s="109"/>
      <c r="E85" s="100" t="str">
        <f>IF(ISERROR(VLOOKUP(D85,'Matriz SWOT'!$J$5:$K$24,2,FALSE)),"",VLOOKUP(D85,'Matriz SWOT'!$J$5:$K$24,2,FALSE))</f>
        <v/>
      </c>
      <c r="F85" s="110"/>
      <c r="G85" s="101" t="str">
        <f t="shared" si="2"/>
        <v/>
      </c>
      <c r="H85" s="111"/>
      <c r="I85" s="106"/>
      <c r="J85" s="112"/>
      <c r="K85" s="100"/>
      <c r="L85" s="95"/>
      <c r="M85" s="95"/>
      <c r="N85" s="95"/>
      <c r="O85" s="95"/>
      <c r="P85" s="103"/>
      <c r="Q85" s="95"/>
      <c r="R85" s="95"/>
      <c r="S85" s="95"/>
      <c r="T85" s="95"/>
      <c r="U85" s="95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</row>
    <row r="86" ht="34.5" customHeight="1">
      <c r="A86" s="1"/>
      <c r="C86" s="102"/>
      <c r="D86" s="109"/>
      <c r="E86" s="100" t="str">
        <f>IF(ISERROR(VLOOKUP(D86,'Matriz SWOT'!$J$5:$K$24,2,FALSE)),"",VLOOKUP(D86,'Matriz SWOT'!$J$5:$K$24,2,FALSE))</f>
        <v/>
      </c>
      <c r="F86" s="110"/>
      <c r="G86" s="101" t="str">
        <f t="shared" si="2"/>
        <v/>
      </c>
      <c r="H86" s="111"/>
      <c r="I86" s="106"/>
      <c r="J86" s="112"/>
      <c r="K86" s="100"/>
      <c r="L86" s="95"/>
      <c r="M86" s="95"/>
      <c r="N86" s="95"/>
      <c r="O86" s="95"/>
      <c r="P86" s="103"/>
      <c r="Q86" s="95"/>
      <c r="R86" s="95"/>
      <c r="S86" s="95"/>
      <c r="T86" s="95"/>
      <c r="U86" s="95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</row>
    <row r="87" ht="34.5" customHeight="1">
      <c r="A87" s="1"/>
      <c r="C87" s="102"/>
      <c r="D87" s="109"/>
      <c r="E87" s="100" t="str">
        <f>IF(ISERROR(VLOOKUP(D87,'Matriz SWOT'!$J$5:$K$24,2,FALSE)),"",VLOOKUP(D87,'Matriz SWOT'!$J$5:$K$24,2,FALSE))</f>
        <v/>
      </c>
      <c r="F87" s="110"/>
      <c r="G87" s="101" t="str">
        <f t="shared" si="2"/>
        <v/>
      </c>
      <c r="H87" s="111"/>
      <c r="I87" s="106"/>
      <c r="J87" s="112"/>
      <c r="K87" s="100"/>
      <c r="L87" s="95"/>
      <c r="M87" s="95"/>
      <c r="N87" s="95"/>
      <c r="O87" s="95"/>
      <c r="P87" s="103"/>
      <c r="Q87" s="95"/>
      <c r="R87" s="95"/>
      <c r="S87" s="95"/>
      <c r="T87" s="95"/>
      <c r="U87" s="95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</row>
    <row r="88" ht="34.5" customHeight="1">
      <c r="A88" s="1"/>
      <c r="C88" s="102"/>
      <c r="D88" s="109"/>
      <c r="E88" s="100" t="str">
        <f>IF(ISERROR(VLOOKUP(D88,'Matriz SWOT'!$J$5:$K$24,2,FALSE)),"",VLOOKUP(D88,'Matriz SWOT'!$J$5:$K$24,2,FALSE))</f>
        <v/>
      </c>
      <c r="F88" s="110"/>
      <c r="G88" s="101" t="str">
        <f t="shared" si="2"/>
        <v/>
      </c>
      <c r="H88" s="111"/>
      <c r="I88" s="106"/>
      <c r="J88" s="112"/>
      <c r="K88" s="100"/>
      <c r="L88" s="95"/>
      <c r="M88" s="95"/>
      <c r="N88" s="95"/>
      <c r="O88" s="95"/>
      <c r="P88" s="103"/>
      <c r="Q88" s="95"/>
      <c r="R88" s="95"/>
      <c r="S88" s="95"/>
      <c r="T88" s="95"/>
      <c r="U88" s="95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</row>
    <row r="89" ht="34.5" customHeight="1">
      <c r="A89" s="1"/>
      <c r="C89" s="102"/>
      <c r="D89" s="109"/>
      <c r="E89" s="100" t="str">
        <f>IF(ISERROR(VLOOKUP(D89,'Matriz SWOT'!$J$5:$K$24,2,FALSE)),"",VLOOKUP(D89,'Matriz SWOT'!$J$5:$K$24,2,FALSE))</f>
        <v/>
      </c>
      <c r="F89" s="110"/>
      <c r="G89" s="101" t="str">
        <f t="shared" si="2"/>
        <v/>
      </c>
      <c r="H89" s="111"/>
      <c r="I89" s="106"/>
      <c r="J89" s="112"/>
      <c r="K89" s="100"/>
      <c r="L89" s="95"/>
      <c r="M89" s="95"/>
      <c r="N89" s="95"/>
      <c r="O89" s="95"/>
      <c r="P89" s="103"/>
      <c r="Q89" s="95"/>
      <c r="R89" s="95"/>
      <c r="S89" s="95"/>
      <c r="T89" s="95"/>
      <c r="U89" s="95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</row>
    <row r="90" ht="34.5" customHeight="1">
      <c r="A90" s="1"/>
      <c r="C90" s="102"/>
      <c r="D90" s="109"/>
      <c r="E90" s="100" t="str">
        <f>IF(ISERROR(VLOOKUP(D90,'Matriz SWOT'!$J$5:$K$24,2,FALSE)),"",VLOOKUP(D90,'Matriz SWOT'!$J$5:$K$24,2,FALSE))</f>
        <v/>
      </c>
      <c r="F90" s="110"/>
      <c r="G90" s="101" t="str">
        <f t="shared" si="2"/>
        <v/>
      </c>
      <c r="H90" s="111"/>
      <c r="I90" s="106"/>
      <c r="J90" s="112"/>
      <c r="K90" s="100"/>
      <c r="L90" s="95"/>
      <c r="M90" s="95"/>
      <c r="N90" s="95"/>
      <c r="O90" s="95"/>
      <c r="P90" s="103"/>
      <c r="Q90" s="95"/>
      <c r="R90" s="95"/>
      <c r="S90" s="95"/>
      <c r="T90" s="95"/>
      <c r="U90" s="95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</row>
    <row r="91" ht="34.5" customHeight="1">
      <c r="A91" s="1"/>
      <c r="C91" s="102"/>
      <c r="D91" s="109"/>
      <c r="E91" s="100" t="str">
        <f>IF(ISERROR(VLOOKUP(D91,'Matriz SWOT'!$J$5:$K$24,2,FALSE)),"",VLOOKUP(D91,'Matriz SWOT'!$J$5:$K$24,2,FALSE))</f>
        <v/>
      </c>
      <c r="F91" s="110"/>
      <c r="G91" s="101" t="str">
        <f t="shared" si="2"/>
        <v/>
      </c>
      <c r="H91" s="111"/>
      <c r="I91" s="106"/>
      <c r="J91" s="112"/>
      <c r="K91" s="100"/>
      <c r="L91" s="95"/>
      <c r="M91" s="95"/>
      <c r="N91" s="95"/>
      <c r="O91" s="95"/>
      <c r="P91" s="103"/>
      <c r="Q91" s="95"/>
      <c r="R91" s="95"/>
      <c r="S91" s="95"/>
      <c r="T91" s="95"/>
      <c r="U91" s="95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</row>
    <row r="92" ht="34.5" customHeight="1">
      <c r="A92" s="1"/>
      <c r="C92" s="102"/>
      <c r="D92" s="109"/>
      <c r="E92" s="100" t="str">
        <f>IF(ISERROR(VLOOKUP(D92,'Matriz SWOT'!$J$5:$K$24,2,FALSE)),"",VLOOKUP(D92,'Matriz SWOT'!$J$5:$K$24,2,FALSE))</f>
        <v/>
      </c>
      <c r="F92" s="110"/>
      <c r="G92" s="101" t="str">
        <f t="shared" si="2"/>
        <v/>
      </c>
      <c r="H92" s="111"/>
      <c r="I92" s="106"/>
      <c r="J92" s="112"/>
      <c r="K92" s="100"/>
      <c r="L92" s="95"/>
      <c r="M92" s="95"/>
      <c r="N92" s="95"/>
      <c r="O92" s="95"/>
      <c r="P92" s="103"/>
      <c r="Q92" s="95"/>
      <c r="R92" s="95"/>
      <c r="S92" s="95"/>
      <c r="T92" s="95"/>
      <c r="U92" s="95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</row>
    <row r="93" ht="34.5" customHeight="1">
      <c r="A93" s="1"/>
      <c r="C93" s="102"/>
      <c r="D93" s="109"/>
      <c r="E93" s="100" t="str">
        <f>IF(ISERROR(VLOOKUP(D93,'Matriz SWOT'!$J$5:$K$24,2,FALSE)),"",VLOOKUP(D93,'Matriz SWOT'!$J$5:$K$24,2,FALSE))</f>
        <v/>
      </c>
      <c r="F93" s="110"/>
      <c r="G93" s="101" t="str">
        <f t="shared" si="2"/>
        <v/>
      </c>
      <c r="H93" s="111"/>
      <c r="I93" s="106"/>
      <c r="J93" s="112"/>
      <c r="K93" s="100"/>
      <c r="L93" s="95"/>
      <c r="M93" s="95"/>
      <c r="N93" s="95"/>
      <c r="O93" s="95"/>
      <c r="P93" s="103"/>
      <c r="Q93" s="95"/>
      <c r="R93" s="95"/>
      <c r="S93" s="95"/>
      <c r="T93" s="95"/>
      <c r="U93" s="95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</row>
    <row r="94" ht="34.5" customHeight="1">
      <c r="A94" s="1"/>
      <c r="C94" s="102"/>
      <c r="D94" s="109"/>
      <c r="E94" s="100" t="str">
        <f>IF(ISERROR(VLOOKUP(D94,'Matriz SWOT'!$J$5:$K$24,2,FALSE)),"",VLOOKUP(D94,'Matriz SWOT'!$J$5:$K$24,2,FALSE))</f>
        <v/>
      </c>
      <c r="F94" s="110"/>
      <c r="G94" s="101" t="str">
        <f t="shared" si="2"/>
        <v/>
      </c>
      <c r="H94" s="111"/>
      <c r="I94" s="106"/>
      <c r="J94" s="112"/>
      <c r="K94" s="100"/>
      <c r="L94" s="95"/>
      <c r="M94" s="95"/>
      <c r="N94" s="95"/>
      <c r="O94" s="95"/>
      <c r="P94" s="103"/>
      <c r="Q94" s="95"/>
      <c r="R94" s="95"/>
      <c r="S94" s="95"/>
      <c r="T94" s="95"/>
      <c r="U94" s="95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</row>
    <row r="95" ht="34.5" customHeight="1">
      <c r="A95" s="1"/>
      <c r="C95" s="102"/>
      <c r="D95" s="109"/>
      <c r="E95" s="100" t="str">
        <f>IF(ISERROR(VLOOKUP(D95,'Matriz SWOT'!$J$5:$K$24,2,FALSE)),"",VLOOKUP(D95,'Matriz SWOT'!$J$5:$K$24,2,FALSE))</f>
        <v/>
      </c>
      <c r="F95" s="110"/>
      <c r="G95" s="101" t="str">
        <f t="shared" si="2"/>
        <v/>
      </c>
      <c r="H95" s="111"/>
      <c r="I95" s="106"/>
      <c r="J95" s="112"/>
      <c r="K95" s="100"/>
      <c r="L95" s="95"/>
      <c r="M95" s="95"/>
      <c r="N95" s="95"/>
      <c r="O95" s="95"/>
      <c r="P95" s="103"/>
      <c r="Q95" s="95"/>
      <c r="R95" s="95"/>
      <c r="S95" s="95"/>
      <c r="T95" s="95"/>
      <c r="U95" s="95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</row>
    <row r="96" ht="34.5" customHeight="1">
      <c r="A96" s="1"/>
      <c r="C96" s="102"/>
      <c r="D96" s="109"/>
      <c r="E96" s="100" t="str">
        <f>IF(ISERROR(VLOOKUP(D96,'Matriz SWOT'!$J$5:$K$24,2,FALSE)),"",VLOOKUP(D96,'Matriz SWOT'!$J$5:$K$24,2,FALSE))</f>
        <v/>
      </c>
      <c r="F96" s="110"/>
      <c r="G96" s="101" t="str">
        <f t="shared" si="2"/>
        <v/>
      </c>
      <c r="H96" s="111"/>
      <c r="I96" s="106"/>
      <c r="J96" s="112"/>
      <c r="K96" s="100"/>
      <c r="L96" s="95"/>
      <c r="M96" s="95"/>
      <c r="N96" s="95"/>
      <c r="O96" s="95"/>
      <c r="P96" s="103"/>
      <c r="Q96" s="95"/>
      <c r="R96" s="95"/>
      <c r="S96" s="95"/>
      <c r="T96" s="95"/>
      <c r="U96" s="95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</row>
    <row r="97" ht="34.5" customHeight="1">
      <c r="A97" s="1"/>
      <c r="C97" s="102"/>
      <c r="D97" s="109"/>
      <c r="E97" s="100" t="str">
        <f>IF(ISERROR(VLOOKUP(D97,'Matriz SWOT'!$J$5:$K$24,2,FALSE)),"",VLOOKUP(D97,'Matriz SWOT'!$J$5:$K$24,2,FALSE))</f>
        <v/>
      </c>
      <c r="F97" s="110"/>
      <c r="G97" s="101" t="str">
        <f t="shared" si="2"/>
        <v/>
      </c>
      <c r="H97" s="111"/>
      <c r="I97" s="106"/>
      <c r="J97" s="112"/>
      <c r="K97" s="100"/>
      <c r="L97" s="95"/>
      <c r="M97" s="95"/>
      <c r="N97" s="95"/>
      <c r="O97" s="95"/>
      <c r="P97" s="103"/>
      <c r="Q97" s="95"/>
      <c r="R97" s="95"/>
      <c r="S97" s="95"/>
      <c r="T97" s="95"/>
      <c r="U97" s="95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</row>
    <row r="98" ht="34.5" customHeight="1">
      <c r="A98" s="1"/>
      <c r="C98" s="102"/>
      <c r="D98" s="109"/>
      <c r="E98" s="100" t="str">
        <f>IF(ISERROR(VLOOKUP(D98,'Matriz SWOT'!$J$5:$K$24,2,FALSE)),"",VLOOKUP(D98,'Matriz SWOT'!$J$5:$K$24,2,FALSE))</f>
        <v/>
      </c>
      <c r="F98" s="110"/>
      <c r="G98" s="101" t="str">
        <f t="shared" si="2"/>
        <v/>
      </c>
      <c r="H98" s="111"/>
      <c r="I98" s="106"/>
      <c r="J98" s="112"/>
      <c r="K98" s="100"/>
      <c r="L98" s="95"/>
      <c r="M98" s="95"/>
      <c r="N98" s="95"/>
      <c r="O98" s="95"/>
      <c r="P98" s="103"/>
      <c r="Q98" s="95"/>
      <c r="R98" s="95"/>
      <c r="S98" s="95"/>
      <c r="T98" s="95"/>
      <c r="U98" s="95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</row>
    <row r="99" ht="34.5" customHeight="1">
      <c r="A99" s="1"/>
      <c r="C99" s="102"/>
      <c r="D99" s="109"/>
      <c r="E99" s="100" t="str">
        <f>IF(ISERROR(VLOOKUP(D99,'Matriz SWOT'!$J$5:$K$24,2,FALSE)),"",VLOOKUP(D99,'Matriz SWOT'!$J$5:$K$24,2,FALSE))</f>
        <v/>
      </c>
      <c r="F99" s="110"/>
      <c r="G99" s="101" t="str">
        <f t="shared" si="2"/>
        <v/>
      </c>
      <c r="H99" s="111"/>
      <c r="I99" s="106"/>
      <c r="J99" s="112"/>
      <c r="K99" s="100"/>
      <c r="L99" s="95"/>
      <c r="M99" s="95"/>
      <c r="N99" s="95"/>
      <c r="O99" s="95"/>
      <c r="P99" s="103"/>
      <c r="Q99" s="95"/>
      <c r="R99" s="95"/>
      <c r="S99" s="95"/>
      <c r="T99" s="95"/>
      <c r="U99" s="95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</row>
    <row r="100" ht="34.5" customHeight="1">
      <c r="A100" s="1"/>
      <c r="C100" s="102"/>
      <c r="D100" s="109"/>
      <c r="E100" s="100" t="str">
        <f>IF(ISERROR(VLOOKUP(D100,'Matriz SWOT'!$J$5:$K$24,2,FALSE)),"",VLOOKUP(D100,'Matriz SWOT'!$J$5:$K$24,2,FALSE))</f>
        <v/>
      </c>
      <c r="F100" s="110"/>
      <c r="G100" s="101" t="str">
        <f t="shared" si="2"/>
        <v/>
      </c>
      <c r="H100" s="111"/>
      <c r="I100" s="106"/>
      <c r="J100" s="112"/>
      <c r="K100" s="100"/>
      <c r="L100" s="95"/>
      <c r="M100" s="95"/>
      <c r="N100" s="95"/>
      <c r="O100" s="95"/>
      <c r="P100" s="103"/>
      <c r="Q100" s="95"/>
      <c r="R100" s="95"/>
      <c r="S100" s="95"/>
      <c r="T100" s="95"/>
      <c r="U100" s="95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</row>
    <row r="101" ht="34.5" customHeight="1">
      <c r="A101" s="1"/>
      <c r="C101" s="102"/>
      <c r="D101" s="109"/>
      <c r="E101" s="100" t="str">
        <f>IF(ISERROR(VLOOKUP(D101,'Matriz SWOT'!$J$5:$K$24,2,FALSE)),"",VLOOKUP(D101,'Matriz SWOT'!$J$5:$K$24,2,FALSE))</f>
        <v/>
      </c>
      <c r="F101" s="110"/>
      <c r="G101" s="101" t="str">
        <f t="shared" si="2"/>
        <v/>
      </c>
      <c r="H101" s="111"/>
      <c r="I101" s="106"/>
      <c r="J101" s="112"/>
      <c r="K101" s="100"/>
      <c r="L101" s="95"/>
      <c r="M101" s="95"/>
      <c r="N101" s="95"/>
      <c r="O101" s="95"/>
      <c r="P101" s="103"/>
      <c r="Q101" s="95"/>
      <c r="R101" s="95"/>
      <c r="S101" s="95"/>
      <c r="T101" s="95"/>
      <c r="U101" s="95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</row>
    <row r="102" ht="34.5" customHeight="1">
      <c r="A102" s="1"/>
      <c r="C102" s="102"/>
      <c r="D102" s="109"/>
      <c r="E102" s="100" t="str">
        <f>IF(ISERROR(VLOOKUP(D102,'Matriz SWOT'!$J$5:$K$24,2,FALSE)),"",VLOOKUP(D102,'Matriz SWOT'!$J$5:$K$24,2,FALSE))</f>
        <v/>
      </c>
      <c r="F102" s="110"/>
      <c r="G102" s="101" t="str">
        <f t="shared" si="2"/>
        <v/>
      </c>
      <c r="H102" s="111"/>
      <c r="I102" s="106"/>
      <c r="J102" s="112"/>
      <c r="K102" s="100"/>
      <c r="L102" s="95"/>
      <c r="M102" s="95"/>
      <c r="N102" s="95"/>
      <c r="O102" s="95"/>
      <c r="P102" s="103"/>
      <c r="Q102" s="95"/>
      <c r="R102" s="95"/>
      <c r="S102" s="95"/>
      <c r="T102" s="95"/>
      <c r="U102" s="95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</row>
    <row r="103" ht="34.5" customHeight="1">
      <c r="A103" s="1"/>
      <c r="C103" s="102"/>
      <c r="D103" s="109"/>
      <c r="E103" s="100" t="str">
        <f>IF(ISERROR(VLOOKUP(D103,'Matriz SWOT'!$J$5:$K$24,2,FALSE)),"",VLOOKUP(D103,'Matriz SWOT'!$J$5:$K$24,2,FALSE))</f>
        <v/>
      </c>
      <c r="F103" s="110"/>
      <c r="G103" s="101" t="str">
        <f t="shared" si="2"/>
        <v/>
      </c>
      <c r="H103" s="111"/>
      <c r="I103" s="106"/>
      <c r="J103" s="112"/>
      <c r="K103" s="100"/>
      <c r="L103" s="95"/>
      <c r="M103" s="95"/>
      <c r="N103" s="95"/>
      <c r="O103" s="95"/>
      <c r="P103" s="103"/>
      <c r="Q103" s="95"/>
      <c r="R103" s="95"/>
      <c r="S103" s="95"/>
      <c r="T103" s="95"/>
      <c r="U103" s="95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</row>
    <row r="104" ht="34.5" customHeight="1">
      <c r="A104" s="1"/>
      <c r="C104" s="102"/>
      <c r="D104" s="109"/>
      <c r="E104" s="100" t="str">
        <f>IF(ISERROR(VLOOKUP(D104,'Matriz SWOT'!$J$5:$K$24,2,FALSE)),"",VLOOKUP(D104,'Matriz SWOT'!$J$5:$K$24,2,FALSE))</f>
        <v/>
      </c>
      <c r="F104" s="110"/>
      <c r="G104" s="101" t="str">
        <f t="shared" si="2"/>
        <v/>
      </c>
      <c r="H104" s="111"/>
      <c r="I104" s="106"/>
      <c r="J104" s="112"/>
      <c r="K104" s="100"/>
      <c r="L104" s="95"/>
      <c r="M104" s="95"/>
      <c r="N104" s="95"/>
      <c r="O104" s="95"/>
      <c r="P104" s="103"/>
      <c r="Q104" s="95"/>
      <c r="R104" s="95"/>
      <c r="S104" s="95"/>
      <c r="T104" s="95"/>
      <c r="U104" s="95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</row>
    <row r="105" ht="34.5" customHeight="1">
      <c r="A105" s="1"/>
      <c r="C105" s="102"/>
      <c r="D105" s="109"/>
      <c r="E105" s="100" t="str">
        <f>IF(ISERROR(VLOOKUP(D105,'Matriz SWOT'!$J$5:$K$24,2,FALSE)),"",VLOOKUP(D105,'Matriz SWOT'!$J$5:$K$24,2,FALSE))</f>
        <v/>
      </c>
      <c r="F105" s="110"/>
      <c r="G105" s="101" t="str">
        <f t="shared" si="2"/>
        <v/>
      </c>
      <c r="H105" s="111"/>
      <c r="I105" s="106"/>
      <c r="J105" s="112"/>
      <c r="K105" s="100"/>
      <c r="L105" s="95"/>
      <c r="M105" s="95"/>
      <c r="N105" s="95"/>
      <c r="O105" s="95"/>
      <c r="P105" s="103"/>
      <c r="Q105" s="95"/>
      <c r="R105" s="95"/>
      <c r="S105" s="95"/>
      <c r="T105" s="95"/>
      <c r="U105" s="95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</row>
    <row r="106" ht="34.5" customHeight="1">
      <c r="A106" s="1"/>
      <c r="C106" s="102"/>
      <c r="D106" s="109"/>
      <c r="E106" s="100" t="str">
        <f>IF(ISERROR(VLOOKUP(D106,'Matriz SWOT'!$J$5:$K$24,2,FALSE)),"",VLOOKUP(D106,'Matriz SWOT'!$J$5:$K$24,2,FALSE))</f>
        <v/>
      </c>
      <c r="F106" s="110"/>
      <c r="G106" s="101" t="str">
        <f t="shared" si="2"/>
        <v/>
      </c>
      <c r="H106" s="111"/>
      <c r="I106" s="106"/>
      <c r="J106" s="112"/>
      <c r="K106" s="100"/>
      <c r="L106" s="95"/>
      <c r="M106" s="95"/>
      <c r="N106" s="95"/>
      <c r="O106" s="95"/>
      <c r="P106" s="103"/>
      <c r="Q106" s="95"/>
      <c r="R106" s="95"/>
      <c r="S106" s="95"/>
      <c r="T106" s="95"/>
      <c r="U106" s="95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</row>
    <row r="107" ht="34.5" customHeight="1">
      <c r="A107" s="1"/>
      <c r="C107" s="102"/>
      <c r="D107" s="109"/>
      <c r="E107" s="100" t="str">
        <f>IF(ISERROR(VLOOKUP(D107,'Matriz SWOT'!$J$5:$K$24,2,FALSE)),"",VLOOKUP(D107,'Matriz SWOT'!$J$5:$K$24,2,FALSE))</f>
        <v/>
      </c>
      <c r="F107" s="110"/>
      <c r="G107" s="101" t="str">
        <f t="shared" si="2"/>
        <v/>
      </c>
      <c r="H107" s="111"/>
      <c r="I107" s="106"/>
      <c r="J107" s="108"/>
      <c r="K107" s="100" t="str">
        <f>IF(J107=0,"",IF(J107="Concluído","Concluído",IF(AND(TODAY()&gt;I107,J107&lt;&gt;"Concluído"),"Atrasado",IF(AND(TODAY()&lt;H107,J107="Não iniciado"),"Aguardando",IF(AND(TODAY()&lt;H107,J107="Em andamento"),"Adiantado",IF(AND(TODAY()&gt;=H107,TODAY()&lt;=I107,J107="Em andamento"),"Em andamento","Atrasado"))))))</f>
        <v/>
      </c>
      <c r="L107" s="95"/>
      <c r="N107" s="95"/>
      <c r="O107" s="95"/>
      <c r="P107" s="103"/>
      <c r="Q107" s="95"/>
      <c r="R107" s="95"/>
      <c r="S107" s="95"/>
      <c r="T107" s="95"/>
      <c r="U107" s="95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</row>
    <row r="108" ht="30.0" customHeight="1">
      <c r="A108" s="1"/>
      <c r="C108" s="58"/>
      <c r="F108" s="58"/>
      <c r="G108" s="58"/>
      <c r="L108" s="95"/>
      <c r="M108" s="95"/>
      <c r="N108" s="95"/>
      <c r="O108" s="95"/>
      <c r="P108" s="103"/>
      <c r="Q108" s="95"/>
      <c r="R108" s="95"/>
      <c r="S108" s="95"/>
      <c r="T108" s="95"/>
      <c r="U108" s="95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</row>
    <row r="109" ht="30.0" customHeight="1">
      <c r="A109" s="1"/>
      <c r="C109" s="58"/>
      <c r="F109" s="58"/>
      <c r="G109" s="58"/>
      <c r="L109" s="95"/>
      <c r="M109" s="95"/>
      <c r="N109" s="95"/>
      <c r="O109" s="95"/>
      <c r="P109" s="103"/>
      <c r="Q109" s="95"/>
      <c r="R109" s="95"/>
      <c r="S109" s="95"/>
      <c r="T109" s="95"/>
      <c r="U109" s="95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</row>
    <row r="110" ht="30.0" customHeight="1">
      <c r="A110" s="1"/>
      <c r="C110" s="58"/>
      <c r="F110" s="58"/>
      <c r="G110" s="58"/>
      <c r="L110" s="95"/>
      <c r="M110" s="95"/>
      <c r="N110" s="95"/>
      <c r="O110" s="95"/>
      <c r="P110" s="103"/>
      <c r="Q110" s="95"/>
      <c r="R110" s="95"/>
      <c r="S110" s="95"/>
      <c r="T110" s="95"/>
      <c r="U110" s="95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</row>
    <row r="111" ht="30.0" customHeight="1">
      <c r="A111" s="1"/>
      <c r="C111" s="58"/>
      <c r="F111" s="58"/>
      <c r="G111" s="58"/>
      <c r="L111" s="95"/>
      <c r="M111" s="95"/>
      <c r="N111" s="95"/>
      <c r="O111" s="95"/>
      <c r="P111" s="103"/>
      <c r="Q111" s="95"/>
      <c r="R111" s="95"/>
      <c r="S111" s="95"/>
      <c r="T111" s="95"/>
      <c r="U111" s="95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</row>
    <row r="112" ht="30.0" customHeight="1">
      <c r="A112" s="1"/>
      <c r="C112" s="58"/>
      <c r="F112" s="58"/>
      <c r="G112" s="58"/>
      <c r="L112" s="95"/>
      <c r="M112" s="95"/>
      <c r="N112" s="95"/>
      <c r="O112" s="95"/>
      <c r="P112" s="103"/>
      <c r="Q112" s="95"/>
      <c r="R112" s="95"/>
      <c r="S112" s="95"/>
      <c r="T112" s="95"/>
      <c r="U112" s="95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</row>
    <row r="113" ht="30.0" customHeight="1">
      <c r="A113" s="1"/>
      <c r="L113" s="95"/>
      <c r="M113" s="95"/>
      <c r="N113" s="95"/>
      <c r="O113" s="95"/>
      <c r="P113" s="103"/>
      <c r="Q113" s="95"/>
      <c r="R113" s="95"/>
      <c r="S113" s="95"/>
      <c r="T113" s="95"/>
      <c r="U113" s="95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</row>
    <row r="114" ht="30.0" customHeight="1">
      <c r="A114" s="1"/>
      <c r="B114" s="31"/>
      <c r="L114" s="95"/>
      <c r="M114" s="95"/>
      <c r="N114" s="95"/>
      <c r="O114" s="95"/>
      <c r="P114" s="103"/>
      <c r="Q114" s="95"/>
      <c r="R114" s="95"/>
      <c r="S114" s="95"/>
      <c r="T114" s="95"/>
      <c r="U114" s="95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</row>
    <row r="115" ht="30.0" customHeight="1">
      <c r="A115" s="1"/>
      <c r="B115" s="31"/>
      <c r="L115" s="95"/>
      <c r="M115" s="95"/>
      <c r="N115" s="95"/>
      <c r="O115" s="95"/>
      <c r="P115" s="103"/>
      <c r="Q115" s="95"/>
      <c r="R115" s="95"/>
      <c r="S115" s="95"/>
      <c r="T115" s="95"/>
      <c r="U115" s="95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</row>
    <row r="116" ht="30.0" customHeight="1">
      <c r="A116" s="1"/>
      <c r="B116" s="31"/>
      <c r="L116" s="95"/>
      <c r="M116" s="95"/>
      <c r="N116" s="95"/>
      <c r="O116" s="95"/>
      <c r="P116" s="103"/>
      <c r="Q116" s="95"/>
      <c r="R116" s="95"/>
      <c r="S116" s="95"/>
      <c r="T116" s="95"/>
      <c r="U116" s="95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</row>
    <row r="117" ht="30.0" customHeight="1">
      <c r="A117" s="1"/>
      <c r="B117" s="31"/>
      <c r="L117" s="95"/>
      <c r="M117" s="95"/>
      <c r="N117" s="95"/>
      <c r="O117" s="95"/>
      <c r="P117" s="103"/>
      <c r="Q117" s="95"/>
      <c r="R117" s="95"/>
      <c r="S117" s="95"/>
      <c r="T117" s="95"/>
      <c r="U117" s="95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</row>
    <row r="118" ht="30.0" customHeight="1">
      <c r="A118" s="1"/>
      <c r="B118" s="31"/>
      <c r="L118" s="95"/>
      <c r="M118" s="95"/>
      <c r="N118" s="95"/>
      <c r="O118" s="95"/>
      <c r="P118" s="103"/>
      <c r="Q118" s="95"/>
      <c r="R118" s="95"/>
      <c r="S118" s="95"/>
      <c r="T118" s="95"/>
      <c r="U118" s="95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</row>
    <row r="119" ht="30.0" customHeight="1">
      <c r="A119" s="1"/>
      <c r="B119" s="31"/>
      <c r="J119" s="31"/>
      <c r="K119" s="31"/>
      <c r="L119" s="95"/>
      <c r="M119" s="95"/>
      <c r="N119" s="95"/>
      <c r="O119" s="95"/>
      <c r="P119" s="103"/>
      <c r="Q119" s="95"/>
      <c r="R119" s="95"/>
      <c r="S119" s="95"/>
      <c r="T119" s="95"/>
      <c r="U119" s="95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</row>
    <row r="120" ht="52.5" customHeight="1">
      <c r="A120" s="1"/>
      <c r="B120" s="31"/>
      <c r="J120" s="31"/>
      <c r="K120" s="31"/>
      <c r="L120" s="95"/>
      <c r="M120" s="95"/>
      <c r="N120" s="95"/>
      <c r="O120" s="95"/>
      <c r="P120" s="95"/>
      <c r="Q120" s="103"/>
      <c r="R120" s="95"/>
      <c r="S120" s="95"/>
      <c r="T120" s="95"/>
      <c r="U120" s="95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</row>
    <row r="121" ht="30.0" customHeight="1">
      <c r="A121" s="1"/>
      <c r="B121" s="31"/>
      <c r="J121" s="31"/>
      <c r="K121" s="31"/>
      <c r="L121" s="95"/>
      <c r="M121" s="95"/>
      <c r="N121" s="95"/>
      <c r="O121" s="95"/>
      <c r="P121" s="95"/>
      <c r="Q121" s="103"/>
      <c r="R121" s="95"/>
      <c r="S121" s="95"/>
      <c r="T121" s="95"/>
      <c r="U121" s="95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</row>
    <row r="122" ht="30.0" customHeight="1">
      <c r="A122" s="1"/>
      <c r="B122" s="31"/>
      <c r="J122" s="31"/>
      <c r="K122" s="31"/>
      <c r="L122" s="95"/>
      <c r="M122" s="95"/>
      <c r="N122" s="95"/>
      <c r="O122" s="95"/>
      <c r="P122" s="95"/>
      <c r="Q122" s="103"/>
      <c r="R122" s="95"/>
      <c r="S122" s="95"/>
      <c r="T122" s="95"/>
      <c r="U122" s="95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</row>
    <row r="123" ht="30.0" customHeight="1">
      <c r="A123" s="1"/>
      <c r="B123" s="31"/>
      <c r="J123" s="31"/>
      <c r="K123" s="31"/>
      <c r="L123" s="95"/>
      <c r="M123" s="95"/>
      <c r="N123" s="95"/>
      <c r="O123" s="95"/>
      <c r="P123" s="95"/>
      <c r="Q123" s="103"/>
      <c r="R123" s="95"/>
      <c r="S123" s="95"/>
      <c r="T123" s="95"/>
      <c r="U123" s="95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</row>
    <row r="124" ht="30.0" customHeight="1">
      <c r="A124" s="1"/>
      <c r="B124" s="31"/>
      <c r="J124" s="31"/>
      <c r="K124" s="31"/>
      <c r="L124" s="95"/>
      <c r="M124" s="95"/>
      <c r="N124" s="95"/>
      <c r="O124" s="95"/>
      <c r="P124" s="95"/>
      <c r="Q124" s="103"/>
      <c r="R124" s="95"/>
      <c r="S124" s="95"/>
      <c r="T124" s="95"/>
      <c r="U124" s="95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</row>
    <row r="125" ht="14.25" customHeight="1">
      <c r="A125" s="1"/>
      <c r="C125" s="58"/>
      <c r="F125" s="58"/>
      <c r="G125" s="58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</row>
    <row r="126" ht="14.25" customHeight="1">
      <c r="A126" s="1"/>
      <c r="C126" s="58"/>
      <c r="F126" s="58"/>
      <c r="G126" s="58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</row>
    <row r="127" ht="14.25" customHeight="1">
      <c r="A127" s="1"/>
      <c r="C127" s="58"/>
      <c r="F127" s="58"/>
      <c r="G127" s="58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</row>
    <row r="128" ht="14.25" customHeight="1">
      <c r="A128" s="1"/>
      <c r="C128" s="58"/>
      <c r="F128" s="58"/>
      <c r="G128" s="58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</row>
    <row r="129" ht="14.25" customHeight="1">
      <c r="A129" s="1"/>
      <c r="C129" s="58"/>
      <c r="F129" s="58"/>
      <c r="G129" s="58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</row>
    <row r="130" ht="14.25" customHeight="1">
      <c r="A130" s="1"/>
      <c r="C130" s="58"/>
      <c r="F130" s="58"/>
      <c r="G130" s="58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</row>
    <row r="131" ht="14.25" customHeight="1">
      <c r="A131" s="1"/>
      <c r="C131" s="58"/>
      <c r="F131" s="58"/>
      <c r="G131" s="58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</row>
    <row r="132" ht="14.25" customHeight="1">
      <c r="A132" s="1"/>
      <c r="C132" s="58"/>
      <c r="F132" s="58"/>
      <c r="G132" s="58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</row>
    <row r="133" ht="14.25" customHeight="1">
      <c r="A133" s="1"/>
      <c r="C133" s="58"/>
      <c r="F133" s="58"/>
      <c r="G133" s="58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</row>
    <row r="134" ht="14.25" customHeight="1">
      <c r="A134" s="1"/>
      <c r="C134" s="58"/>
      <c r="F134" s="58"/>
      <c r="G134" s="58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</row>
    <row r="135" ht="14.25" customHeight="1">
      <c r="A135" s="1"/>
      <c r="C135" s="58"/>
      <c r="F135" s="58"/>
      <c r="G135" s="58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</row>
    <row r="136" ht="14.25" customHeight="1">
      <c r="A136" s="1"/>
      <c r="C136" s="58"/>
      <c r="F136" s="58"/>
      <c r="G136" s="58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</row>
    <row r="137" ht="14.25" customHeight="1">
      <c r="A137" s="1"/>
      <c r="C137" s="58"/>
      <c r="F137" s="58"/>
      <c r="G137" s="58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</row>
    <row r="138" ht="14.25" customHeight="1">
      <c r="A138" s="1"/>
      <c r="C138" s="58"/>
      <c r="F138" s="58"/>
      <c r="G138" s="58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</row>
    <row r="139" ht="14.25" customHeight="1">
      <c r="A139" s="1"/>
      <c r="C139" s="58"/>
      <c r="F139" s="58"/>
      <c r="G139" s="58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</row>
    <row r="140" ht="14.25" customHeight="1">
      <c r="A140" s="1"/>
      <c r="C140" s="58"/>
      <c r="F140" s="58"/>
      <c r="G140" s="58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</row>
    <row r="141" ht="14.25" customHeight="1">
      <c r="A141" s="1"/>
      <c r="C141" s="58"/>
      <c r="F141" s="58"/>
      <c r="G141" s="58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</row>
    <row r="142" ht="14.25" customHeight="1">
      <c r="A142" s="1"/>
      <c r="C142" s="58"/>
      <c r="F142" s="58"/>
      <c r="G142" s="58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</row>
    <row r="143" ht="14.25" customHeight="1">
      <c r="A143" s="1"/>
      <c r="C143" s="58"/>
      <c r="F143" s="58"/>
      <c r="G143" s="58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</row>
    <row r="144" ht="14.25" customHeight="1">
      <c r="A144" s="1"/>
      <c r="C144" s="58"/>
      <c r="F144" s="58"/>
      <c r="G144" s="58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</row>
    <row r="145" ht="14.25" customHeight="1">
      <c r="A145" s="1"/>
      <c r="C145" s="58"/>
      <c r="F145" s="58"/>
      <c r="G145" s="58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</row>
    <row r="146" ht="14.25" customHeight="1">
      <c r="A146" s="1"/>
      <c r="C146" s="58"/>
      <c r="F146" s="58"/>
      <c r="G146" s="58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</row>
    <row r="147" ht="14.25" customHeight="1">
      <c r="A147" s="1"/>
      <c r="C147" s="58"/>
      <c r="F147" s="58"/>
      <c r="G147" s="58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</row>
    <row r="148" ht="14.25" customHeight="1">
      <c r="A148" s="1"/>
      <c r="C148" s="58"/>
      <c r="F148" s="58"/>
      <c r="G148" s="58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</row>
    <row r="149" ht="14.25" customHeight="1">
      <c r="A149" s="1"/>
      <c r="C149" s="58"/>
      <c r="F149" s="58"/>
      <c r="G149" s="58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</row>
    <row r="150" ht="14.25" customHeight="1">
      <c r="A150" s="1"/>
      <c r="C150" s="58"/>
      <c r="F150" s="58"/>
      <c r="G150" s="58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</row>
    <row r="151" ht="14.25" customHeight="1">
      <c r="A151" s="1"/>
      <c r="C151" s="58"/>
      <c r="F151" s="58"/>
      <c r="G151" s="58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</row>
    <row r="152" ht="14.25" customHeight="1">
      <c r="A152" s="1"/>
      <c r="C152" s="58"/>
      <c r="F152" s="58"/>
      <c r="G152" s="58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</row>
    <row r="153" ht="14.25" customHeight="1">
      <c r="A153" s="1"/>
      <c r="C153" s="58"/>
      <c r="F153" s="58"/>
      <c r="G153" s="58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</row>
    <row r="154" ht="14.25" customHeight="1">
      <c r="A154" s="1"/>
      <c r="C154" s="58"/>
      <c r="F154" s="58"/>
      <c r="G154" s="58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</row>
    <row r="155" ht="14.25" customHeight="1">
      <c r="A155" s="1"/>
      <c r="C155" s="58"/>
      <c r="F155" s="58"/>
      <c r="G155" s="58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</row>
    <row r="156" ht="14.25" customHeight="1">
      <c r="A156" s="1"/>
      <c r="C156" s="58"/>
      <c r="F156" s="58"/>
      <c r="G156" s="58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</row>
    <row r="157" ht="14.25" customHeight="1">
      <c r="A157" s="1"/>
      <c r="C157" s="58"/>
      <c r="F157" s="58"/>
      <c r="G157" s="58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</row>
    <row r="158" ht="14.25" customHeight="1">
      <c r="A158" s="1"/>
      <c r="C158" s="58"/>
      <c r="F158" s="58"/>
      <c r="G158" s="58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</row>
    <row r="159" ht="14.25" customHeight="1">
      <c r="A159" s="1"/>
      <c r="C159" s="58"/>
      <c r="F159" s="58"/>
      <c r="G159" s="58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</row>
    <row r="160" ht="14.25" customHeight="1">
      <c r="A160" s="1"/>
      <c r="C160" s="58"/>
      <c r="F160" s="58"/>
      <c r="G160" s="58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</row>
    <row r="161" ht="14.25" customHeight="1">
      <c r="A161" s="1"/>
      <c r="C161" s="58"/>
      <c r="F161" s="58"/>
      <c r="G161" s="58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</row>
    <row r="162" ht="14.25" customHeight="1">
      <c r="A162" s="1"/>
      <c r="C162" s="58"/>
      <c r="F162" s="58"/>
      <c r="G162" s="58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</row>
    <row r="163" ht="14.25" customHeight="1">
      <c r="A163" s="1"/>
      <c r="C163" s="58"/>
      <c r="F163" s="58"/>
      <c r="G163" s="58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</row>
    <row r="164" ht="14.25" customHeight="1">
      <c r="A164" s="1"/>
      <c r="C164" s="58"/>
      <c r="F164" s="58"/>
      <c r="G164" s="58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</row>
    <row r="165" ht="14.25" customHeight="1">
      <c r="A165" s="1"/>
      <c r="C165" s="58"/>
      <c r="F165" s="58"/>
      <c r="G165" s="58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</row>
    <row r="166" ht="14.25" customHeight="1">
      <c r="A166" s="1"/>
      <c r="C166" s="58"/>
      <c r="F166" s="58"/>
      <c r="G166" s="58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</row>
    <row r="167" ht="14.25" customHeight="1">
      <c r="A167" s="1"/>
      <c r="C167" s="58"/>
      <c r="F167" s="58"/>
      <c r="G167" s="58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</row>
    <row r="168" ht="14.25" customHeight="1">
      <c r="A168" s="1"/>
      <c r="C168" s="58"/>
      <c r="F168" s="58"/>
      <c r="G168" s="58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</row>
    <row r="169" ht="14.25" customHeight="1">
      <c r="A169" s="1"/>
      <c r="C169" s="58"/>
      <c r="F169" s="58"/>
      <c r="G169" s="58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</row>
    <row r="170" ht="14.25" customHeight="1">
      <c r="A170" s="1"/>
      <c r="C170" s="58"/>
      <c r="F170" s="58"/>
      <c r="G170" s="58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</row>
    <row r="171" ht="14.25" customHeight="1">
      <c r="A171" s="1"/>
      <c r="C171" s="58"/>
      <c r="F171" s="58"/>
      <c r="G171" s="58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</row>
    <row r="172" ht="14.25" customHeight="1">
      <c r="A172" s="1"/>
      <c r="C172" s="58"/>
      <c r="F172" s="58"/>
      <c r="G172" s="58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</row>
    <row r="173" ht="14.25" customHeight="1">
      <c r="A173" s="1"/>
      <c r="C173" s="58"/>
      <c r="F173" s="58"/>
      <c r="G173" s="58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</row>
    <row r="174" ht="14.25" customHeight="1">
      <c r="A174" s="1"/>
      <c r="C174" s="58"/>
      <c r="F174" s="58"/>
      <c r="G174" s="58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</row>
    <row r="175" ht="14.25" customHeight="1">
      <c r="A175" s="1"/>
      <c r="C175" s="58"/>
      <c r="F175" s="58"/>
      <c r="G175" s="58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</row>
    <row r="176" ht="14.25" customHeight="1">
      <c r="A176" s="1"/>
      <c r="C176" s="58"/>
      <c r="F176" s="58"/>
      <c r="G176" s="58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</row>
    <row r="177" ht="14.25" customHeight="1">
      <c r="A177" s="1"/>
      <c r="C177" s="58"/>
      <c r="F177" s="58"/>
      <c r="G177" s="58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</row>
    <row r="178" ht="14.25" customHeight="1">
      <c r="A178" s="1"/>
      <c r="C178" s="58"/>
      <c r="F178" s="58"/>
      <c r="G178" s="58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</row>
    <row r="179" ht="14.25" customHeight="1">
      <c r="A179" s="1"/>
      <c r="C179" s="58"/>
      <c r="F179" s="58"/>
      <c r="G179" s="58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</row>
    <row r="180" ht="14.25" customHeight="1">
      <c r="A180" s="1"/>
      <c r="C180" s="58"/>
      <c r="F180" s="58"/>
      <c r="G180" s="58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</row>
    <row r="181" ht="14.25" customHeight="1">
      <c r="A181" s="1"/>
      <c r="C181" s="58"/>
      <c r="F181" s="58"/>
      <c r="G181" s="58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</row>
    <row r="182" ht="14.25" customHeight="1">
      <c r="A182" s="1"/>
      <c r="C182" s="58"/>
      <c r="F182" s="58"/>
      <c r="G182" s="58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</row>
    <row r="183" ht="14.25" customHeight="1">
      <c r="A183" s="1"/>
      <c r="C183" s="58"/>
      <c r="F183" s="58"/>
      <c r="G183" s="58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</row>
    <row r="184" ht="14.25" customHeight="1">
      <c r="A184" s="1"/>
      <c r="C184" s="58"/>
      <c r="F184" s="58"/>
      <c r="G184" s="58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</row>
    <row r="185" ht="14.25" customHeight="1">
      <c r="A185" s="1"/>
      <c r="C185" s="58"/>
      <c r="F185" s="58"/>
      <c r="G185" s="58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</row>
    <row r="186" ht="14.25" customHeight="1">
      <c r="A186" s="1"/>
      <c r="C186" s="58"/>
      <c r="F186" s="58"/>
      <c r="G186" s="58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</row>
    <row r="187" ht="14.25" customHeight="1">
      <c r="A187" s="1"/>
      <c r="C187" s="58"/>
      <c r="F187" s="58"/>
      <c r="G187" s="58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</row>
    <row r="188" ht="14.25" customHeight="1">
      <c r="A188" s="1"/>
      <c r="C188" s="58"/>
      <c r="F188" s="58"/>
      <c r="G188" s="58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</row>
    <row r="189" ht="14.25" customHeight="1">
      <c r="A189" s="1"/>
      <c r="C189" s="58"/>
      <c r="F189" s="58"/>
      <c r="G189" s="58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</row>
    <row r="190" ht="14.25" customHeight="1">
      <c r="A190" s="1"/>
      <c r="C190" s="58"/>
      <c r="F190" s="58"/>
      <c r="G190" s="58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</row>
    <row r="191" ht="14.25" customHeight="1">
      <c r="A191" s="1"/>
      <c r="C191" s="58"/>
      <c r="F191" s="58"/>
      <c r="G191" s="58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</row>
    <row r="192" ht="14.25" customHeight="1">
      <c r="A192" s="1"/>
      <c r="C192" s="58"/>
      <c r="F192" s="58"/>
      <c r="G192" s="58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</row>
    <row r="193" ht="14.25" customHeight="1">
      <c r="A193" s="1"/>
      <c r="C193" s="58"/>
      <c r="F193" s="58"/>
      <c r="G193" s="58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</row>
    <row r="194" ht="14.25" customHeight="1">
      <c r="A194" s="1"/>
      <c r="C194" s="58"/>
      <c r="F194" s="58"/>
      <c r="G194" s="58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</row>
    <row r="195" ht="14.25" customHeight="1">
      <c r="A195" s="1"/>
      <c r="C195" s="58"/>
      <c r="F195" s="58"/>
      <c r="G195" s="58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</row>
    <row r="196" ht="14.25" customHeight="1">
      <c r="A196" s="1"/>
      <c r="C196" s="58"/>
      <c r="F196" s="58"/>
      <c r="G196" s="58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</row>
    <row r="197" ht="14.25" customHeight="1">
      <c r="A197" s="1"/>
      <c r="C197" s="58"/>
      <c r="F197" s="58"/>
      <c r="G197" s="58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</row>
    <row r="198" ht="14.25" customHeight="1">
      <c r="A198" s="1"/>
      <c r="C198" s="58"/>
      <c r="F198" s="58"/>
      <c r="G198" s="58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</row>
    <row r="199" ht="14.25" customHeight="1">
      <c r="A199" s="1"/>
      <c r="C199" s="58"/>
      <c r="F199" s="58"/>
      <c r="G199" s="58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</row>
    <row r="200" ht="14.25" customHeight="1">
      <c r="A200" s="1"/>
      <c r="C200" s="58"/>
      <c r="F200" s="58"/>
      <c r="G200" s="58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</row>
    <row r="201" ht="14.25" customHeight="1">
      <c r="A201" s="1"/>
      <c r="C201" s="58"/>
      <c r="F201" s="58"/>
      <c r="G201" s="58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</row>
    <row r="202" ht="14.25" customHeight="1">
      <c r="A202" s="1"/>
      <c r="C202" s="58"/>
      <c r="F202" s="58"/>
      <c r="G202" s="58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</row>
    <row r="203" ht="14.25" customHeight="1">
      <c r="A203" s="1"/>
      <c r="C203" s="58"/>
      <c r="F203" s="58"/>
      <c r="G203" s="58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</row>
    <row r="204" ht="14.25" customHeight="1">
      <c r="A204" s="1"/>
      <c r="C204" s="58"/>
      <c r="F204" s="58"/>
      <c r="G204" s="58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</row>
    <row r="205" ht="14.25" customHeight="1">
      <c r="A205" s="1"/>
      <c r="C205" s="58"/>
      <c r="F205" s="58"/>
      <c r="G205" s="58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</row>
    <row r="206" ht="14.25" customHeight="1">
      <c r="A206" s="1"/>
      <c r="C206" s="58"/>
      <c r="F206" s="58"/>
      <c r="G206" s="58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</row>
    <row r="207" ht="14.25" customHeight="1">
      <c r="A207" s="1"/>
      <c r="C207" s="58"/>
      <c r="F207" s="58"/>
      <c r="G207" s="58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</row>
    <row r="208" ht="14.25" customHeight="1">
      <c r="A208" s="1"/>
      <c r="C208" s="58"/>
      <c r="F208" s="58"/>
      <c r="G208" s="58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</row>
    <row r="209" ht="14.25" customHeight="1">
      <c r="A209" s="1"/>
      <c r="C209" s="58"/>
      <c r="F209" s="58"/>
      <c r="G209" s="58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</row>
    <row r="210" ht="14.25" customHeight="1">
      <c r="A210" s="1"/>
      <c r="C210" s="58"/>
      <c r="F210" s="58"/>
      <c r="G210" s="58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</row>
    <row r="211" ht="14.25" customHeight="1">
      <c r="A211" s="1"/>
      <c r="C211" s="58"/>
      <c r="F211" s="58"/>
      <c r="G211" s="58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</row>
    <row r="212" ht="14.25" customHeight="1">
      <c r="A212" s="1"/>
      <c r="C212" s="58"/>
      <c r="F212" s="58"/>
      <c r="G212" s="58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</row>
    <row r="213" ht="14.25" customHeight="1">
      <c r="A213" s="1"/>
      <c r="C213" s="58"/>
      <c r="F213" s="58"/>
      <c r="G213" s="58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</row>
    <row r="214" ht="14.25" customHeight="1">
      <c r="A214" s="1"/>
      <c r="C214" s="58"/>
      <c r="F214" s="58"/>
      <c r="G214" s="58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</row>
    <row r="215" ht="14.25" customHeight="1">
      <c r="A215" s="1"/>
      <c r="C215" s="58"/>
      <c r="F215" s="58"/>
      <c r="G215" s="58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</row>
    <row r="216" ht="14.25" customHeight="1">
      <c r="A216" s="1"/>
      <c r="C216" s="58"/>
      <c r="F216" s="58"/>
      <c r="G216" s="58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</row>
    <row r="217" ht="14.25" customHeight="1">
      <c r="A217" s="1"/>
      <c r="C217" s="58"/>
      <c r="F217" s="58"/>
      <c r="G217" s="58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</row>
    <row r="218" ht="14.25" customHeight="1">
      <c r="A218" s="1"/>
      <c r="C218" s="58"/>
      <c r="F218" s="58"/>
      <c r="G218" s="58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</row>
    <row r="219" ht="14.25" customHeight="1">
      <c r="A219" s="1"/>
      <c r="C219" s="58"/>
      <c r="F219" s="58"/>
      <c r="G219" s="58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</row>
    <row r="220" ht="14.25" customHeight="1">
      <c r="A220" s="1"/>
      <c r="C220" s="58"/>
      <c r="F220" s="58"/>
      <c r="G220" s="58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</row>
    <row r="221" ht="14.25" customHeight="1">
      <c r="A221" s="1"/>
      <c r="C221" s="58"/>
      <c r="F221" s="58"/>
      <c r="G221" s="58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</row>
    <row r="222" ht="14.25" customHeight="1">
      <c r="A222" s="1"/>
      <c r="C222" s="58"/>
      <c r="F222" s="58"/>
      <c r="G222" s="58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</row>
    <row r="223" ht="14.25" customHeight="1">
      <c r="A223" s="1"/>
      <c r="C223" s="58"/>
      <c r="F223" s="58"/>
      <c r="G223" s="58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</row>
    <row r="224" ht="14.25" customHeight="1">
      <c r="A224" s="1"/>
      <c r="C224" s="58"/>
      <c r="F224" s="58"/>
      <c r="G224" s="58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</row>
    <row r="225" ht="14.25" customHeight="1">
      <c r="A225" s="1"/>
      <c r="C225" s="58"/>
      <c r="F225" s="58"/>
      <c r="G225" s="58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</row>
    <row r="226" ht="14.25" customHeight="1">
      <c r="A226" s="1"/>
      <c r="C226" s="58"/>
      <c r="F226" s="58"/>
      <c r="G226" s="58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</row>
    <row r="227" ht="14.25" customHeight="1">
      <c r="A227" s="1"/>
      <c r="C227" s="58"/>
      <c r="F227" s="58"/>
      <c r="G227" s="58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</row>
    <row r="228" ht="14.25" customHeight="1">
      <c r="A228" s="1"/>
      <c r="C228" s="58"/>
      <c r="F228" s="58"/>
      <c r="G228" s="58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</row>
    <row r="229" ht="14.25" customHeight="1">
      <c r="A229" s="1"/>
      <c r="C229" s="58"/>
      <c r="F229" s="58"/>
      <c r="G229" s="58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</row>
    <row r="230" ht="14.25" customHeight="1">
      <c r="A230" s="1"/>
      <c r="C230" s="58"/>
      <c r="F230" s="58"/>
      <c r="G230" s="58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</row>
    <row r="231" ht="14.25" customHeight="1">
      <c r="A231" s="1"/>
      <c r="C231" s="58"/>
      <c r="F231" s="58"/>
      <c r="G231" s="58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</row>
    <row r="232" ht="14.25" customHeight="1">
      <c r="A232" s="1"/>
      <c r="C232" s="58"/>
      <c r="F232" s="58"/>
      <c r="G232" s="58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</row>
    <row r="233" ht="14.25" customHeight="1">
      <c r="A233" s="1"/>
      <c r="C233" s="58"/>
      <c r="F233" s="58"/>
      <c r="G233" s="58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</row>
    <row r="234" ht="14.25" customHeight="1">
      <c r="A234" s="1"/>
      <c r="C234" s="58"/>
      <c r="F234" s="58"/>
      <c r="G234" s="58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</row>
    <row r="235" ht="14.25" customHeight="1">
      <c r="A235" s="1"/>
      <c r="C235" s="58"/>
      <c r="F235" s="58"/>
      <c r="G235" s="58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</row>
    <row r="236" ht="14.25" customHeight="1">
      <c r="A236" s="1"/>
      <c r="C236" s="58"/>
      <c r="F236" s="58"/>
      <c r="G236" s="58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</row>
    <row r="237" ht="14.25" customHeight="1">
      <c r="A237" s="1"/>
      <c r="C237" s="58"/>
      <c r="F237" s="58"/>
      <c r="G237" s="58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</row>
    <row r="238" ht="14.25" customHeight="1">
      <c r="A238" s="1"/>
      <c r="C238" s="58"/>
      <c r="F238" s="58"/>
      <c r="G238" s="58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</row>
    <row r="239" ht="14.25" customHeight="1">
      <c r="A239" s="1"/>
      <c r="C239" s="58"/>
      <c r="F239" s="58"/>
      <c r="G239" s="58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</row>
    <row r="240" ht="14.25" customHeight="1">
      <c r="A240" s="1"/>
      <c r="C240" s="58"/>
      <c r="F240" s="58"/>
      <c r="G240" s="58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</row>
    <row r="241" ht="14.25" customHeight="1">
      <c r="A241" s="1"/>
      <c r="C241" s="58"/>
      <c r="F241" s="58"/>
      <c r="G241" s="58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</row>
    <row r="242" ht="14.25" customHeight="1">
      <c r="A242" s="1"/>
      <c r="C242" s="58"/>
      <c r="F242" s="58"/>
      <c r="G242" s="58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</row>
    <row r="243" ht="14.25" customHeight="1">
      <c r="A243" s="1"/>
      <c r="C243" s="58"/>
      <c r="F243" s="58"/>
      <c r="G243" s="58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</row>
    <row r="244" ht="14.25" customHeight="1">
      <c r="A244" s="1"/>
      <c r="C244" s="58"/>
      <c r="F244" s="58"/>
      <c r="G244" s="58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</row>
    <row r="245" ht="14.25" customHeight="1">
      <c r="A245" s="1"/>
      <c r="C245" s="58"/>
      <c r="F245" s="58"/>
      <c r="G245" s="58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</row>
    <row r="246" ht="14.25" customHeight="1">
      <c r="A246" s="1"/>
      <c r="C246" s="58"/>
      <c r="F246" s="58"/>
      <c r="G246" s="58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</row>
    <row r="247" ht="14.25" customHeight="1">
      <c r="A247" s="1"/>
      <c r="C247" s="58"/>
      <c r="F247" s="58"/>
      <c r="G247" s="58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</row>
    <row r="248" ht="14.25" customHeight="1">
      <c r="A248" s="1"/>
      <c r="C248" s="58"/>
      <c r="F248" s="58"/>
      <c r="G248" s="58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</row>
    <row r="249" ht="14.25" customHeight="1">
      <c r="A249" s="1"/>
      <c r="C249" s="58"/>
      <c r="F249" s="58"/>
      <c r="G249" s="58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</row>
    <row r="250" ht="14.25" customHeight="1">
      <c r="A250" s="1"/>
      <c r="C250" s="58"/>
      <c r="F250" s="58"/>
      <c r="G250" s="58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</row>
    <row r="251" ht="14.25" customHeight="1">
      <c r="A251" s="1"/>
      <c r="C251" s="58"/>
      <c r="F251" s="58"/>
      <c r="G251" s="58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</row>
    <row r="252" ht="14.25" customHeight="1">
      <c r="A252" s="1"/>
      <c r="C252" s="58"/>
      <c r="F252" s="58"/>
      <c r="G252" s="58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</row>
    <row r="253" ht="14.25" customHeight="1">
      <c r="A253" s="1"/>
      <c r="C253" s="58"/>
      <c r="F253" s="58"/>
      <c r="G253" s="58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</row>
    <row r="254" ht="14.25" customHeight="1">
      <c r="A254" s="1"/>
      <c r="C254" s="58"/>
      <c r="F254" s="58"/>
      <c r="G254" s="58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</row>
    <row r="255" ht="14.25" customHeight="1">
      <c r="A255" s="1"/>
      <c r="C255" s="58"/>
      <c r="F255" s="58"/>
      <c r="G255" s="58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</row>
    <row r="256" ht="14.25" customHeight="1">
      <c r="A256" s="1"/>
      <c r="C256" s="58"/>
      <c r="F256" s="58"/>
      <c r="G256" s="58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</row>
    <row r="257" ht="14.25" customHeight="1">
      <c r="A257" s="1"/>
      <c r="C257" s="58"/>
      <c r="F257" s="58"/>
      <c r="G257" s="58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</row>
    <row r="258" ht="14.25" customHeight="1">
      <c r="A258" s="1"/>
      <c r="C258" s="58"/>
      <c r="F258" s="58"/>
      <c r="G258" s="58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</row>
    <row r="259" ht="14.25" customHeight="1">
      <c r="A259" s="1"/>
      <c r="C259" s="58"/>
      <c r="F259" s="58"/>
      <c r="G259" s="58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</row>
    <row r="260" ht="14.25" customHeight="1">
      <c r="A260" s="1"/>
      <c r="C260" s="58"/>
      <c r="F260" s="58"/>
      <c r="G260" s="58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</row>
    <row r="261" ht="14.25" customHeight="1">
      <c r="A261" s="1"/>
      <c r="C261" s="58"/>
      <c r="F261" s="58"/>
      <c r="G261" s="58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</row>
    <row r="262" ht="14.25" customHeight="1">
      <c r="A262" s="1"/>
      <c r="C262" s="58"/>
      <c r="F262" s="58"/>
      <c r="G262" s="58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</row>
    <row r="263" ht="14.25" customHeight="1">
      <c r="A263" s="1"/>
      <c r="C263" s="58"/>
      <c r="F263" s="58"/>
      <c r="G263" s="58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</row>
    <row r="264" ht="14.25" customHeight="1">
      <c r="A264" s="1"/>
      <c r="C264" s="58"/>
      <c r="F264" s="58"/>
      <c r="G264" s="58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</row>
    <row r="265" ht="14.25" customHeight="1">
      <c r="A265" s="1"/>
      <c r="C265" s="58"/>
      <c r="F265" s="58"/>
      <c r="G265" s="58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</row>
    <row r="266" ht="14.25" customHeight="1">
      <c r="A266" s="1"/>
      <c r="C266" s="58"/>
      <c r="F266" s="58"/>
      <c r="G266" s="58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</row>
    <row r="267" ht="14.25" customHeight="1">
      <c r="A267" s="1"/>
      <c r="C267" s="58"/>
      <c r="F267" s="58"/>
      <c r="G267" s="58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</row>
    <row r="268" ht="14.25" customHeight="1">
      <c r="A268" s="1"/>
      <c r="C268" s="58"/>
      <c r="F268" s="58"/>
      <c r="G268" s="58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</row>
    <row r="269" ht="14.25" customHeight="1">
      <c r="A269" s="1"/>
      <c r="C269" s="58"/>
      <c r="F269" s="58"/>
      <c r="G269" s="58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</row>
    <row r="270" ht="14.25" customHeight="1">
      <c r="A270" s="1"/>
      <c r="C270" s="58"/>
      <c r="F270" s="58"/>
      <c r="G270" s="58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</row>
    <row r="271" ht="14.25" customHeight="1">
      <c r="A271" s="1"/>
      <c r="C271" s="58"/>
      <c r="F271" s="58"/>
      <c r="G271" s="58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</row>
    <row r="272" ht="14.25" customHeight="1">
      <c r="A272" s="1"/>
      <c r="C272" s="58"/>
      <c r="F272" s="58"/>
      <c r="G272" s="58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</row>
    <row r="273" ht="14.25" customHeight="1">
      <c r="A273" s="1"/>
      <c r="C273" s="58"/>
      <c r="F273" s="58"/>
      <c r="G273" s="58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</row>
    <row r="274" ht="14.25" customHeight="1">
      <c r="A274" s="1"/>
      <c r="C274" s="58"/>
      <c r="F274" s="58"/>
      <c r="G274" s="58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</row>
    <row r="275" ht="14.25" customHeight="1">
      <c r="A275" s="1"/>
      <c r="C275" s="58"/>
      <c r="F275" s="58"/>
      <c r="G275" s="58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</row>
    <row r="276" ht="14.25" customHeight="1">
      <c r="A276" s="1"/>
      <c r="C276" s="58"/>
      <c r="F276" s="58"/>
      <c r="G276" s="58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</row>
    <row r="277" ht="14.25" customHeight="1">
      <c r="A277" s="1"/>
      <c r="C277" s="58"/>
      <c r="F277" s="58"/>
      <c r="G277" s="58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</row>
    <row r="278" ht="14.25" customHeight="1">
      <c r="A278" s="1"/>
      <c r="C278" s="58"/>
      <c r="F278" s="58"/>
      <c r="G278" s="58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</row>
    <row r="279" ht="14.25" customHeight="1">
      <c r="A279" s="1"/>
      <c r="C279" s="58"/>
      <c r="F279" s="58"/>
      <c r="G279" s="58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</row>
    <row r="280" ht="14.25" customHeight="1">
      <c r="A280" s="1"/>
      <c r="C280" s="58"/>
      <c r="F280" s="58"/>
      <c r="G280" s="58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</row>
    <row r="281" ht="14.25" customHeight="1">
      <c r="A281" s="1"/>
      <c r="C281" s="58"/>
      <c r="F281" s="58"/>
      <c r="G281" s="58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</row>
    <row r="282" ht="14.25" customHeight="1">
      <c r="A282" s="1"/>
      <c r="C282" s="58"/>
      <c r="F282" s="58"/>
      <c r="G282" s="58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</row>
    <row r="283" ht="14.25" customHeight="1">
      <c r="A283" s="1"/>
      <c r="C283" s="58"/>
      <c r="F283" s="58"/>
      <c r="G283" s="58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</row>
    <row r="284" ht="14.25" customHeight="1">
      <c r="A284" s="1"/>
      <c r="C284" s="58"/>
      <c r="F284" s="58"/>
      <c r="G284" s="58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</row>
    <row r="285" ht="14.25" customHeight="1">
      <c r="A285" s="1"/>
      <c r="C285" s="58"/>
      <c r="F285" s="58"/>
      <c r="G285" s="58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</row>
    <row r="286" ht="14.25" customHeight="1">
      <c r="A286" s="1"/>
      <c r="C286" s="58"/>
      <c r="F286" s="58"/>
      <c r="G286" s="58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</row>
    <row r="287" ht="14.25" customHeight="1">
      <c r="A287" s="1"/>
      <c r="C287" s="58"/>
      <c r="F287" s="58"/>
      <c r="G287" s="58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</row>
    <row r="288" ht="14.25" customHeight="1">
      <c r="A288" s="1"/>
      <c r="C288" s="58"/>
      <c r="F288" s="58"/>
      <c r="G288" s="58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</row>
    <row r="289" ht="14.25" customHeight="1">
      <c r="A289" s="1"/>
      <c r="C289" s="58"/>
      <c r="F289" s="58"/>
      <c r="G289" s="58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</row>
    <row r="290" ht="14.25" customHeight="1">
      <c r="A290" s="1"/>
      <c r="C290" s="58"/>
      <c r="F290" s="58"/>
      <c r="G290" s="58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</row>
    <row r="291" ht="14.25" customHeight="1">
      <c r="A291" s="1"/>
      <c r="C291" s="58"/>
      <c r="F291" s="58"/>
      <c r="G291" s="58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</row>
    <row r="292" ht="14.25" customHeight="1">
      <c r="A292" s="1"/>
      <c r="C292" s="58"/>
      <c r="F292" s="58"/>
      <c r="G292" s="58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</row>
    <row r="293" ht="14.25" customHeight="1">
      <c r="A293" s="1"/>
      <c r="C293" s="58"/>
      <c r="F293" s="58"/>
      <c r="G293" s="58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</row>
    <row r="294" ht="14.25" customHeight="1">
      <c r="A294" s="1"/>
      <c r="C294" s="58"/>
      <c r="F294" s="58"/>
      <c r="G294" s="58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</row>
    <row r="295" ht="14.25" customHeight="1">
      <c r="A295" s="1"/>
      <c r="C295" s="58"/>
      <c r="F295" s="58"/>
      <c r="G295" s="58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</row>
    <row r="296" ht="14.25" customHeight="1">
      <c r="A296" s="1"/>
      <c r="C296" s="58"/>
      <c r="F296" s="58"/>
      <c r="G296" s="58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</row>
    <row r="297" ht="14.25" customHeight="1">
      <c r="A297" s="1"/>
      <c r="C297" s="58"/>
      <c r="F297" s="58"/>
      <c r="G297" s="58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</row>
    <row r="298" ht="14.25" customHeight="1">
      <c r="A298" s="1"/>
      <c r="C298" s="58"/>
      <c r="F298" s="58"/>
      <c r="G298" s="58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</row>
    <row r="299" ht="14.25" customHeight="1">
      <c r="A299" s="1"/>
      <c r="C299" s="58"/>
      <c r="F299" s="58"/>
      <c r="G299" s="58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</row>
    <row r="300" ht="14.25" customHeight="1">
      <c r="A300" s="1"/>
      <c r="C300" s="58"/>
      <c r="F300" s="58"/>
      <c r="G300" s="58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</row>
    <row r="301" ht="14.25" customHeight="1">
      <c r="A301" s="1"/>
      <c r="C301" s="58"/>
      <c r="F301" s="58"/>
      <c r="G301" s="58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</row>
    <row r="302" ht="14.25" customHeight="1">
      <c r="A302" s="1"/>
      <c r="C302" s="58"/>
      <c r="F302" s="58"/>
      <c r="G302" s="58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</row>
    <row r="303" ht="14.25" customHeight="1">
      <c r="A303" s="1"/>
      <c r="C303" s="58"/>
      <c r="F303" s="58"/>
      <c r="G303" s="58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</row>
    <row r="304" ht="14.25" customHeight="1">
      <c r="A304" s="1"/>
      <c r="C304" s="58"/>
      <c r="F304" s="58"/>
      <c r="G304" s="58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</row>
    <row r="305" ht="14.25" customHeight="1">
      <c r="A305" s="1"/>
      <c r="C305" s="58"/>
      <c r="F305" s="58"/>
      <c r="G305" s="58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</row>
    <row r="306" ht="14.25" customHeight="1">
      <c r="A306" s="1"/>
      <c r="C306" s="58"/>
      <c r="F306" s="58"/>
      <c r="G306" s="58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</row>
    <row r="307" ht="14.25" customHeight="1">
      <c r="A307" s="1"/>
      <c r="C307" s="58"/>
      <c r="F307" s="58"/>
      <c r="G307" s="58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C2"/>
    <mergeCell ref="C4:K4"/>
  </mergeCells>
  <conditionalFormatting sqref="E8:E107">
    <cfRule type="containsText" dxfId="4" priority="1" operator="containsText" text="o">
      <formula>NOT(ISERROR(SEARCH(("o"),(E8))))</formula>
    </cfRule>
  </conditionalFormatting>
  <conditionalFormatting sqref="E8:E107">
    <cfRule type="containsText" dxfId="5" priority="2" operator="containsText" text="a">
      <formula>NOT(ISERROR(SEARCH(("a"),(E8))))</formula>
    </cfRule>
  </conditionalFormatting>
  <conditionalFormatting sqref="K8:K107">
    <cfRule type="containsText" dxfId="5" priority="3" operator="containsText" text="Atrasado">
      <formula>NOT(ISERROR(SEARCH(("Atrasado"),(K8))))</formula>
    </cfRule>
  </conditionalFormatting>
  <conditionalFormatting sqref="K8:K107">
    <cfRule type="containsText" dxfId="4" priority="4" operator="containsText" text="o">
      <formula>NOT(ISERROR(SEARCH(("o"),(K8))))</formula>
    </cfRule>
  </conditionalFormatting>
  <dataValidations>
    <dataValidation type="list" allowBlank="1" showErrorMessage="1" sqref="J8:J107">
      <formula1>"Concluído,Em andamento,Não iniciado"</formula1>
    </dataValidation>
    <dataValidation type="list" allowBlank="1" showErrorMessage="1" sqref="F14:F107">
      <formula1>OFFSET($M$8,,,50-COUNTIF($M$8:$M$57,"=0"))</formula1>
    </dataValidation>
    <dataValidation type="list" allowBlank="1" showErrorMessage="1" sqref="D8:D107">
      <formula1>OFFSET($P$8,,,20-COUNTBLANK($P$8:$P$27))</formula1>
    </dataValidation>
    <dataValidation type="date" operator="greaterThan" allowBlank="1" showInputMessage="1" showErrorMessage="1" prompt="Erro - Você precisa inserir uma data válida. Verifique se o valor digitado está correto." sqref="I8:I13 H14:I107">
      <formula1>42369.0</formula1>
    </dataValidation>
  </dataValidations>
  <printOptions verticalCentered="1"/>
  <pageMargins bottom="0.7480314960629921" footer="0.0" header="0.0" left="0.2362204724409449" right="0.2362204724409449" top="0.7480314960629921"/>
  <pageSetup fitToHeight="0" paperSize="9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7.71"/>
    <col customWidth="1" min="2" max="2" width="4.29"/>
    <col customWidth="1" min="3" max="3" width="22.71"/>
    <col customWidth="1" min="4" max="4" width="21.43"/>
    <col customWidth="1" min="5" max="5" width="22.71"/>
    <col customWidth="1" min="6" max="6" width="19.43"/>
    <col customWidth="1" min="7" max="7" width="2.71"/>
    <col customWidth="1" min="8" max="8" width="22.71"/>
    <col customWidth="1" min="9" max="9" width="21.43"/>
    <col customWidth="1" min="10" max="10" width="22.71"/>
    <col customWidth="1" min="11" max="11" width="19.43"/>
    <col customWidth="1" min="12" max="18" width="8.71"/>
    <col customWidth="1" min="19" max="19" width="9.29"/>
    <col customWidth="1" hidden="1" min="20" max="48" width="9.29"/>
  </cols>
  <sheetData>
    <row r="1" ht="33.75" customHeight="1">
      <c r="A1" s="1"/>
      <c r="B1" s="23"/>
      <c r="C1" s="113" t="s">
        <v>142</v>
      </c>
      <c r="D1" s="114"/>
      <c r="E1" s="25"/>
      <c r="F1" s="25"/>
      <c r="G1" s="25"/>
      <c r="H1" s="25"/>
      <c r="I1" s="25"/>
      <c r="J1" s="25"/>
      <c r="K1" s="25"/>
      <c r="L1" s="70"/>
      <c r="M1" s="70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ht="37.5" customHeight="1">
      <c r="A2" s="1"/>
      <c r="B2" s="23"/>
      <c r="C2" s="115"/>
      <c r="E2" s="29"/>
      <c r="F2" s="29"/>
      <c r="G2" s="29"/>
      <c r="H2" s="29"/>
      <c r="I2" s="29"/>
      <c r="J2" s="29"/>
      <c r="K2" s="30"/>
      <c r="L2" s="93"/>
      <c r="M2" s="93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</row>
    <row r="3" ht="6.75" customHeight="1">
      <c r="A3" s="1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ht="30.0" customHeight="1">
      <c r="A4" s="1"/>
      <c r="C4" s="116" t="s">
        <v>143</v>
      </c>
      <c r="F4" s="117"/>
      <c r="G4" s="32"/>
      <c r="H4" s="32"/>
      <c r="I4" s="31"/>
      <c r="J4" s="31"/>
      <c r="K4" s="31"/>
      <c r="L4" s="32"/>
      <c r="M4" s="118"/>
      <c r="N4" s="32"/>
      <c r="O4" s="32"/>
      <c r="P4" s="32"/>
      <c r="Q4" s="32"/>
      <c r="R4" s="32"/>
      <c r="S4" s="32"/>
      <c r="T4" s="31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ht="7.5" customHeight="1">
      <c r="A5" s="1"/>
      <c r="G5" s="32"/>
      <c r="H5" s="32"/>
      <c r="I5" s="31"/>
      <c r="J5" s="31"/>
      <c r="K5" s="31"/>
      <c r="L5" s="32"/>
      <c r="M5" s="32"/>
      <c r="N5" s="32" t="s">
        <v>144</v>
      </c>
      <c r="O5" s="32"/>
      <c r="P5" s="32"/>
      <c r="Q5" s="32"/>
      <c r="R5" s="32"/>
      <c r="S5" s="32"/>
      <c r="T5" s="31"/>
      <c r="U5" s="32" t="s">
        <v>89</v>
      </c>
      <c r="V5" s="32" t="s">
        <v>90</v>
      </c>
      <c r="W5" s="32" t="s">
        <v>91</v>
      </c>
      <c r="X5" s="32" t="s">
        <v>92</v>
      </c>
      <c r="Y5" s="32" t="s">
        <v>93</v>
      </c>
      <c r="Z5" s="32" t="s">
        <v>94</v>
      </c>
      <c r="AA5" s="32" t="s">
        <v>95</v>
      </c>
      <c r="AB5" s="32" t="s">
        <v>96</v>
      </c>
      <c r="AC5" s="32" t="s">
        <v>97</v>
      </c>
      <c r="AD5" s="32" t="s">
        <v>123</v>
      </c>
      <c r="AE5" s="32" t="s">
        <v>124</v>
      </c>
      <c r="AF5" s="32" t="s">
        <v>125</v>
      </c>
      <c r="AG5" s="32" t="s">
        <v>89</v>
      </c>
      <c r="AH5" s="32" t="s">
        <v>90</v>
      </c>
      <c r="AI5" s="32" t="s">
        <v>91</v>
      </c>
      <c r="AJ5" s="32" t="s">
        <v>92</v>
      </c>
      <c r="AK5" s="32" t="s">
        <v>93</v>
      </c>
      <c r="AL5" s="32" t="s">
        <v>94</v>
      </c>
      <c r="AM5" s="32" t="s">
        <v>95</v>
      </c>
      <c r="AN5" s="32" t="s">
        <v>96</v>
      </c>
      <c r="AO5" s="32" t="s">
        <v>97</v>
      </c>
      <c r="AP5" s="32" t="s">
        <v>123</v>
      </c>
      <c r="AQ5" s="32" t="s">
        <v>124</v>
      </c>
      <c r="AR5" s="32" t="s">
        <v>125</v>
      </c>
      <c r="AS5" s="32" t="s">
        <v>89</v>
      </c>
      <c r="AT5" s="32" t="s">
        <v>90</v>
      </c>
      <c r="AU5" s="32" t="s">
        <v>91</v>
      </c>
      <c r="AV5" s="32" t="s">
        <v>92</v>
      </c>
    </row>
    <row r="6" ht="36.75" customHeight="1">
      <c r="A6" s="33"/>
      <c r="C6" s="119" t="s">
        <v>145</v>
      </c>
      <c r="D6" s="120"/>
      <c r="E6" s="121"/>
      <c r="F6" s="121"/>
      <c r="G6" s="121"/>
      <c r="H6" s="121"/>
      <c r="I6" s="121"/>
      <c r="J6" s="121"/>
      <c r="K6" s="122"/>
      <c r="L6" s="38"/>
      <c r="M6" s="38"/>
      <c r="N6" s="32" t="s">
        <v>146</v>
      </c>
      <c r="O6" s="32"/>
      <c r="P6" s="32"/>
      <c r="Q6" s="32">
        <f>100/160</f>
        <v>0.625</v>
      </c>
      <c r="R6" s="32" t="s">
        <v>147</v>
      </c>
      <c r="S6" s="38"/>
      <c r="T6" s="34"/>
      <c r="U6" s="38">
        <v>1.0</v>
      </c>
      <c r="V6" s="38">
        <v>1.0</v>
      </c>
      <c r="W6" s="38">
        <v>1.0</v>
      </c>
      <c r="X6" s="38">
        <v>1.0</v>
      </c>
      <c r="Y6" s="38">
        <v>2.0</v>
      </c>
      <c r="Z6" s="38">
        <v>2.0</v>
      </c>
      <c r="AA6" s="38">
        <v>2.0</v>
      </c>
      <c r="AB6" s="38">
        <v>2.0</v>
      </c>
      <c r="AC6" s="38">
        <v>2.0</v>
      </c>
      <c r="AD6" s="38">
        <v>2.0</v>
      </c>
      <c r="AE6" s="38">
        <v>2.0</v>
      </c>
      <c r="AF6" s="38">
        <v>2.0</v>
      </c>
      <c r="AG6" s="38">
        <v>2.0</v>
      </c>
      <c r="AH6" s="38">
        <v>2.0</v>
      </c>
      <c r="AI6" s="38">
        <v>2.0</v>
      </c>
      <c r="AJ6" s="38">
        <v>2.0</v>
      </c>
      <c r="AK6" s="38">
        <v>3.0</v>
      </c>
      <c r="AL6" s="38">
        <v>3.0</v>
      </c>
      <c r="AM6" s="38">
        <v>3.0</v>
      </c>
      <c r="AN6" s="38">
        <v>3.0</v>
      </c>
      <c r="AO6" s="38">
        <v>3.0</v>
      </c>
      <c r="AP6" s="38">
        <v>3.0</v>
      </c>
      <c r="AQ6" s="38">
        <v>3.0</v>
      </c>
      <c r="AR6" s="38">
        <v>3.0</v>
      </c>
      <c r="AS6" s="38">
        <v>3.0</v>
      </c>
      <c r="AT6" s="38">
        <v>3.0</v>
      </c>
      <c r="AU6" s="38">
        <v>3.0</v>
      </c>
      <c r="AV6" s="38">
        <v>3.0</v>
      </c>
    </row>
    <row r="7" ht="30.0" customHeight="1">
      <c r="A7" s="1"/>
      <c r="C7" s="123">
        <f>IF(ISERROR((('Gráficos'!D19+'Gráficos'!D21)/SUM('Gráficos'!D19:F22)-('Gráficos'!D20+'Gráficos'!D22)/SUM('Gráficos'!D19:F22))*2),0,(('Gráficos'!D19+'Gráficos'!D21)/SUM('Gráficos'!D19:F22)-('Gráficos'!D20+'Gráficos'!D22)/SUM('Gráficos'!D19:F22))*2)</f>
        <v>0</v>
      </c>
      <c r="D7" s="124"/>
      <c r="K7" s="125"/>
      <c r="L7" s="32"/>
      <c r="M7" s="32"/>
      <c r="N7" s="32" t="s">
        <v>148</v>
      </c>
      <c r="O7" s="32"/>
      <c r="P7" s="32"/>
      <c r="Q7" s="32"/>
      <c r="R7" s="32"/>
      <c r="S7" s="32"/>
      <c r="T7" s="31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</row>
    <row r="8" ht="48.0" customHeight="1">
      <c r="A8" s="1"/>
      <c r="C8" s="126"/>
      <c r="D8" s="127"/>
      <c r="E8" s="128"/>
      <c r="F8" s="128"/>
      <c r="G8" s="128"/>
      <c r="H8" s="128"/>
      <c r="I8" s="128"/>
      <c r="J8" s="128"/>
      <c r="K8" s="129"/>
      <c r="L8" s="32"/>
      <c r="M8" s="32"/>
      <c r="N8" s="32" t="s">
        <v>149</v>
      </c>
      <c r="O8" s="32"/>
      <c r="P8" s="32"/>
      <c r="Q8" s="32"/>
      <c r="R8" s="32"/>
      <c r="S8" s="32"/>
      <c r="T8" s="31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</row>
    <row r="9" ht="39.75" customHeight="1">
      <c r="A9" s="1"/>
      <c r="C9" s="130" t="str">
        <f>IF(C7&lt;=-1,N6,IF(C7&lt;=-0.3,N7,IF(C7&lt;=0.3,N8,IF(C7&lt;=1,N5,IF(C7&lt;=2,N9,"")))))</f>
        <v>Equilíbrio - Com um cenário equilibrado vale a pena investir mais tempo de análise para saber se o seu foco será interno ou externo.</v>
      </c>
      <c r="D9" s="54"/>
      <c r="E9" s="54"/>
      <c r="F9" s="54"/>
      <c r="G9" s="54"/>
      <c r="H9" s="54"/>
      <c r="I9" s="54"/>
      <c r="J9" s="54"/>
      <c r="K9" s="59"/>
      <c r="L9" s="32"/>
      <c r="M9" s="32"/>
      <c r="N9" s="32" t="s">
        <v>150</v>
      </c>
      <c r="O9" s="32"/>
      <c r="P9" s="32"/>
      <c r="Q9" s="32"/>
      <c r="R9" s="32"/>
      <c r="S9" s="32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</row>
    <row r="10" ht="15.0" customHeight="1">
      <c r="A10" s="1"/>
      <c r="L10" s="32"/>
      <c r="M10" s="32"/>
      <c r="N10" s="32"/>
      <c r="O10" s="32"/>
      <c r="P10" s="32"/>
      <c r="Q10" s="32"/>
      <c r="R10" s="32"/>
      <c r="S10" s="32"/>
      <c r="T10" s="32" t="s">
        <v>89</v>
      </c>
      <c r="U10" s="32" t="s">
        <v>90</v>
      </c>
      <c r="V10" s="32" t="s">
        <v>91</v>
      </c>
      <c r="W10" s="32" t="s">
        <v>92</v>
      </c>
      <c r="X10" s="32" t="s">
        <v>93</v>
      </c>
      <c r="Y10" s="32" t="s">
        <v>94</v>
      </c>
      <c r="Z10" s="32" t="s">
        <v>95</v>
      </c>
      <c r="AA10" s="32" t="s">
        <v>96</v>
      </c>
      <c r="AB10" s="32" t="s">
        <v>97</v>
      </c>
      <c r="AC10" s="32" t="s">
        <v>123</v>
      </c>
      <c r="AD10" s="32" t="s">
        <v>124</v>
      </c>
      <c r="AE10" s="32" t="s">
        <v>125</v>
      </c>
      <c r="AF10" s="32" t="s">
        <v>89</v>
      </c>
      <c r="AG10" s="32" t="s">
        <v>90</v>
      </c>
      <c r="AH10" s="32" t="s">
        <v>91</v>
      </c>
      <c r="AI10" s="32" t="s">
        <v>92</v>
      </c>
      <c r="AJ10" s="32" t="s">
        <v>93</v>
      </c>
      <c r="AK10" s="32" t="s">
        <v>94</v>
      </c>
      <c r="AL10" s="32" t="s">
        <v>95</v>
      </c>
      <c r="AM10" s="32" t="s">
        <v>96</v>
      </c>
      <c r="AN10" s="32" t="s">
        <v>97</v>
      </c>
      <c r="AO10" s="32" t="s">
        <v>123</v>
      </c>
      <c r="AP10" s="32" t="s">
        <v>124</v>
      </c>
      <c r="AQ10" s="32" t="s">
        <v>125</v>
      </c>
      <c r="AR10" s="32" t="s">
        <v>89</v>
      </c>
      <c r="AS10" s="32" t="s">
        <v>90</v>
      </c>
      <c r="AT10" s="32" t="s">
        <v>91</v>
      </c>
      <c r="AU10" s="32" t="s">
        <v>92</v>
      </c>
      <c r="AV10" s="32"/>
    </row>
    <row r="11" ht="37.5" customHeight="1">
      <c r="A11" s="1"/>
      <c r="C11" s="116" t="s">
        <v>151</v>
      </c>
      <c r="F11" s="117"/>
      <c r="G11" s="58"/>
      <c r="H11" s="58"/>
      <c r="I11" s="58"/>
      <c r="J11" s="32"/>
      <c r="K11" s="32"/>
      <c r="L11" s="32"/>
      <c r="M11" s="131" t="s">
        <v>152</v>
      </c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</row>
    <row r="12" ht="4.5" customHeight="1">
      <c r="A12" s="1"/>
      <c r="G12" s="32"/>
      <c r="H12" s="32"/>
      <c r="I12" s="32"/>
      <c r="J12" s="32"/>
      <c r="K12" s="32"/>
      <c r="L12" s="32"/>
      <c r="M12" s="32"/>
      <c r="N12" s="32"/>
      <c r="O12" s="48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</row>
    <row r="13" ht="39.75" customHeight="1">
      <c r="A13" s="1"/>
      <c r="C13" s="132" t="s">
        <v>153</v>
      </c>
      <c r="D13" s="133">
        <f>IF(ISERROR('Gráficos'!D19/SUM('Gráficos'!$D$19:$F$22)),0,'Gráficos'!D19/SUM('Gráficos'!$D$19:$F$22))</f>
        <v>0</v>
      </c>
      <c r="E13" s="134" t="str">
        <f>IF(D13&lt;D14,"Suas forças estão mais baixas que as suas fraquezas, que tal pensar em planos de ação para ter notas melhores em relação à esse item?",IF(D13&gt;=D14,"Suas forças estão mais altas ou iguais as suas fraquezas, mantenha esse bom resultado!",""))</f>
        <v>Suas forças estão mais altas ou iguais as suas fraquezas, mantenha esse bom resultado!</v>
      </c>
      <c r="F13" s="54"/>
      <c r="G13" s="54"/>
      <c r="H13" s="54"/>
      <c r="I13" s="54"/>
      <c r="J13" s="54"/>
      <c r="K13" s="59"/>
      <c r="L13" s="32"/>
      <c r="M13" s="32" t="str">
        <f t="shared" ref="M13:M16" si="1">C13</f>
        <v>Forças</v>
      </c>
      <c r="N13" s="32" t="str">
        <f>IF(ISERROR(VLOOKUP(LARGE($D$13:$D$14,ROW($A1)),$D$13:$M$14,COLUMN(J$1),FALSE)),"",VLOOKUP(LARGE($D$13:$D$14,ROW($A1)),$D$13:$M$14,COLUMN(J$1),FALSE))</f>
        <v>Forças</v>
      </c>
      <c r="O13" s="48"/>
      <c r="P13" s="32">
        <v>1.0</v>
      </c>
      <c r="Q13" s="32" t="s">
        <v>154</v>
      </c>
      <c r="R13" s="32" t="s">
        <v>155</v>
      </c>
      <c r="S13" s="32" t="s">
        <v>156</v>
      </c>
      <c r="T13" s="32" t="str">
        <f t="shared" ref="T13:T16" si="2">IF(AND($N$13=R13,$N$14=S13),"OK","")</f>
        <v/>
      </c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</row>
    <row r="14" ht="39.75" customHeight="1">
      <c r="A14" s="1"/>
      <c r="C14" s="132" t="s">
        <v>157</v>
      </c>
      <c r="D14" s="133">
        <f>IF(ISERROR('Gráficos'!D20/SUM('Gráficos'!$D$19:$F$22)),0,'Gráficos'!D20/SUM('Gráficos'!$D$19:$F$22))</f>
        <v>0</v>
      </c>
      <c r="E14" s="134" t="str">
        <f>IF(D14&gt;D13,"Suas fraquezas estão maiores que as suas forças, esse é um sinal de alerta clássico que existem pontos de melhoria na sua empresa, crie planos de ação para reduzir estas fraquezas.",IF(D14&lt;=D13,"Suas fraquezas estão mais baixas ou iguais as suas forças, esse é um bom sinal, mas não se acomode!",""))</f>
        <v>Suas fraquezas estão mais baixas ou iguais as suas forças, esse é um bom sinal, mas não se acomode!</v>
      </c>
      <c r="F14" s="54"/>
      <c r="G14" s="54"/>
      <c r="H14" s="54"/>
      <c r="I14" s="54"/>
      <c r="J14" s="54"/>
      <c r="K14" s="59"/>
      <c r="L14" s="32"/>
      <c r="M14" s="32" t="str">
        <f t="shared" si="1"/>
        <v>Fraquezas</v>
      </c>
      <c r="N14" s="32" t="str">
        <f>IF(ISERROR(VLOOKUP(LARGE($D$15:$D$16,ROW($A1)),$D$15:$M$16,COLUMN(J$1),FALSE)),"",VLOOKUP(LARGE($D$15:$D$16,ROW($A1)),$D$15:$M$16,COLUMN(J$1),FALSE))</f>
        <v>Oportunidades</v>
      </c>
      <c r="O14" s="48"/>
      <c r="P14" s="32">
        <v>2.0</v>
      </c>
      <c r="Q14" s="32" t="s">
        <v>158</v>
      </c>
      <c r="R14" s="32" t="s">
        <v>159</v>
      </c>
      <c r="S14" s="32" t="s">
        <v>156</v>
      </c>
      <c r="T14" s="32" t="str">
        <f t="shared" si="2"/>
        <v/>
      </c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</row>
    <row r="15" ht="39.75" customHeight="1">
      <c r="A15" s="1"/>
      <c r="C15" s="132" t="s">
        <v>160</v>
      </c>
      <c r="D15" s="133">
        <f>IF(ISERROR('Gráficos'!D21/SUM('Gráficos'!$D$19:$F$22)),0,'Gráficos'!D21/SUM('Gráficos'!$D$19:$F$22))</f>
        <v>0</v>
      </c>
      <c r="E15" s="134" t="str">
        <f>IF(D15&gt;=D16,"Você tem mais oportunidades do que ameaças e isso indica um futuro promissor, só falta você alinhar quais forças vão otimizar as chances delas acontecerem de fato.",IF(D15&lt;D16,"Suas opotunidades estão mais baixas do que suas ameaças, vale a pena pensar em planos de ação para reduzir as ameaças.",""))</f>
        <v>Você tem mais oportunidades do que ameaças e isso indica um futuro promissor, só falta você alinhar quais forças vão otimizar as chances delas acontecerem de fato.</v>
      </c>
      <c r="F15" s="54"/>
      <c r="G15" s="54"/>
      <c r="H15" s="54"/>
      <c r="I15" s="54"/>
      <c r="J15" s="54"/>
      <c r="K15" s="59"/>
      <c r="L15" s="32"/>
      <c r="M15" s="32" t="str">
        <f t="shared" si="1"/>
        <v>Oportunidades</v>
      </c>
      <c r="N15" s="32"/>
      <c r="O15" s="48"/>
      <c r="P15" s="32">
        <v>3.0</v>
      </c>
      <c r="Q15" s="32" t="s">
        <v>161</v>
      </c>
      <c r="R15" s="32" t="s">
        <v>155</v>
      </c>
      <c r="S15" s="32" t="s">
        <v>162</v>
      </c>
      <c r="T15" s="32" t="str">
        <f t="shared" si="2"/>
        <v/>
      </c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</row>
    <row r="16" ht="39.75" customHeight="1">
      <c r="A16" s="1"/>
      <c r="C16" s="132" t="s">
        <v>163</v>
      </c>
      <c r="D16" s="133">
        <f>IF(ISERROR('Gráficos'!D22/SUM('Gráficos'!$D$19:$F$22)),0,'Gráficos'!D22/SUM('Gráficos'!$D$19:$F$22))</f>
        <v>0</v>
      </c>
      <c r="E16" s="134" t="str">
        <f>IF(D16&gt;=D15,"Suas ameaças estão maiores ou iguais as oportunidades e isso indica um futuro preocupante, você precisa pensar em planos de ação para diminuir os riscos delas acontecerem o quanto antes.",IF(D16&lt;D15,"Suas ameaças estão mais baixas do que suas oportunidades, esse é um bom sinal, mas ainda assim vale a pena analisar as suas ameaças mais relevantes e criar planos de ações para elas.",""))</f>
        <v>Suas ameaças estão maiores ou iguais as oportunidades e isso indica um futuro preocupante, você precisa pensar em planos de ação para diminuir os riscos delas acontecerem o quanto antes.</v>
      </c>
      <c r="F16" s="54"/>
      <c r="G16" s="54"/>
      <c r="H16" s="54"/>
      <c r="I16" s="54"/>
      <c r="J16" s="54"/>
      <c r="K16" s="59"/>
      <c r="L16" s="32"/>
      <c r="M16" s="32" t="str">
        <f t="shared" si="1"/>
        <v>Ameaças</v>
      </c>
      <c r="N16" s="32"/>
      <c r="O16" s="48"/>
      <c r="P16" s="32">
        <v>4.0</v>
      </c>
      <c r="Q16" s="32" t="s">
        <v>164</v>
      </c>
      <c r="R16" s="32" t="s">
        <v>159</v>
      </c>
      <c r="S16" s="32" t="s">
        <v>162</v>
      </c>
      <c r="T16" s="32" t="str">
        <f t="shared" si="2"/>
        <v>OK</v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</row>
    <row r="17" ht="30.0" customHeight="1">
      <c r="A17" s="1"/>
      <c r="C17" s="116" t="s">
        <v>151</v>
      </c>
      <c r="F17" s="58"/>
      <c r="G17" s="58"/>
      <c r="H17" s="135" t="s">
        <v>165</v>
      </c>
      <c r="I17" s="129"/>
      <c r="J17" s="136"/>
      <c r="K17" s="59"/>
      <c r="L17" s="118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</row>
    <row r="18" ht="6.75" customHeight="1">
      <c r="A18" s="1"/>
      <c r="L18" s="32"/>
      <c r="M18" s="32"/>
      <c r="N18" s="32"/>
      <c r="O18" s="32"/>
      <c r="P18" s="32"/>
      <c r="Q18" s="32"/>
      <c r="R18" s="32"/>
      <c r="S18" s="32"/>
      <c r="T18" s="32" t="s">
        <v>89</v>
      </c>
      <c r="U18" s="32" t="s">
        <v>90</v>
      </c>
      <c r="V18" s="32" t="s">
        <v>91</v>
      </c>
      <c r="W18" s="32" t="s">
        <v>92</v>
      </c>
      <c r="X18" s="32" t="s">
        <v>93</v>
      </c>
      <c r="Y18" s="32" t="s">
        <v>94</v>
      </c>
      <c r="Z18" s="32" t="s">
        <v>95</v>
      </c>
      <c r="AA18" s="32" t="s">
        <v>96</v>
      </c>
      <c r="AB18" s="32" t="s">
        <v>97</v>
      </c>
      <c r="AC18" s="32" t="s">
        <v>123</v>
      </c>
      <c r="AD18" s="32" t="s">
        <v>124</v>
      </c>
      <c r="AE18" s="32" t="s">
        <v>125</v>
      </c>
      <c r="AF18" s="32" t="s">
        <v>89</v>
      </c>
      <c r="AG18" s="32" t="s">
        <v>90</v>
      </c>
      <c r="AH18" s="32" t="s">
        <v>91</v>
      </c>
      <c r="AI18" s="32" t="s">
        <v>92</v>
      </c>
      <c r="AJ18" s="32" t="s">
        <v>93</v>
      </c>
      <c r="AK18" s="32" t="s">
        <v>94</v>
      </c>
      <c r="AL18" s="32" t="s">
        <v>95</v>
      </c>
      <c r="AM18" s="32" t="s">
        <v>96</v>
      </c>
      <c r="AN18" s="32" t="s">
        <v>97</v>
      </c>
      <c r="AO18" s="32" t="s">
        <v>123</v>
      </c>
      <c r="AP18" s="32" t="s">
        <v>124</v>
      </c>
      <c r="AQ18" s="32" t="s">
        <v>125</v>
      </c>
      <c r="AR18" s="32" t="s">
        <v>89</v>
      </c>
      <c r="AS18" s="32" t="s">
        <v>90</v>
      </c>
      <c r="AT18" s="32" t="s">
        <v>91</v>
      </c>
      <c r="AU18" s="32" t="s">
        <v>92</v>
      </c>
      <c r="AV18" s="32"/>
    </row>
    <row r="19" ht="45.0" customHeight="1">
      <c r="A19" s="33"/>
      <c r="C19" s="132" t="s">
        <v>153</v>
      </c>
      <c r="D19" s="137">
        <f>'Forças'!G26</f>
        <v>0</v>
      </c>
      <c r="E19" s="8"/>
      <c r="F19" s="8"/>
      <c r="L19" s="32"/>
      <c r="M19" s="32"/>
      <c r="N19" s="38"/>
      <c r="O19" s="38"/>
      <c r="P19" s="38"/>
      <c r="Q19" s="38"/>
      <c r="R19" s="38"/>
      <c r="S19" s="38"/>
      <c r="T19" s="38">
        <v>1.0</v>
      </c>
      <c r="U19" s="38">
        <v>1.0</v>
      </c>
      <c r="V19" s="38">
        <v>1.0</v>
      </c>
      <c r="W19" s="38">
        <v>1.0</v>
      </c>
      <c r="X19" s="38">
        <v>2.0</v>
      </c>
      <c r="Y19" s="38">
        <v>2.0</v>
      </c>
      <c r="Z19" s="38">
        <v>2.0</v>
      </c>
      <c r="AA19" s="38">
        <v>2.0</v>
      </c>
      <c r="AB19" s="38">
        <v>2.0</v>
      </c>
      <c r="AC19" s="38">
        <v>2.0</v>
      </c>
      <c r="AD19" s="38">
        <v>2.0</v>
      </c>
      <c r="AE19" s="38">
        <v>2.0</v>
      </c>
      <c r="AF19" s="38">
        <v>2.0</v>
      </c>
      <c r="AG19" s="38">
        <v>2.0</v>
      </c>
      <c r="AH19" s="38">
        <v>2.0</v>
      </c>
      <c r="AI19" s="38">
        <v>2.0</v>
      </c>
      <c r="AJ19" s="38">
        <v>3.0</v>
      </c>
      <c r="AK19" s="38">
        <v>3.0</v>
      </c>
      <c r="AL19" s="38">
        <v>3.0</v>
      </c>
      <c r="AM19" s="38">
        <v>3.0</v>
      </c>
      <c r="AN19" s="38">
        <v>3.0</v>
      </c>
      <c r="AO19" s="38">
        <v>3.0</v>
      </c>
      <c r="AP19" s="38">
        <v>3.0</v>
      </c>
      <c r="AQ19" s="38">
        <v>3.0</v>
      </c>
      <c r="AR19" s="38">
        <v>3.0</v>
      </c>
      <c r="AS19" s="38">
        <v>3.0</v>
      </c>
      <c r="AT19" s="38">
        <v>3.0</v>
      </c>
      <c r="AU19" s="38">
        <v>3.0</v>
      </c>
      <c r="AV19" s="38"/>
    </row>
    <row r="20" ht="45.0" customHeight="1">
      <c r="A20" s="1"/>
      <c r="C20" s="132" t="s">
        <v>157</v>
      </c>
      <c r="D20" s="137">
        <f>Fraquezas!G26</f>
        <v>0</v>
      </c>
      <c r="E20" s="8"/>
      <c r="F20" s="8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</row>
    <row r="21" ht="45.0" customHeight="1">
      <c r="A21" s="1"/>
      <c r="C21" s="132" t="s">
        <v>160</v>
      </c>
      <c r="D21" s="137">
        <f>Oportunidades!G26</f>
        <v>0</v>
      </c>
      <c r="E21" s="8"/>
      <c r="F21" s="8"/>
      <c r="L21" s="32"/>
      <c r="M21" s="32"/>
      <c r="N21" s="48"/>
      <c r="O21" s="32"/>
      <c r="P21" s="48"/>
      <c r="Q21" s="48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</row>
    <row r="22" ht="45.0" customHeight="1">
      <c r="A22" s="1"/>
      <c r="C22" s="132" t="s">
        <v>163</v>
      </c>
      <c r="D22" s="137">
        <f>'Ameaças'!G26</f>
        <v>0</v>
      </c>
      <c r="E22" s="8"/>
      <c r="F22" s="8"/>
      <c r="L22" s="32"/>
      <c r="M22" s="32"/>
      <c r="N22" s="48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</row>
    <row r="23" ht="11.25" customHeight="1">
      <c r="A23" s="1"/>
      <c r="L23" s="32"/>
      <c r="M23" s="32"/>
      <c r="N23" s="48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</row>
    <row r="24" ht="30.0" customHeight="1">
      <c r="A24" s="1"/>
      <c r="B24" s="31"/>
      <c r="C24" s="138" t="s">
        <v>166</v>
      </c>
      <c r="H24" s="138" t="s">
        <v>167</v>
      </c>
      <c r="L24" s="32"/>
      <c r="M24" s="32"/>
      <c r="N24" s="48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</row>
    <row r="25" ht="7.5" customHeight="1">
      <c r="A25" s="1"/>
      <c r="B25" s="31"/>
      <c r="I25" s="31"/>
      <c r="L25" s="32"/>
      <c r="M25" s="32"/>
      <c r="N25" s="48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</row>
    <row r="26" ht="33.0" customHeight="1">
      <c r="A26" s="1"/>
      <c r="B26" s="31"/>
      <c r="C26" s="139" t="str">
        <f>'Matriz SWOT'!C6</f>
        <v/>
      </c>
      <c r="D26" s="140"/>
      <c r="E26" s="141">
        <f>'Matriz SWOT'!D6</f>
        <v>0</v>
      </c>
      <c r="F26" s="140"/>
      <c r="H26" s="139" t="str">
        <f>'Matriz SWOT'!E6</f>
        <v/>
      </c>
      <c r="I26" s="140"/>
      <c r="J26" s="142">
        <f>'Matriz SWOT'!F6</f>
        <v>0</v>
      </c>
      <c r="K26" s="140"/>
      <c r="L26" s="32"/>
      <c r="M26" s="32"/>
      <c r="N26" s="32"/>
      <c r="O26" s="48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</row>
    <row r="27" ht="33.0" customHeight="1">
      <c r="A27" s="1"/>
      <c r="B27" s="31"/>
      <c r="C27" s="139" t="str">
        <f>'Matriz SWOT'!C7</f>
        <v/>
      </c>
      <c r="D27" s="140"/>
      <c r="E27" s="141">
        <f>'Matriz SWOT'!D7</f>
        <v>0</v>
      </c>
      <c r="F27" s="140"/>
      <c r="H27" s="139" t="str">
        <f>'Matriz SWOT'!E7</f>
        <v/>
      </c>
      <c r="I27" s="140"/>
      <c r="J27" s="142">
        <f>'Matriz SWOT'!F7</f>
        <v>0</v>
      </c>
      <c r="K27" s="140"/>
      <c r="L27" s="32"/>
      <c r="M27" s="32"/>
      <c r="N27" s="32"/>
      <c r="O27" s="48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</row>
    <row r="28" ht="33.0" customHeight="1">
      <c r="A28" s="1"/>
      <c r="B28" s="31"/>
      <c r="C28" s="139" t="str">
        <f>'Matriz SWOT'!C8</f>
        <v/>
      </c>
      <c r="D28" s="140"/>
      <c r="E28" s="141">
        <f>'Matriz SWOT'!D8</f>
        <v>0</v>
      </c>
      <c r="F28" s="140"/>
      <c r="H28" s="139" t="str">
        <f>'Matriz SWOT'!E8</f>
        <v/>
      </c>
      <c r="I28" s="140"/>
      <c r="J28" s="142">
        <f>'Matriz SWOT'!F8</f>
        <v>0</v>
      </c>
      <c r="K28" s="140"/>
      <c r="L28" s="32"/>
      <c r="M28" s="32"/>
      <c r="N28" s="32"/>
      <c r="O28" s="48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</row>
    <row r="29" ht="33.0" customHeight="1">
      <c r="A29" s="1"/>
      <c r="B29" s="31"/>
      <c r="C29" s="139" t="str">
        <f>'Matriz SWOT'!C9</f>
        <v/>
      </c>
      <c r="D29" s="140"/>
      <c r="E29" s="141">
        <f>'Matriz SWOT'!D9</f>
        <v>0</v>
      </c>
      <c r="F29" s="140"/>
      <c r="H29" s="139" t="str">
        <f>'Matriz SWOT'!E9</f>
        <v/>
      </c>
      <c r="I29" s="140"/>
      <c r="J29" s="142">
        <f>'Matriz SWOT'!F9</f>
        <v>0</v>
      </c>
      <c r="K29" s="140"/>
      <c r="L29" s="32"/>
      <c r="M29" s="32"/>
      <c r="N29" s="32"/>
      <c r="O29" s="48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</row>
    <row r="30" ht="33.0" customHeight="1">
      <c r="A30" s="1"/>
      <c r="B30" s="31"/>
      <c r="C30" s="139" t="str">
        <f>'Matriz SWOT'!C10</f>
        <v/>
      </c>
      <c r="D30" s="140"/>
      <c r="E30" s="143">
        <f>'Matriz SWOT'!D10</f>
        <v>0</v>
      </c>
      <c r="F30" s="140"/>
      <c r="H30" s="139" t="str">
        <f>'Matriz SWOT'!E10</f>
        <v/>
      </c>
      <c r="I30" s="140"/>
      <c r="J30" s="142">
        <f>'Matriz SWOT'!F10</f>
        <v>0</v>
      </c>
      <c r="K30" s="140"/>
      <c r="L30" s="32"/>
      <c r="M30" s="32"/>
      <c r="N30" s="32"/>
      <c r="O30" s="48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</row>
    <row r="31" ht="6.75" customHeight="1">
      <c r="A31" s="1"/>
      <c r="L31" s="32"/>
      <c r="M31" s="32"/>
      <c r="N31" s="32"/>
      <c r="O31" s="32"/>
      <c r="P31" s="32"/>
      <c r="Q31" s="32"/>
      <c r="R31" s="32"/>
      <c r="S31" s="32"/>
    </row>
    <row r="32" ht="30.0" customHeight="1">
      <c r="A32" s="1"/>
      <c r="C32" s="116" t="s">
        <v>168</v>
      </c>
      <c r="G32" s="58"/>
      <c r="H32" s="116" t="s">
        <v>169</v>
      </c>
      <c r="L32" s="32"/>
      <c r="M32" s="32"/>
      <c r="N32" s="32"/>
      <c r="O32" s="48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</row>
    <row r="33" ht="7.5" customHeight="1">
      <c r="A33" s="1"/>
      <c r="D33" s="58"/>
      <c r="E33" s="58"/>
      <c r="F33" s="58"/>
      <c r="G33" s="58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</row>
    <row r="34" ht="33.0" customHeight="1">
      <c r="A34" s="1"/>
      <c r="C34" s="139" t="str">
        <f>'Matriz SWOT'!C14</f>
        <v/>
      </c>
      <c r="D34" s="140"/>
      <c r="E34" s="141">
        <f>'Matriz SWOT'!D14</f>
        <v>0</v>
      </c>
      <c r="F34" s="140"/>
      <c r="H34" s="139" t="str">
        <f>'Matriz SWOT'!E14</f>
        <v/>
      </c>
      <c r="I34" s="140"/>
      <c r="J34" s="142">
        <f>'Matriz SWOT'!F14</f>
        <v>0</v>
      </c>
      <c r="K34" s="140"/>
      <c r="L34" s="32"/>
      <c r="M34" s="32"/>
      <c r="N34" s="32"/>
      <c r="O34" s="48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</row>
    <row r="35" ht="33.0" customHeight="1">
      <c r="A35" s="1"/>
      <c r="C35" s="139" t="str">
        <f>'Matriz SWOT'!C15</f>
        <v/>
      </c>
      <c r="D35" s="140"/>
      <c r="E35" s="141">
        <f>'Matriz SWOT'!D15</f>
        <v>0</v>
      </c>
      <c r="F35" s="140"/>
      <c r="G35" s="58"/>
      <c r="H35" s="139" t="str">
        <f>'Matriz SWOT'!E15</f>
        <v/>
      </c>
      <c r="I35" s="140"/>
      <c r="J35" s="142">
        <f>'Matriz SWOT'!F15</f>
        <v>0</v>
      </c>
      <c r="K35" s="140"/>
      <c r="L35" s="32"/>
      <c r="M35" s="32"/>
      <c r="N35" s="32"/>
      <c r="O35" s="48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</row>
    <row r="36" ht="33.0" customHeight="1">
      <c r="A36" s="1"/>
      <c r="C36" s="139" t="str">
        <f>'Matriz SWOT'!C16</f>
        <v/>
      </c>
      <c r="D36" s="140"/>
      <c r="E36" s="141">
        <f>'Matriz SWOT'!D16</f>
        <v>0</v>
      </c>
      <c r="F36" s="140"/>
      <c r="H36" s="144" t="str">
        <f>'Matriz SWOT'!E16</f>
        <v/>
      </c>
      <c r="I36" s="140"/>
      <c r="J36" s="145">
        <f>'Matriz SWOT'!F16</f>
        <v>0</v>
      </c>
      <c r="K36" s="140"/>
      <c r="L36" s="32"/>
      <c r="M36" s="32"/>
      <c r="N36" s="32"/>
      <c r="O36" s="48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</row>
    <row r="37" ht="33.0" customHeight="1">
      <c r="A37" s="1"/>
      <c r="C37" s="139" t="str">
        <f>'Matriz SWOT'!C17</f>
        <v/>
      </c>
      <c r="D37" s="140"/>
      <c r="E37" s="141">
        <f>'Matriz SWOT'!D17</f>
        <v>0</v>
      </c>
      <c r="F37" s="140"/>
      <c r="H37" s="144" t="str">
        <f>'Matriz SWOT'!E17</f>
        <v/>
      </c>
      <c r="I37" s="140"/>
      <c r="J37" s="145">
        <f>'Matriz SWOT'!F17</f>
        <v>0</v>
      </c>
      <c r="K37" s="140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</row>
    <row r="38" ht="33.0" customHeight="1">
      <c r="A38" s="1"/>
      <c r="C38" s="139" t="str">
        <f>'Matriz SWOT'!C18</f>
        <v/>
      </c>
      <c r="D38" s="140"/>
      <c r="E38" s="141">
        <f>'Matriz SWOT'!D18</f>
        <v>0</v>
      </c>
      <c r="F38" s="140"/>
      <c r="H38" s="144" t="str">
        <f>'Matriz SWOT'!E18</f>
        <v/>
      </c>
      <c r="I38" s="140"/>
      <c r="J38" s="145">
        <f>'Matriz SWOT'!F18</f>
        <v>0</v>
      </c>
      <c r="K38" s="140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</row>
    <row r="39" ht="14.25" customHeight="1">
      <c r="A39" s="1"/>
      <c r="D39" s="58"/>
      <c r="E39" s="58"/>
      <c r="F39" s="58"/>
      <c r="G39" s="58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</row>
    <row r="40" ht="14.25" customHeight="1">
      <c r="A40" s="1"/>
      <c r="D40" s="58"/>
      <c r="E40" s="58"/>
      <c r="F40" s="58"/>
      <c r="G40" s="58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</row>
    <row r="41" ht="14.25" customHeight="1">
      <c r="A41" s="1"/>
      <c r="D41" s="58"/>
      <c r="E41" s="58"/>
      <c r="F41" s="58"/>
      <c r="G41" s="58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</row>
    <row r="42" ht="14.25" customHeight="1">
      <c r="A42" s="1"/>
      <c r="D42" s="58"/>
      <c r="E42" s="58"/>
      <c r="F42" s="58"/>
      <c r="G42" s="58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</row>
    <row r="43" ht="30.0" hidden="1" customHeight="1">
      <c r="A43" s="1"/>
      <c r="D43" s="58"/>
      <c r="E43" s="58"/>
      <c r="F43" s="58"/>
      <c r="G43" s="58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</row>
    <row r="44" ht="14.25" customHeight="1">
      <c r="A44" s="1"/>
      <c r="D44" s="58"/>
      <c r="E44" s="58"/>
      <c r="F44" s="58"/>
      <c r="G44" s="58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</row>
    <row r="45" ht="14.25" customHeight="1">
      <c r="A45" s="1"/>
      <c r="D45" s="58"/>
      <c r="E45" s="58"/>
      <c r="F45" s="58"/>
      <c r="G45" s="58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</row>
    <row r="46" ht="14.25" customHeight="1">
      <c r="A46" s="1"/>
      <c r="D46" s="58"/>
      <c r="E46" s="58"/>
      <c r="F46" s="58"/>
      <c r="G46" s="58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</row>
    <row r="47" ht="14.25" customHeight="1">
      <c r="A47" s="1"/>
      <c r="D47" s="58"/>
      <c r="E47" s="58"/>
      <c r="F47" s="58"/>
      <c r="G47" s="58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</row>
    <row r="48" ht="14.25" customHeight="1">
      <c r="A48" s="1"/>
      <c r="D48" s="58"/>
      <c r="E48" s="58"/>
      <c r="F48" s="58"/>
      <c r="G48" s="58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</row>
    <row r="49" ht="14.25" customHeight="1">
      <c r="A49" s="1"/>
      <c r="D49" s="58"/>
      <c r="E49" s="58"/>
      <c r="F49" s="58"/>
      <c r="G49" s="58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</row>
    <row r="50" ht="14.25" customHeight="1">
      <c r="A50" s="1"/>
      <c r="D50" s="58"/>
      <c r="E50" s="58"/>
      <c r="F50" s="58"/>
      <c r="G50" s="58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</row>
    <row r="51" ht="14.25" customHeight="1">
      <c r="A51" s="1"/>
      <c r="D51" s="58"/>
      <c r="E51" s="58"/>
      <c r="F51" s="58"/>
      <c r="G51" s="58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</row>
    <row r="52" ht="14.25" customHeight="1">
      <c r="A52" s="1"/>
      <c r="D52" s="58"/>
      <c r="E52" s="58"/>
      <c r="F52" s="58"/>
      <c r="G52" s="5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</row>
    <row r="53" ht="14.25" customHeight="1">
      <c r="A53" s="1"/>
      <c r="D53" s="58"/>
      <c r="E53" s="58"/>
      <c r="F53" s="58"/>
      <c r="G53" s="58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</row>
    <row r="54" ht="14.25" customHeight="1">
      <c r="A54" s="1"/>
      <c r="D54" s="58"/>
      <c r="E54" s="58"/>
      <c r="F54" s="58"/>
      <c r="G54" s="58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</row>
    <row r="55" ht="14.25" customHeight="1">
      <c r="A55" s="1"/>
      <c r="D55" s="58"/>
      <c r="E55" s="58"/>
      <c r="F55" s="58"/>
      <c r="G55" s="58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</row>
    <row r="56" ht="14.25" customHeight="1">
      <c r="A56" s="1"/>
      <c r="D56" s="58"/>
      <c r="E56" s="58"/>
      <c r="F56" s="58"/>
      <c r="G56" s="58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</row>
    <row r="57" ht="14.25" customHeight="1">
      <c r="A57" s="1"/>
      <c r="D57" s="58"/>
      <c r="E57" s="58"/>
      <c r="F57" s="58"/>
      <c r="G57" s="58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</row>
    <row r="58" ht="14.25" customHeight="1">
      <c r="A58" s="1"/>
      <c r="D58" s="58"/>
      <c r="E58" s="58"/>
      <c r="F58" s="58"/>
      <c r="G58" s="58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</row>
    <row r="59" ht="14.25" customHeight="1">
      <c r="A59" s="1"/>
      <c r="D59" s="58"/>
      <c r="E59" s="58"/>
      <c r="F59" s="58"/>
      <c r="G59" s="58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</row>
    <row r="60" ht="14.25" customHeight="1">
      <c r="A60" s="1"/>
      <c r="D60" s="58"/>
      <c r="E60" s="58"/>
      <c r="F60" s="58"/>
      <c r="G60" s="58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</row>
    <row r="61" ht="14.25" customHeight="1">
      <c r="A61" s="1"/>
      <c r="D61" s="58"/>
      <c r="E61" s="58"/>
      <c r="F61" s="58"/>
      <c r="G61" s="58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</row>
    <row r="62" ht="14.25" customHeight="1">
      <c r="A62" s="1"/>
      <c r="D62" s="58"/>
      <c r="E62" s="58"/>
      <c r="F62" s="58"/>
      <c r="G62" s="58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</row>
    <row r="63" ht="14.25" customHeight="1">
      <c r="A63" s="1"/>
      <c r="D63" s="58"/>
      <c r="E63" s="58"/>
      <c r="F63" s="58"/>
      <c r="G63" s="58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</row>
    <row r="64" ht="14.25" customHeight="1">
      <c r="A64" s="1"/>
      <c r="D64" s="58"/>
      <c r="E64" s="58"/>
      <c r="F64" s="58"/>
      <c r="G64" s="58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</row>
    <row r="65" ht="14.25" customHeight="1">
      <c r="A65" s="1"/>
      <c r="D65" s="58"/>
      <c r="E65" s="58"/>
      <c r="F65" s="58"/>
      <c r="G65" s="58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</row>
    <row r="66" ht="14.25" customHeight="1">
      <c r="A66" s="1"/>
      <c r="D66" s="58"/>
      <c r="E66" s="58"/>
      <c r="F66" s="58"/>
      <c r="G66" s="58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</row>
    <row r="67" ht="14.25" customHeight="1">
      <c r="A67" s="1"/>
      <c r="D67" s="58"/>
      <c r="E67" s="58"/>
      <c r="F67" s="58"/>
      <c r="G67" s="58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</row>
    <row r="68" ht="14.25" customHeight="1">
      <c r="A68" s="1"/>
      <c r="D68" s="58"/>
      <c r="E68" s="58"/>
      <c r="F68" s="58"/>
      <c r="G68" s="58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</row>
    <row r="69" ht="14.25" customHeight="1">
      <c r="A69" s="1"/>
      <c r="D69" s="58"/>
      <c r="E69" s="58"/>
      <c r="F69" s="58"/>
      <c r="G69" s="58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</row>
    <row r="70" ht="14.25" customHeight="1">
      <c r="A70" s="1"/>
      <c r="D70" s="58"/>
      <c r="E70" s="58"/>
      <c r="F70" s="58"/>
      <c r="G70" s="58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</row>
    <row r="71" ht="14.25" customHeight="1">
      <c r="A71" s="1"/>
      <c r="D71" s="58"/>
      <c r="E71" s="58"/>
      <c r="F71" s="58"/>
      <c r="G71" s="58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</row>
    <row r="72" ht="14.25" customHeight="1">
      <c r="A72" s="1"/>
      <c r="D72" s="58"/>
      <c r="E72" s="58"/>
      <c r="F72" s="58"/>
      <c r="G72" s="58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</row>
    <row r="73" ht="14.25" customHeight="1">
      <c r="A73" s="1"/>
      <c r="D73" s="58"/>
      <c r="E73" s="58"/>
      <c r="F73" s="58"/>
      <c r="G73" s="58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</row>
    <row r="74" ht="14.25" customHeight="1">
      <c r="A74" s="1"/>
      <c r="D74" s="58"/>
      <c r="E74" s="58"/>
      <c r="F74" s="58"/>
      <c r="G74" s="58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</row>
    <row r="75" ht="14.25" customHeight="1">
      <c r="A75" s="1"/>
      <c r="D75" s="58"/>
      <c r="E75" s="58"/>
      <c r="F75" s="58"/>
      <c r="G75" s="58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</row>
    <row r="76" ht="14.25" customHeight="1">
      <c r="A76" s="1"/>
      <c r="D76" s="58"/>
      <c r="E76" s="58"/>
      <c r="F76" s="58"/>
      <c r="G76" s="58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</row>
    <row r="77" ht="14.25" customHeight="1">
      <c r="A77" s="1"/>
      <c r="D77" s="58"/>
      <c r="E77" s="58"/>
      <c r="F77" s="58"/>
      <c r="G77" s="58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</row>
    <row r="78" ht="14.25" customHeight="1">
      <c r="A78" s="1"/>
      <c r="D78" s="58"/>
      <c r="E78" s="58"/>
      <c r="F78" s="58"/>
      <c r="G78" s="58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</row>
    <row r="79" ht="14.25" customHeight="1">
      <c r="A79" s="1"/>
      <c r="D79" s="58"/>
      <c r="E79" s="58"/>
      <c r="F79" s="58"/>
      <c r="G79" s="58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</row>
    <row r="80" ht="14.25" customHeight="1">
      <c r="A80" s="1"/>
      <c r="D80" s="58"/>
      <c r="E80" s="58"/>
      <c r="F80" s="58"/>
      <c r="G80" s="58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</row>
    <row r="81" ht="14.25" customHeight="1">
      <c r="A81" s="1"/>
      <c r="D81" s="58"/>
      <c r="E81" s="58"/>
      <c r="F81" s="58"/>
      <c r="G81" s="58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</row>
    <row r="82" ht="14.25" customHeight="1">
      <c r="A82" s="1"/>
      <c r="D82" s="58"/>
      <c r="E82" s="58"/>
      <c r="F82" s="58"/>
      <c r="G82" s="58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</row>
    <row r="83" ht="14.25" customHeight="1">
      <c r="A83" s="1"/>
      <c r="D83" s="58"/>
      <c r="E83" s="58"/>
      <c r="F83" s="58"/>
      <c r="G83" s="58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</row>
    <row r="84" ht="14.25" customHeight="1">
      <c r="A84" s="1"/>
      <c r="D84" s="58"/>
      <c r="E84" s="58"/>
      <c r="F84" s="58"/>
      <c r="G84" s="58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</row>
    <row r="85" ht="14.25" customHeight="1">
      <c r="A85" s="1"/>
      <c r="D85" s="58"/>
      <c r="E85" s="58"/>
      <c r="F85" s="58"/>
      <c r="G85" s="58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</row>
    <row r="86" ht="14.25" customHeight="1">
      <c r="A86" s="1"/>
      <c r="D86" s="58"/>
      <c r="E86" s="58"/>
      <c r="F86" s="58"/>
      <c r="G86" s="58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</row>
    <row r="87" ht="14.25" customHeight="1">
      <c r="A87" s="1"/>
      <c r="D87" s="58"/>
      <c r="E87" s="58"/>
      <c r="F87" s="58"/>
      <c r="G87" s="58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</row>
    <row r="88" ht="14.25" customHeight="1">
      <c r="A88" s="1"/>
      <c r="D88" s="58"/>
      <c r="E88" s="58"/>
      <c r="F88" s="58"/>
      <c r="G88" s="58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</row>
    <row r="89" ht="14.25" customHeight="1">
      <c r="A89" s="1"/>
      <c r="D89" s="58"/>
      <c r="E89" s="58"/>
      <c r="F89" s="58"/>
      <c r="G89" s="58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</row>
    <row r="90" ht="14.25" customHeight="1">
      <c r="A90" s="1"/>
      <c r="D90" s="58"/>
      <c r="E90" s="58"/>
      <c r="F90" s="58"/>
      <c r="G90" s="58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</row>
    <row r="91" ht="14.25" customHeight="1">
      <c r="A91" s="1"/>
      <c r="D91" s="58"/>
      <c r="E91" s="58"/>
      <c r="F91" s="58"/>
      <c r="G91" s="58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</row>
    <row r="92" ht="14.25" customHeight="1">
      <c r="A92" s="1"/>
      <c r="D92" s="58"/>
      <c r="E92" s="58"/>
      <c r="F92" s="58"/>
      <c r="G92" s="58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</row>
    <row r="93" ht="14.25" customHeight="1">
      <c r="A93" s="1"/>
      <c r="D93" s="58"/>
      <c r="E93" s="58"/>
      <c r="F93" s="58"/>
      <c r="G93" s="58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</row>
    <row r="94" ht="14.25" customHeight="1">
      <c r="A94" s="1"/>
      <c r="D94" s="58"/>
      <c r="E94" s="58"/>
      <c r="F94" s="58"/>
      <c r="G94" s="58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</row>
    <row r="95" ht="14.25" customHeight="1">
      <c r="A95" s="1"/>
      <c r="D95" s="58"/>
      <c r="E95" s="58"/>
      <c r="F95" s="58"/>
      <c r="G95" s="58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</row>
    <row r="96" ht="14.25" customHeight="1">
      <c r="A96" s="1"/>
      <c r="D96" s="58"/>
      <c r="E96" s="58"/>
      <c r="F96" s="58"/>
      <c r="G96" s="58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</row>
    <row r="97" ht="14.25" customHeight="1">
      <c r="A97" s="1"/>
      <c r="D97" s="58"/>
      <c r="E97" s="58"/>
      <c r="F97" s="58"/>
      <c r="G97" s="58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</row>
    <row r="98" ht="14.25" customHeight="1">
      <c r="A98" s="1"/>
      <c r="D98" s="58"/>
      <c r="E98" s="58"/>
      <c r="F98" s="58"/>
      <c r="G98" s="58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</row>
    <row r="99" ht="14.25" customHeight="1">
      <c r="A99" s="1"/>
      <c r="D99" s="58"/>
      <c r="E99" s="58"/>
      <c r="F99" s="58"/>
      <c r="G99" s="58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</row>
    <row r="100" ht="14.25" customHeight="1">
      <c r="A100" s="1"/>
      <c r="D100" s="58"/>
      <c r="E100" s="58"/>
      <c r="F100" s="58"/>
      <c r="G100" s="58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</row>
    <row r="101" ht="37.5" hidden="1" customHeight="1">
      <c r="A101" s="1"/>
      <c r="D101" s="58"/>
      <c r="E101" s="58"/>
      <c r="F101" s="58"/>
      <c r="G101" s="58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</row>
    <row r="102" ht="37.5" hidden="1" customHeight="1">
      <c r="A102" s="1"/>
      <c r="D102" s="58"/>
      <c r="E102" s="58"/>
      <c r="F102" s="58"/>
      <c r="G102" s="58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</row>
    <row r="103" ht="37.5" hidden="1" customHeight="1">
      <c r="A103" s="1"/>
      <c r="D103" s="58"/>
      <c r="E103" s="58"/>
      <c r="F103" s="58"/>
      <c r="G103" s="58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</row>
    <row r="104" ht="37.5" hidden="1" customHeight="1">
      <c r="A104" s="1"/>
      <c r="D104" s="58"/>
      <c r="E104" s="58"/>
      <c r="F104" s="58"/>
      <c r="G104" s="58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</row>
    <row r="105" ht="37.5" hidden="1" customHeight="1">
      <c r="A105" s="1"/>
      <c r="D105" s="58"/>
      <c r="E105" s="58"/>
      <c r="F105" s="58"/>
      <c r="G105" s="58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</row>
    <row r="106" ht="37.5" hidden="1" customHeight="1">
      <c r="A106" s="1"/>
      <c r="D106" s="58"/>
      <c r="E106" s="58"/>
      <c r="F106" s="58"/>
      <c r="G106" s="58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</row>
    <row r="107" ht="37.5" hidden="1" customHeight="1">
      <c r="A107" s="1"/>
      <c r="D107" s="58"/>
      <c r="E107" s="58"/>
      <c r="F107" s="58"/>
      <c r="G107" s="58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</row>
    <row r="108" ht="37.5" hidden="1" customHeight="1">
      <c r="A108" s="1"/>
      <c r="D108" s="58"/>
      <c r="E108" s="58"/>
      <c r="F108" s="58"/>
      <c r="G108" s="58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</row>
    <row r="109" ht="37.5" hidden="1" customHeight="1">
      <c r="A109" s="1"/>
      <c r="D109" s="58"/>
      <c r="E109" s="58"/>
      <c r="F109" s="58"/>
      <c r="G109" s="58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</row>
    <row r="110" ht="37.5" hidden="1" customHeight="1">
      <c r="A110" s="1"/>
      <c r="D110" s="58"/>
      <c r="E110" s="58"/>
      <c r="F110" s="58"/>
      <c r="G110" s="58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</row>
    <row r="111" ht="37.5" hidden="1" customHeight="1">
      <c r="A111" s="1"/>
      <c r="D111" s="58"/>
      <c r="E111" s="58"/>
      <c r="F111" s="58"/>
      <c r="G111" s="58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</row>
    <row r="112" ht="37.5" hidden="1" customHeight="1">
      <c r="A112" s="1"/>
      <c r="D112" s="58"/>
      <c r="E112" s="58"/>
      <c r="F112" s="58"/>
      <c r="G112" s="58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</row>
    <row r="113" ht="37.5" hidden="1" customHeight="1">
      <c r="A113" s="1"/>
      <c r="D113" s="58"/>
      <c r="E113" s="58"/>
      <c r="F113" s="58"/>
      <c r="G113" s="58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</row>
    <row r="114" ht="37.5" hidden="1" customHeight="1">
      <c r="A114" s="1"/>
      <c r="D114" s="58"/>
      <c r="E114" s="58"/>
      <c r="F114" s="58"/>
      <c r="G114" s="58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</row>
    <row r="115" ht="37.5" hidden="1" customHeight="1">
      <c r="A115" s="1"/>
      <c r="D115" s="58"/>
      <c r="E115" s="58"/>
      <c r="F115" s="58"/>
      <c r="G115" s="58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</row>
    <row r="116" ht="37.5" hidden="1" customHeight="1">
      <c r="A116" s="1"/>
      <c r="D116" s="58"/>
      <c r="E116" s="58"/>
      <c r="F116" s="58"/>
      <c r="G116" s="58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</row>
    <row r="117" ht="14.25" customHeight="1">
      <c r="A117" s="1"/>
      <c r="D117" s="58"/>
      <c r="E117" s="58"/>
      <c r="F117" s="58"/>
      <c r="G117" s="58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</row>
    <row r="118" ht="14.25" customHeight="1">
      <c r="A118" s="1"/>
      <c r="D118" s="58"/>
      <c r="E118" s="58"/>
      <c r="F118" s="58"/>
      <c r="G118" s="58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</row>
    <row r="119" ht="14.25" customHeight="1">
      <c r="A119" s="1"/>
      <c r="D119" s="58"/>
      <c r="E119" s="58"/>
      <c r="F119" s="58"/>
      <c r="G119" s="58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</row>
    <row r="120" ht="14.25" customHeight="1">
      <c r="A120" s="1"/>
      <c r="D120" s="58"/>
      <c r="E120" s="58"/>
      <c r="F120" s="58"/>
      <c r="G120" s="58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</row>
    <row r="121" ht="14.25" customHeight="1">
      <c r="A121" s="1"/>
      <c r="D121" s="58"/>
      <c r="E121" s="58"/>
      <c r="F121" s="58"/>
      <c r="G121" s="58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</row>
    <row r="122" ht="14.25" customHeight="1">
      <c r="A122" s="1"/>
      <c r="D122" s="58"/>
      <c r="E122" s="58"/>
      <c r="F122" s="58"/>
      <c r="G122" s="58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</row>
    <row r="123" ht="14.25" customHeight="1">
      <c r="A123" s="1"/>
      <c r="D123" s="58"/>
      <c r="E123" s="58"/>
      <c r="F123" s="58"/>
      <c r="G123" s="58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</row>
    <row r="124" ht="14.25" customHeight="1">
      <c r="A124" s="1"/>
      <c r="D124" s="58"/>
      <c r="E124" s="58"/>
      <c r="F124" s="58"/>
      <c r="G124" s="58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</row>
    <row r="125" ht="14.25" customHeight="1">
      <c r="A125" s="1"/>
      <c r="D125" s="58"/>
      <c r="E125" s="58"/>
      <c r="F125" s="58"/>
      <c r="G125" s="58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</row>
    <row r="126" ht="14.25" customHeight="1">
      <c r="A126" s="1"/>
      <c r="D126" s="58"/>
      <c r="E126" s="58"/>
      <c r="F126" s="58"/>
      <c r="G126" s="58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</row>
    <row r="127" ht="14.25" customHeight="1">
      <c r="A127" s="1"/>
      <c r="D127" s="58"/>
      <c r="E127" s="58"/>
      <c r="F127" s="58"/>
      <c r="G127" s="58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</row>
    <row r="128" ht="14.25" customHeight="1">
      <c r="A128" s="1"/>
      <c r="D128" s="58"/>
      <c r="E128" s="58"/>
      <c r="F128" s="58"/>
      <c r="G128" s="58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</row>
    <row r="129" ht="14.25" customHeight="1">
      <c r="A129" s="1"/>
      <c r="D129" s="58"/>
      <c r="E129" s="58"/>
      <c r="F129" s="58"/>
      <c r="G129" s="58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</row>
    <row r="130" ht="14.25" customHeight="1">
      <c r="A130" s="1"/>
      <c r="D130" s="58"/>
      <c r="E130" s="58"/>
      <c r="F130" s="58"/>
      <c r="G130" s="58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</row>
    <row r="131" ht="14.25" customHeight="1">
      <c r="A131" s="1"/>
      <c r="D131" s="58"/>
      <c r="E131" s="58"/>
      <c r="F131" s="58"/>
      <c r="G131" s="58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</row>
    <row r="132" ht="14.25" customHeight="1">
      <c r="A132" s="1"/>
      <c r="D132" s="58"/>
      <c r="E132" s="58"/>
      <c r="F132" s="58"/>
      <c r="G132" s="58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</row>
    <row r="133" ht="14.25" customHeight="1">
      <c r="A133" s="1"/>
      <c r="D133" s="58"/>
      <c r="E133" s="58"/>
      <c r="F133" s="58"/>
      <c r="G133" s="58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</row>
    <row r="134" ht="14.25" customHeight="1">
      <c r="A134" s="1"/>
      <c r="D134" s="58"/>
      <c r="E134" s="58"/>
      <c r="F134" s="58"/>
      <c r="G134" s="58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</row>
    <row r="135" ht="14.25" customHeight="1">
      <c r="A135" s="1"/>
      <c r="D135" s="58"/>
      <c r="E135" s="58"/>
      <c r="F135" s="58"/>
      <c r="G135" s="58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</row>
    <row r="136" ht="14.25" customHeight="1">
      <c r="A136" s="1"/>
      <c r="D136" s="58"/>
      <c r="E136" s="58"/>
      <c r="F136" s="58"/>
      <c r="G136" s="58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</row>
    <row r="137" ht="14.25" customHeight="1">
      <c r="A137" s="1"/>
      <c r="D137" s="58"/>
      <c r="E137" s="58"/>
      <c r="F137" s="58"/>
      <c r="G137" s="58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</row>
    <row r="138" ht="14.25" customHeight="1">
      <c r="A138" s="1"/>
      <c r="D138" s="58"/>
      <c r="E138" s="58"/>
      <c r="F138" s="58"/>
      <c r="G138" s="58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</row>
    <row r="139" ht="14.25" customHeight="1">
      <c r="A139" s="1"/>
      <c r="D139" s="58"/>
      <c r="E139" s="58"/>
      <c r="F139" s="58"/>
      <c r="G139" s="58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</row>
    <row r="140" ht="14.25" customHeight="1">
      <c r="A140" s="1"/>
      <c r="D140" s="58"/>
      <c r="E140" s="58"/>
      <c r="F140" s="58"/>
      <c r="G140" s="58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</row>
    <row r="141" ht="14.25" customHeight="1">
      <c r="A141" s="1"/>
      <c r="D141" s="58"/>
      <c r="E141" s="58"/>
      <c r="F141" s="58"/>
      <c r="G141" s="58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</row>
    <row r="142" ht="14.25" customHeight="1">
      <c r="A142" s="1"/>
      <c r="D142" s="58"/>
      <c r="E142" s="58"/>
      <c r="F142" s="58"/>
      <c r="G142" s="58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</row>
    <row r="143" ht="14.25" customHeight="1">
      <c r="A143" s="1"/>
      <c r="D143" s="58"/>
      <c r="E143" s="58"/>
      <c r="F143" s="58"/>
      <c r="G143" s="58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</row>
    <row r="144" ht="14.25" customHeight="1">
      <c r="A144" s="1"/>
      <c r="D144" s="58"/>
      <c r="E144" s="58"/>
      <c r="F144" s="58"/>
      <c r="G144" s="58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</row>
    <row r="145" ht="14.25" customHeight="1">
      <c r="A145" s="1"/>
      <c r="D145" s="58"/>
      <c r="E145" s="58"/>
      <c r="F145" s="58"/>
      <c r="G145" s="58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</row>
    <row r="146" ht="14.25" customHeight="1">
      <c r="A146" s="1"/>
      <c r="D146" s="58"/>
      <c r="E146" s="58"/>
      <c r="F146" s="58"/>
      <c r="G146" s="58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</row>
    <row r="147" ht="14.25" customHeight="1">
      <c r="A147" s="1"/>
      <c r="D147" s="58"/>
      <c r="E147" s="58"/>
      <c r="F147" s="58"/>
      <c r="G147" s="58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</row>
    <row r="148" ht="14.25" customHeight="1">
      <c r="A148" s="1"/>
      <c r="D148" s="58"/>
      <c r="E148" s="58"/>
      <c r="F148" s="58"/>
      <c r="G148" s="58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</row>
    <row r="149" ht="14.25" customHeight="1">
      <c r="A149" s="1"/>
      <c r="D149" s="58"/>
      <c r="E149" s="58"/>
      <c r="F149" s="58"/>
      <c r="G149" s="58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</row>
    <row r="150" ht="14.25" customHeight="1">
      <c r="A150" s="1"/>
      <c r="D150" s="58"/>
      <c r="E150" s="58"/>
      <c r="F150" s="58"/>
      <c r="G150" s="58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</row>
    <row r="151" ht="14.25" customHeight="1">
      <c r="A151" s="1"/>
      <c r="D151" s="58"/>
      <c r="E151" s="58"/>
      <c r="F151" s="58"/>
      <c r="G151" s="58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</row>
    <row r="152" ht="14.25" customHeight="1">
      <c r="A152" s="1"/>
      <c r="D152" s="58"/>
      <c r="E152" s="58"/>
      <c r="F152" s="58"/>
      <c r="G152" s="58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</row>
    <row r="153" ht="14.25" customHeight="1">
      <c r="A153" s="1"/>
      <c r="D153" s="58"/>
      <c r="E153" s="58"/>
      <c r="F153" s="58"/>
      <c r="G153" s="58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</row>
    <row r="154" ht="14.25" customHeight="1">
      <c r="A154" s="1"/>
      <c r="D154" s="58"/>
      <c r="E154" s="58"/>
      <c r="F154" s="58"/>
      <c r="G154" s="58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</row>
    <row r="155" ht="14.25" customHeight="1">
      <c r="A155" s="1"/>
      <c r="D155" s="58"/>
      <c r="E155" s="58"/>
      <c r="F155" s="58"/>
      <c r="G155" s="58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</row>
    <row r="156" ht="14.25" customHeight="1">
      <c r="A156" s="1"/>
      <c r="D156" s="58"/>
      <c r="E156" s="58"/>
      <c r="F156" s="58"/>
      <c r="G156" s="58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</row>
    <row r="157" ht="14.25" customHeight="1">
      <c r="A157" s="1"/>
      <c r="D157" s="58"/>
      <c r="E157" s="58"/>
      <c r="F157" s="58"/>
      <c r="G157" s="58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</row>
    <row r="158" ht="14.25" customHeight="1">
      <c r="A158" s="1"/>
      <c r="D158" s="58"/>
      <c r="E158" s="58"/>
      <c r="F158" s="58"/>
      <c r="G158" s="58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</row>
    <row r="159" ht="14.25" customHeight="1">
      <c r="A159" s="1"/>
      <c r="D159" s="58"/>
      <c r="E159" s="58"/>
      <c r="F159" s="58"/>
      <c r="G159" s="58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</row>
    <row r="160" ht="14.25" customHeight="1">
      <c r="A160" s="1"/>
      <c r="D160" s="58"/>
      <c r="E160" s="58"/>
      <c r="F160" s="58"/>
      <c r="G160" s="58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</row>
    <row r="161" ht="14.25" customHeight="1">
      <c r="A161" s="1"/>
      <c r="D161" s="58"/>
      <c r="E161" s="58"/>
      <c r="F161" s="58"/>
      <c r="G161" s="58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</row>
    <row r="162" ht="14.25" customHeight="1">
      <c r="A162" s="1"/>
      <c r="D162" s="58"/>
      <c r="E162" s="58"/>
      <c r="F162" s="58"/>
      <c r="G162" s="58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</row>
    <row r="163" ht="14.25" customHeight="1">
      <c r="A163" s="1"/>
      <c r="D163" s="58"/>
      <c r="E163" s="58"/>
      <c r="F163" s="58"/>
      <c r="G163" s="58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</row>
    <row r="164" ht="14.25" customHeight="1">
      <c r="A164" s="1"/>
      <c r="D164" s="58"/>
      <c r="E164" s="58"/>
      <c r="F164" s="58"/>
      <c r="G164" s="58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</row>
    <row r="165" ht="14.25" customHeight="1">
      <c r="A165" s="1"/>
      <c r="D165" s="58"/>
      <c r="E165" s="58"/>
      <c r="F165" s="58"/>
      <c r="G165" s="58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</row>
    <row r="166" ht="14.25" customHeight="1">
      <c r="A166" s="1"/>
      <c r="D166" s="58"/>
      <c r="E166" s="58"/>
      <c r="F166" s="58"/>
      <c r="G166" s="58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</row>
    <row r="167" ht="14.25" customHeight="1">
      <c r="A167" s="1"/>
      <c r="D167" s="58"/>
      <c r="E167" s="58"/>
      <c r="F167" s="58"/>
      <c r="G167" s="58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ht="14.25" customHeight="1">
      <c r="A168" s="1"/>
      <c r="D168" s="58"/>
      <c r="E168" s="58"/>
      <c r="F168" s="58"/>
      <c r="G168" s="58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ht="14.25" customHeight="1">
      <c r="A169" s="1"/>
      <c r="D169" s="58"/>
      <c r="E169" s="58"/>
      <c r="F169" s="58"/>
      <c r="G169" s="58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ht="14.25" customHeight="1">
      <c r="A170" s="1"/>
      <c r="D170" s="58"/>
      <c r="E170" s="58"/>
      <c r="F170" s="58"/>
      <c r="G170" s="58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ht="14.25" customHeight="1">
      <c r="A171" s="1"/>
      <c r="D171" s="58"/>
      <c r="E171" s="58"/>
      <c r="F171" s="58"/>
      <c r="G171" s="58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ht="14.25" customHeight="1">
      <c r="A172" s="1"/>
      <c r="D172" s="58"/>
      <c r="E172" s="58"/>
      <c r="F172" s="58"/>
      <c r="G172" s="58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ht="14.25" customHeight="1">
      <c r="A173" s="1"/>
      <c r="D173" s="58"/>
      <c r="E173" s="58"/>
      <c r="F173" s="58"/>
      <c r="G173" s="58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ht="14.25" customHeight="1">
      <c r="A174" s="1"/>
      <c r="D174" s="58"/>
      <c r="E174" s="58"/>
      <c r="F174" s="58"/>
      <c r="G174" s="58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ht="14.25" customHeight="1">
      <c r="A175" s="1"/>
      <c r="D175" s="58"/>
      <c r="E175" s="58"/>
      <c r="F175" s="58"/>
      <c r="G175" s="58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ht="14.25" customHeight="1">
      <c r="A176" s="1"/>
      <c r="D176" s="58"/>
      <c r="E176" s="58"/>
      <c r="F176" s="58"/>
      <c r="G176" s="58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ht="14.25" customHeight="1">
      <c r="A177" s="1"/>
      <c r="D177" s="58"/>
      <c r="E177" s="58"/>
      <c r="F177" s="58"/>
      <c r="G177" s="58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ht="14.25" customHeight="1">
      <c r="A178" s="1"/>
      <c r="D178" s="58"/>
      <c r="E178" s="58"/>
      <c r="F178" s="58"/>
      <c r="G178" s="58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ht="14.25" customHeight="1">
      <c r="A179" s="1"/>
      <c r="D179" s="58"/>
      <c r="E179" s="58"/>
      <c r="F179" s="58"/>
      <c r="G179" s="58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ht="14.25" customHeight="1">
      <c r="A180" s="1"/>
      <c r="D180" s="58"/>
      <c r="E180" s="58"/>
      <c r="F180" s="58"/>
      <c r="G180" s="58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ht="14.25" customHeight="1">
      <c r="A181" s="1"/>
      <c r="D181" s="58"/>
      <c r="E181" s="58"/>
      <c r="F181" s="58"/>
      <c r="G181" s="58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ht="14.25" customHeight="1">
      <c r="A182" s="1"/>
      <c r="D182" s="58"/>
      <c r="E182" s="58"/>
      <c r="F182" s="58"/>
      <c r="G182" s="58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ht="14.25" customHeight="1">
      <c r="A183" s="1"/>
      <c r="D183" s="58"/>
      <c r="E183" s="58"/>
      <c r="F183" s="58"/>
      <c r="G183" s="58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ht="14.25" customHeight="1">
      <c r="A184" s="1"/>
      <c r="D184" s="58"/>
      <c r="E184" s="58"/>
      <c r="F184" s="58"/>
      <c r="G184" s="58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ht="14.25" customHeight="1">
      <c r="A185" s="1"/>
      <c r="D185" s="58"/>
      <c r="E185" s="58"/>
      <c r="F185" s="58"/>
      <c r="G185" s="58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ht="14.25" customHeight="1">
      <c r="A186" s="1"/>
      <c r="D186" s="58"/>
      <c r="E186" s="58"/>
      <c r="F186" s="58"/>
      <c r="G186" s="58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ht="14.25" customHeight="1">
      <c r="A187" s="1"/>
      <c r="D187" s="58"/>
      <c r="E187" s="58"/>
      <c r="F187" s="58"/>
      <c r="G187" s="58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ht="14.25" customHeight="1">
      <c r="A188" s="1"/>
      <c r="D188" s="58"/>
      <c r="E188" s="58"/>
      <c r="F188" s="58"/>
      <c r="G188" s="58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ht="14.25" customHeight="1">
      <c r="A189" s="1"/>
      <c r="D189" s="58"/>
      <c r="E189" s="58"/>
      <c r="F189" s="58"/>
      <c r="G189" s="58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ht="14.25" customHeight="1">
      <c r="A190" s="1"/>
      <c r="D190" s="58"/>
      <c r="E190" s="58"/>
      <c r="F190" s="58"/>
      <c r="G190" s="58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ht="14.25" customHeight="1">
      <c r="A191" s="1"/>
      <c r="D191" s="58"/>
      <c r="E191" s="58"/>
      <c r="F191" s="58"/>
      <c r="G191" s="58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ht="14.25" customHeight="1">
      <c r="A192" s="1"/>
      <c r="D192" s="58"/>
      <c r="E192" s="58"/>
      <c r="F192" s="58"/>
      <c r="G192" s="58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ht="14.25" customHeight="1">
      <c r="A193" s="1"/>
      <c r="D193" s="58"/>
      <c r="E193" s="58"/>
      <c r="F193" s="58"/>
      <c r="G193" s="58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ht="14.25" customHeight="1">
      <c r="A194" s="1"/>
      <c r="D194" s="58"/>
      <c r="E194" s="58"/>
      <c r="F194" s="58"/>
      <c r="G194" s="58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ht="14.25" customHeight="1">
      <c r="A195" s="1"/>
      <c r="D195" s="58"/>
      <c r="E195" s="58"/>
      <c r="F195" s="58"/>
      <c r="G195" s="58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ht="14.25" customHeight="1">
      <c r="A196" s="1"/>
      <c r="D196" s="58"/>
      <c r="E196" s="58"/>
      <c r="F196" s="58"/>
      <c r="G196" s="58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ht="14.25" customHeight="1">
      <c r="A197" s="1"/>
      <c r="D197" s="58"/>
      <c r="E197" s="58"/>
      <c r="F197" s="58"/>
      <c r="G197" s="58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ht="14.25" customHeight="1">
      <c r="A198" s="1"/>
      <c r="D198" s="58"/>
      <c r="E198" s="58"/>
      <c r="F198" s="58"/>
      <c r="G198" s="58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ht="14.25" customHeight="1">
      <c r="A199" s="1"/>
      <c r="D199" s="58"/>
      <c r="E199" s="58"/>
      <c r="F199" s="58"/>
      <c r="G199" s="58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ht="14.25" customHeight="1">
      <c r="A200" s="1"/>
      <c r="D200" s="58"/>
      <c r="E200" s="58"/>
      <c r="F200" s="58"/>
      <c r="G200" s="58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ht="14.25" customHeight="1">
      <c r="A201" s="1"/>
      <c r="D201" s="58"/>
      <c r="E201" s="58"/>
      <c r="F201" s="58"/>
      <c r="G201" s="58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ht="14.25" customHeight="1">
      <c r="A202" s="1"/>
      <c r="D202" s="58"/>
      <c r="E202" s="58"/>
      <c r="F202" s="58"/>
      <c r="G202" s="58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ht="14.25" customHeight="1">
      <c r="A203" s="1"/>
      <c r="D203" s="58"/>
      <c r="E203" s="58"/>
      <c r="F203" s="58"/>
      <c r="G203" s="58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ht="14.25" customHeight="1">
      <c r="A204" s="1"/>
      <c r="D204" s="58"/>
      <c r="E204" s="58"/>
      <c r="F204" s="58"/>
      <c r="G204" s="58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ht="14.25" customHeight="1">
      <c r="A205" s="1"/>
      <c r="D205" s="58"/>
      <c r="E205" s="58"/>
      <c r="F205" s="58"/>
      <c r="G205" s="58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ht="14.25" customHeight="1">
      <c r="A206" s="1"/>
      <c r="D206" s="58"/>
      <c r="E206" s="58"/>
      <c r="F206" s="58"/>
      <c r="G206" s="58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ht="14.25" customHeight="1">
      <c r="A207" s="1"/>
      <c r="D207" s="58"/>
      <c r="E207" s="58"/>
      <c r="F207" s="58"/>
      <c r="G207" s="58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ht="14.25" customHeight="1">
      <c r="A208" s="1"/>
      <c r="D208" s="58"/>
      <c r="E208" s="58"/>
      <c r="F208" s="58"/>
      <c r="G208" s="58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ht="14.25" customHeight="1">
      <c r="A209" s="1"/>
      <c r="D209" s="58"/>
      <c r="E209" s="58"/>
      <c r="F209" s="58"/>
      <c r="G209" s="58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ht="14.25" customHeight="1">
      <c r="A210" s="1"/>
      <c r="D210" s="58"/>
      <c r="E210" s="58"/>
      <c r="F210" s="58"/>
      <c r="G210" s="58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ht="14.25" customHeight="1">
      <c r="A211" s="1"/>
      <c r="D211" s="58"/>
      <c r="E211" s="58"/>
      <c r="F211" s="58"/>
      <c r="G211" s="58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ht="14.25" customHeight="1">
      <c r="A212" s="1"/>
      <c r="D212" s="58"/>
      <c r="E212" s="58"/>
      <c r="F212" s="58"/>
      <c r="G212" s="58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ht="14.25" customHeight="1">
      <c r="A213" s="1"/>
      <c r="D213" s="58"/>
      <c r="E213" s="58"/>
      <c r="F213" s="58"/>
      <c r="G213" s="58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ht="14.25" customHeight="1">
      <c r="A214" s="1"/>
      <c r="D214" s="58"/>
      <c r="E214" s="58"/>
      <c r="F214" s="58"/>
      <c r="G214" s="58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ht="14.25" customHeight="1">
      <c r="A215" s="1"/>
      <c r="D215" s="58"/>
      <c r="E215" s="58"/>
      <c r="F215" s="58"/>
      <c r="G215" s="58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ht="14.25" customHeight="1">
      <c r="A216" s="1"/>
      <c r="D216" s="58"/>
      <c r="E216" s="58"/>
      <c r="F216" s="58"/>
      <c r="G216" s="58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ht="14.25" customHeight="1">
      <c r="A217" s="1"/>
      <c r="D217" s="58"/>
      <c r="E217" s="58"/>
      <c r="F217" s="58"/>
      <c r="G217" s="58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ht="14.25" customHeight="1">
      <c r="A218" s="1"/>
      <c r="D218" s="58"/>
      <c r="E218" s="58"/>
      <c r="F218" s="58"/>
      <c r="G218" s="58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ht="14.25" customHeight="1">
      <c r="A219" s="1"/>
      <c r="D219" s="58"/>
      <c r="E219" s="58"/>
      <c r="F219" s="58"/>
      <c r="G219" s="58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ht="14.25" customHeight="1">
      <c r="A220" s="1"/>
      <c r="D220" s="58"/>
      <c r="E220" s="58"/>
      <c r="F220" s="58"/>
      <c r="G220" s="58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ht="14.25" customHeight="1">
      <c r="A221" s="1"/>
      <c r="D221" s="58"/>
      <c r="E221" s="58"/>
      <c r="F221" s="58"/>
      <c r="G221" s="58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ht="14.25" customHeight="1">
      <c r="A222" s="1"/>
      <c r="D222" s="58"/>
      <c r="E222" s="58"/>
      <c r="F222" s="58"/>
      <c r="G222" s="58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ht="14.25" customHeight="1">
      <c r="A223" s="1"/>
      <c r="D223" s="58"/>
      <c r="E223" s="58"/>
      <c r="F223" s="58"/>
      <c r="G223" s="58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ht="14.25" customHeight="1">
      <c r="A224" s="1"/>
      <c r="D224" s="58"/>
      <c r="E224" s="58"/>
      <c r="F224" s="58"/>
      <c r="G224" s="58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ht="14.25" customHeight="1">
      <c r="A225" s="1"/>
      <c r="D225" s="58"/>
      <c r="E225" s="58"/>
      <c r="F225" s="58"/>
      <c r="G225" s="58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ht="14.25" customHeight="1">
      <c r="A226" s="1"/>
      <c r="D226" s="58"/>
      <c r="E226" s="58"/>
      <c r="F226" s="58"/>
      <c r="G226" s="58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ht="14.25" customHeight="1">
      <c r="A227" s="1"/>
      <c r="D227" s="58"/>
      <c r="E227" s="58"/>
      <c r="F227" s="58"/>
      <c r="G227" s="58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ht="14.25" customHeight="1">
      <c r="A228" s="1"/>
      <c r="D228" s="58"/>
      <c r="E228" s="58"/>
      <c r="F228" s="58"/>
      <c r="G228" s="58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ht="14.25" customHeight="1">
      <c r="A229" s="1"/>
      <c r="D229" s="58"/>
      <c r="E229" s="58"/>
      <c r="F229" s="58"/>
      <c r="G229" s="58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ht="14.25" customHeight="1">
      <c r="A230" s="1"/>
      <c r="D230" s="58"/>
      <c r="E230" s="58"/>
      <c r="F230" s="58"/>
      <c r="G230" s="58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ht="14.25" customHeight="1">
      <c r="A231" s="1"/>
      <c r="D231" s="58"/>
      <c r="E231" s="58"/>
      <c r="F231" s="58"/>
      <c r="G231" s="58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</row>
    <row r="232" ht="14.25" customHeight="1">
      <c r="A232" s="1"/>
      <c r="D232" s="58"/>
      <c r="E232" s="58"/>
      <c r="F232" s="58"/>
      <c r="G232" s="58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</row>
    <row r="233" ht="14.25" customHeight="1">
      <c r="A233" s="1"/>
      <c r="D233" s="58"/>
      <c r="E233" s="58"/>
      <c r="F233" s="58"/>
      <c r="G233" s="58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</row>
    <row r="234" ht="14.25" customHeight="1">
      <c r="A234" s="1"/>
      <c r="D234" s="58"/>
      <c r="E234" s="58"/>
      <c r="F234" s="58"/>
      <c r="G234" s="58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</row>
    <row r="235" ht="14.25" customHeight="1">
      <c r="A235" s="1"/>
      <c r="D235" s="58"/>
      <c r="E235" s="58"/>
      <c r="F235" s="58"/>
      <c r="G235" s="58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</row>
    <row r="236" ht="14.25" customHeight="1">
      <c r="A236" s="1"/>
      <c r="D236" s="58"/>
      <c r="E236" s="58"/>
      <c r="F236" s="58"/>
      <c r="G236" s="58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</row>
    <row r="237" ht="14.25" customHeight="1">
      <c r="A237" s="1"/>
      <c r="D237" s="58"/>
      <c r="E237" s="58"/>
      <c r="F237" s="58"/>
      <c r="G237" s="58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</row>
    <row r="238" ht="14.25" customHeight="1">
      <c r="A238" s="1"/>
      <c r="D238" s="58"/>
      <c r="E238" s="58"/>
      <c r="F238" s="58"/>
      <c r="G238" s="58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H34:I34"/>
    <mergeCell ref="H35:I35"/>
    <mergeCell ref="H36:I36"/>
    <mergeCell ref="J36:K36"/>
    <mergeCell ref="H37:I37"/>
    <mergeCell ref="J37:K37"/>
    <mergeCell ref="H38:I38"/>
    <mergeCell ref="J38:K38"/>
    <mergeCell ref="C35:D35"/>
    <mergeCell ref="C36:D36"/>
    <mergeCell ref="E36:F36"/>
    <mergeCell ref="C37:D37"/>
    <mergeCell ref="E37:F37"/>
    <mergeCell ref="C38:D38"/>
    <mergeCell ref="E38:F38"/>
    <mergeCell ref="C32:D32"/>
    <mergeCell ref="H32:I32"/>
    <mergeCell ref="C34:D34"/>
    <mergeCell ref="E34:F34"/>
    <mergeCell ref="J34:K34"/>
    <mergeCell ref="E35:F35"/>
    <mergeCell ref="J35:K35"/>
    <mergeCell ref="C1:D2"/>
    <mergeCell ref="C4:E4"/>
    <mergeCell ref="D6:K8"/>
    <mergeCell ref="C7:C8"/>
    <mergeCell ref="C9:K9"/>
    <mergeCell ref="C11:E11"/>
    <mergeCell ref="M11:S11"/>
    <mergeCell ref="E13:K13"/>
    <mergeCell ref="E14:K14"/>
    <mergeCell ref="E15:K15"/>
    <mergeCell ref="E16:K16"/>
    <mergeCell ref="C17:E17"/>
    <mergeCell ref="H17:I17"/>
    <mergeCell ref="J17:K17"/>
    <mergeCell ref="E26:F26"/>
    <mergeCell ref="H26:I26"/>
    <mergeCell ref="J26:K26"/>
    <mergeCell ref="D19:F19"/>
    <mergeCell ref="D20:F20"/>
    <mergeCell ref="D21:F21"/>
    <mergeCell ref="D22:F22"/>
    <mergeCell ref="C24:D24"/>
    <mergeCell ref="H24:I24"/>
    <mergeCell ref="C26:D26"/>
    <mergeCell ref="C27:D27"/>
    <mergeCell ref="E27:F27"/>
    <mergeCell ref="H27:I27"/>
    <mergeCell ref="J27:K27"/>
    <mergeCell ref="E28:F28"/>
    <mergeCell ref="H28:I28"/>
    <mergeCell ref="J28:K28"/>
    <mergeCell ref="H30:I30"/>
    <mergeCell ref="J30:K30"/>
    <mergeCell ref="C28:D28"/>
    <mergeCell ref="C29:D29"/>
    <mergeCell ref="E29:F29"/>
    <mergeCell ref="H29:I29"/>
    <mergeCell ref="J29:K29"/>
    <mergeCell ref="C30:D30"/>
    <mergeCell ref="E30:F30"/>
  </mergeCells>
  <conditionalFormatting sqref="C7">
    <cfRule type="cellIs" dxfId="7" priority="1" operator="greaterThanOrEqual">
      <formula>1</formula>
    </cfRule>
  </conditionalFormatting>
  <conditionalFormatting sqref="C7">
    <cfRule type="cellIs" dxfId="8" priority="2" operator="greaterThanOrEqual">
      <formula>0.3</formula>
    </cfRule>
  </conditionalFormatting>
  <conditionalFormatting sqref="C7">
    <cfRule type="cellIs" dxfId="9" priority="3" operator="between">
      <formula>-0.29</formula>
      <formula>0.29</formula>
    </cfRule>
  </conditionalFormatting>
  <conditionalFormatting sqref="C7">
    <cfRule type="cellIs" dxfId="10" priority="4" operator="lessThanOrEqual">
      <formula>-1</formula>
    </cfRule>
  </conditionalFormatting>
  <conditionalFormatting sqref="C7">
    <cfRule type="cellIs" dxfId="11" priority="5" operator="lessThanOrEqual">
      <formula>-0.3</formula>
    </cfRule>
  </conditionalFormatting>
  <conditionalFormatting sqref="C6 C9">
    <cfRule type="expression" dxfId="7" priority="6">
      <formula>$C$7&gt;=1</formula>
    </cfRule>
  </conditionalFormatting>
  <conditionalFormatting sqref="C6 C9">
    <cfRule type="expression" dxfId="8" priority="7">
      <formula>$C$7&gt;=0.3</formula>
    </cfRule>
  </conditionalFormatting>
  <conditionalFormatting sqref="C6 C9">
    <cfRule type="expression" dxfId="9" priority="8">
      <formula>AND($C$7&lt;=0.29,$C$7&gt;=-0.29)</formula>
    </cfRule>
  </conditionalFormatting>
  <conditionalFormatting sqref="C6 C9">
    <cfRule type="expression" dxfId="10" priority="9">
      <formula>$C$7&lt;=-1</formula>
    </cfRule>
  </conditionalFormatting>
  <conditionalFormatting sqref="C6 C9">
    <cfRule type="expression" dxfId="11" priority="10">
      <formula>$C$7&lt;=-0.3</formula>
    </cfRule>
  </conditionalFormatting>
  <printOptions verticalCentered="1"/>
  <pageMargins bottom="0.7480314960629921" footer="0.0" header="0.0" left="0.2362204724409449" right="0.2362204724409449" top="0.7480314960629921"/>
  <pageSetup paperSize="9" orientation="landscape"/>
  <rowBreaks count="1" manualBreakCount="1">
    <brk id="22" man="1"/>
  </row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7.71"/>
    <col customWidth="1" min="2" max="2" width="4.29"/>
    <col customWidth="1" min="3" max="7" width="25.71"/>
    <col customWidth="1" min="8" max="8" width="18.43"/>
    <col customWidth="1" min="9" max="9" width="27.29"/>
    <col customWidth="1" min="10" max="10" width="19.43"/>
    <col customWidth="1" min="11" max="11" width="27.29"/>
    <col customWidth="1" min="12" max="12" width="19.43"/>
    <col customWidth="1" min="13" max="19" width="8.71"/>
    <col customWidth="1" min="20" max="20" width="9.29"/>
    <col customWidth="1" hidden="1" min="21" max="48" width="9.29"/>
  </cols>
  <sheetData>
    <row r="1" ht="33.75" customHeight="1">
      <c r="A1" s="1"/>
      <c r="B1" s="146"/>
      <c r="C1" s="147" t="s">
        <v>170</v>
      </c>
      <c r="D1" s="148"/>
      <c r="E1" s="146"/>
      <c r="F1" s="146"/>
      <c r="G1" s="149"/>
      <c r="H1" s="149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ht="37.5" customHeight="1">
      <c r="A2" s="1"/>
      <c r="B2" s="146"/>
      <c r="C2" s="148"/>
      <c r="D2" s="148"/>
      <c r="E2" s="146"/>
      <c r="F2" s="146"/>
      <c r="G2" s="149"/>
      <c r="H2" s="149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</row>
    <row r="3" ht="15.0" customHeight="1">
      <c r="A3" s="1"/>
      <c r="C3" s="32">
        <f t="array" ref="C3">SUM(IFERROR(1/COUNTIF('Cruzamento - FxO'!$D$8:$D$107,'Cruzamento - FxO'!$D$8:$D$107),0))</f>
        <v>0</v>
      </c>
      <c r="D3" s="32">
        <f>20-COUNTBLANK('Matriz SWOT'!J5:J24)</f>
        <v>0</v>
      </c>
      <c r="E3" s="47" t="str">
        <f>C3/D3*100</f>
        <v>#DIV/0!</v>
      </c>
      <c r="F3" s="32" t="str">
        <f>IF(E3&lt;50,G3,IF(E3&gt;=80,I3,H3))</f>
        <v>#DIV/0!</v>
      </c>
      <c r="G3" s="32" t="s">
        <v>171</v>
      </c>
      <c r="H3" s="32" t="s">
        <v>172</v>
      </c>
      <c r="I3" s="32" t="s">
        <v>173</v>
      </c>
      <c r="J3" s="31"/>
      <c r="R3" s="32" t="s">
        <v>174</v>
      </c>
      <c r="S3" s="32">
        <f>COUNTIF('Cruzamento - FxO'!$I$8:$I$107,"&gt;"&amp;TODAY())</f>
        <v>0</v>
      </c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</row>
    <row r="4" ht="30.0" customHeight="1">
      <c r="A4" s="1"/>
      <c r="C4" s="116" t="s">
        <v>175</v>
      </c>
      <c r="E4" s="31"/>
      <c r="R4" s="32" t="s">
        <v>176</v>
      </c>
      <c r="S4" s="32">
        <f>S11</f>
        <v>0</v>
      </c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ht="54.75" customHeight="1">
      <c r="A5" s="1"/>
      <c r="C5" s="151" t="str">
        <f>"Você definiu planos de ação para "&amp;C3&amp;" de "&amp;D3&amp;" dos principais itens da sua SWOT"</f>
        <v>Você definiu planos de ação para 0 de 0 dos principais itens da sua SWOT</v>
      </c>
      <c r="D5" s="59"/>
      <c r="E5" s="152">
        <f>IF(ISERROR(E3/100),0,E3/100)</f>
        <v>0</v>
      </c>
      <c r="F5" s="153" t="str">
        <f>IF(ISERROR(F3),"",F3)</f>
        <v/>
      </c>
      <c r="G5" s="54"/>
      <c r="H5" s="59"/>
      <c r="I5" s="31"/>
      <c r="J5" s="31"/>
      <c r="R5" s="32"/>
      <c r="S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</row>
    <row r="6" ht="7.5" customHeight="1">
      <c r="A6" s="1"/>
      <c r="E6" s="154"/>
      <c r="G6" s="32"/>
      <c r="H6" s="32"/>
      <c r="I6" s="31"/>
      <c r="J6" s="32"/>
      <c r="K6" s="32">
        <v>5.0</v>
      </c>
      <c r="L6" s="32">
        <v>6.0</v>
      </c>
      <c r="M6" s="32">
        <v>8.0</v>
      </c>
      <c r="N6" s="31"/>
      <c r="O6" s="31"/>
      <c r="P6" s="31"/>
      <c r="Q6" s="31"/>
      <c r="R6" s="32"/>
      <c r="S6" s="32"/>
      <c r="T6" s="31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</row>
    <row r="7" ht="30.0" customHeight="1">
      <c r="A7" s="1"/>
      <c r="C7" s="116" t="s">
        <v>177</v>
      </c>
      <c r="E7" s="117"/>
      <c r="F7" s="116" t="s">
        <v>178</v>
      </c>
      <c r="H7" s="117"/>
      <c r="I7" s="117"/>
      <c r="J7" s="32">
        <v>1.0</v>
      </c>
      <c r="K7" s="32" t="str">
        <f t="shared" ref="K7:M7" si="1">VLOOKUP(LARGE($K$15:$K$34,$J7),$K$15:$R$34,K$6,FALSE)</f>
        <v>#REF!</v>
      </c>
      <c r="L7" s="32" t="str">
        <f t="shared" si="1"/>
        <v>#REF!</v>
      </c>
      <c r="M7" s="32" t="str">
        <f t="shared" si="1"/>
        <v>#REF!</v>
      </c>
      <c r="N7" s="31"/>
      <c r="O7" s="31"/>
      <c r="P7" s="31"/>
      <c r="R7" s="32" t="s">
        <v>179</v>
      </c>
      <c r="S7" s="32">
        <f>COUNTIF('Cruzamento - FxO'!$K$8:$K$107,GPA!R7)</f>
        <v>0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</row>
    <row r="8" ht="7.5" customHeight="1">
      <c r="A8" s="1"/>
      <c r="J8" s="32">
        <v>2.0</v>
      </c>
      <c r="K8" s="32" t="str">
        <f t="shared" ref="K8:M8" si="2">VLOOKUP(LARGE($K$15:$K$34,$J8),$K$15:$R$34,K$6,FALSE)</f>
        <v>#REF!</v>
      </c>
      <c r="L8" s="32" t="str">
        <f t="shared" si="2"/>
        <v>#REF!</v>
      </c>
      <c r="M8" s="32" t="str">
        <f t="shared" si="2"/>
        <v>#REF!</v>
      </c>
      <c r="N8" s="31"/>
      <c r="O8" s="31"/>
      <c r="P8" s="31"/>
      <c r="R8" s="32" t="s">
        <v>180</v>
      </c>
      <c r="S8" s="32">
        <f>COUNTIF('Cruzamento - FxO'!$K$8:$K$107,GPA!R8)</f>
        <v>0</v>
      </c>
      <c r="U8" s="32" t="s">
        <v>89</v>
      </c>
      <c r="V8" s="32" t="s">
        <v>90</v>
      </c>
      <c r="W8" s="32" t="s">
        <v>91</v>
      </c>
      <c r="X8" s="32" t="s">
        <v>92</v>
      </c>
      <c r="Y8" s="32" t="s">
        <v>93</v>
      </c>
      <c r="Z8" s="32" t="s">
        <v>94</v>
      </c>
      <c r="AA8" s="32" t="s">
        <v>95</v>
      </c>
      <c r="AB8" s="32" t="s">
        <v>96</v>
      </c>
      <c r="AC8" s="32" t="s">
        <v>97</v>
      </c>
      <c r="AD8" s="32" t="s">
        <v>123</v>
      </c>
      <c r="AE8" s="32" t="s">
        <v>124</v>
      </c>
      <c r="AF8" s="32" t="s">
        <v>125</v>
      </c>
      <c r="AG8" s="32" t="s">
        <v>89</v>
      </c>
      <c r="AH8" s="32" t="s">
        <v>90</v>
      </c>
      <c r="AI8" s="32" t="s">
        <v>91</v>
      </c>
      <c r="AJ8" s="32" t="s">
        <v>92</v>
      </c>
      <c r="AK8" s="32" t="s">
        <v>93</v>
      </c>
      <c r="AL8" s="32" t="s">
        <v>94</v>
      </c>
      <c r="AM8" s="32" t="s">
        <v>95</v>
      </c>
      <c r="AN8" s="32" t="s">
        <v>96</v>
      </c>
      <c r="AO8" s="32" t="s">
        <v>97</v>
      </c>
      <c r="AP8" s="32" t="s">
        <v>123</v>
      </c>
      <c r="AQ8" s="32" t="s">
        <v>124</v>
      </c>
      <c r="AR8" s="32" t="s">
        <v>125</v>
      </c>
      <c r="AS8" s="32" t="s">
        <v>89</v>
      </c>
      <c r="AT8" s="32" t="s">
        <v>90</v>
      </c>
      <c r="AU8" s="32" t="s">
        <v>91</v>
      </c>
      <c r="AV8" s="32" t="s">
        <v>92</v>
      </c>
    </row>
    <row r="9" ht="60.0" customHeight="1">
      <c r="A9" s="33"/>
      <c r="J9" s="32">
        <v>3.0</v>
      </c>
      <c r="K9" s="32" t="str">
        <f t="shared" ref="K9:M9" si="3">VLOOKUP(LARGE($K$15:$K$34,$J9),$K$15:$R$34,K$6,FALSE)</f>
        <v>#REF!</v>
      </c>
      <c r="L9" s="32" t="str">
        <f t="shared" si="3"/>
        <v>#REF!</v>
      </c>
      <c r="M9" s="32" t="str">
        <f t="shared" si="3"/>
        <v>#REF!</v>
      </c>
      <c r="N9" s="38"/>
      <c r="O9" s="38"/>
      <c r="P9" s="38"/>
      <c r="R9" s="32" t="s">
        <v>181</v>
      </c>
      <c r="S9" s="32">
        <f>COUNTIF('Cruzamento - FxO'!$K$8:$K$107,GPA!R9)</f>
        <v>0</v>
      </c>
      <c r="U9" s="38">
        <v>1.0</v>
      </c>
      <c r="V9" s="38">
        <v>1.0</v>
      </c>
      <c r="W9" s="38">
        <v>1.0</v>
      </c>
      <c r="X9" s="38">
        <v>1.0</v>
      </c>
      <c r="Y9" s="38">
        <v>2.0</v>
      </c>
      <c r="Z9" s="38">
        <v>2.0</v>
      </c>
      <c r="AA9" s="38">
        <v>2.0</v>
      </c>
      <c r="AB9" s="38">
        <v>2.0</v>
      </c>
      <c r="AC9" s="38">
        <v>2.0</v>
      </c>
      <c r="AD9" s="38">
        <v>2.0</v>
      </c>
      <c r="AE9" s="38">
        <v>2.0</v>
      </c>
      <c r="AF9" s="38">
        <v>2.0</v>
      </c>
      <c r="AG9" s="38">
        <v>2.0</v>
      </c>
      <c r="AH9" s="38">
        <v>2.0</v>
      </c>
      <c r="AI9" s="38">
        <v>2.0</v>
      </c>
      <c r="AJ9" s="38">
        <v>2.0</v>
      </c>
      <c r="AK9" s="38">
        <v>3.0</v>
      </c>
      <c r="AL9" s="38">
        <v>3.0</v>
      </c>
      <c r="AM9" s="38">
        <v>3.0</v>
      </c>
      <c r="AN9" s="38">
        <v>3.0</v>
      </c>
      <c r="AO9" s="38">
        <v>3.0</v>
      </c>
      <c r="AP9" s="38">
        <v>3.0</v>
      </c>
      <c r="AQ9" s="38">
        <v>3.0</v>
      </c>
      <c r="AR9" s="38">
        <v>3.0</v>
      </c>
      <c r="AS9" s="38">
        <v>3.0</v>
      </c>
      <c r="AT9" s="38">
        <v>3.0</v>
      </c>
      <c r="AU9" s="38">
        <v>3.0</v>
      </c>
      <c r="AV9" s="38">
        <v>3.0</v>
      </c>
    </row>
    <row r="10" ht="60.0" customHeight="1">
      <c r="A10" s="1"/>
      <c r="J10" s="32">
        <v>4.0</v>
      </c>
      <c r="K10" s="32" t="str">
        <f t="shared" ref="K10:M10" si="4">VLOOKUP(LARGE($K$15:$K$34,$J10),$K$15:$R$34,K$6,FALSE)</f>
        <v>#REF!</v>
      </c>
      <c r="L10" s="32" t="str">
        <f t="shared" si="4"/>
        <v>#REF!</v>
      </c>
      <c r="M10" s="32" t="str">
        <f t="shared" si="4"/>
        <v>#REF!</v>
      </c>
      <c r="N10" s="31"/>
      <c r="O10" s="31"/>
      <c r="P10" s="31"/>
      <c r="R10" s="32" t="s">
        <v>182</v>
      </c>
      <c r="S10" s="32">
        <f>COUNTIF('Cruzamento - FxO'!$K$8:$K$107,GPA!R10)</f>
        <v>0</v>
      </c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</row>
    <row r="11" ht="60.0" customHeight="1">
      <c r="A11" s="1"/>
      <c r="J11" s="32">
        <v>5.0</v>
      </c>
      <c r="K11" s="32" t="str">
        <f t="shared" ref="K11:M11" si="5">VLOOKUP(LARGE($K$15:$K$34,$J11),$K$15:$R$34,K$6,FALSE)</f>
        <v>#REF!</v>
      </c>
      <c r="L11" s="32" t="str">
        <f t="shared" si="5"/>
        <v>#REF!</v>
      </c>
      <c r="M11" s="32" t="str">
        <f t="shared" si="5"/>
        <v>#REF!</v>
      </c>
      <c r="N11" s="31"/>
      <c r="O11" s="31"/>
      <c r="P11" s="31"/>
      <c r="R11" s="32" t="s">
        <v>176</v>
      </c>
      <c r="S11" s="32">
        <f>COUNTIF('Cruzamento - FxO'!$K$8:$K$107,GPA!R11)</f>
        <v>0</v>
      </c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</row>
    <row r="12" ht="2.25" customHeight="1">
      <c r="A12" s="1"/>
      <c r="M12" s="31" t="str">
        <f t="shared" ref="M12:N12" si="6">VLOOKUP(LARGE($L$15:$L$34,$J12),$L$15:$R$34,#REF!,FALSE)</f>
        <v>#REF!</v>
      </c>
      <c r="N12" s="31" t="str">
        <f t="shared" si="6"/>
        <v>#REF!</v>
      </c>
      <c r="R12" s="32"/>
      <c r="S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</row>
    <row r="13" ht="45.0" customHeight="1">
      <c r="A13" s="1"/>
      <c r="D13" s="58"/>
      <c r="F13" s="58"/>
      <c r="G13" s="32"/>
      <c r="H13" s="32"/>
      <c r="I13" s="31"/>
      <c r="R13" s="32"/>
      <c r="S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</row>
    <row r="14" ht="34.5" customHeight="1">
      <c r="A14" s="1"/>
      <c r="C14" s="155" t="s">
        <v>183</v>
      </c>
      <c r="D14" s="121"/>
      <c r="E14" s="121"/>
      <c r="F14" s="121"/>
      <c r="G14" s="156"/>
      <c r="H14" s="156"/>
      <c r="I14" s="31"/>
      <c r="J14" s="31"/>
      <c r="O14" s="32"/>
      <c r="P14" s="32" t="s">
        <v>184</v>
      </c>
      <c r="Q14" s="32" t="s">
        <v>185</v>
      </c>
      <c r="R14" s="32" t="s">
        <v>186</v>
      </c>
      <c r="S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</row>
    <row r="15" ht="34.5" customHeight="1">
      <c r="A15" s="1"/>
      <c r="G15" s="32"/>
      <c r="H15" s="32"/>
      <c r="I15" s="31"/>
      <c r="J15" s="31"/>
      <c r="K15" s="32" t="str">
        <f t="shared" ref="K15:K34" si="7">IF(O15="","",P15+N15)</f>
        <v>#REF!</v>
      </c>
      <c r="L15" s="32" t="str">
        <f t="shared" ref="L15:L34" si="8">IF(O15="","",Q15+N15)</f>
        <v>#REF!</v>
      </c>
      <c r="M15" s="32" t="str">
        <f t="shared" ref="M15:M34" si="9">IF(O15="","",R15+N15)</f>
        <v>#REF!</v>
      </c>
      <c r="N15" s="32">
        <v>2.0E-4</v>
      </c>
      <c r="O15" s="32" t="str">
        <f t="shared" ref="O15:O34" si="10">IF(#REF!=0,"",#REF!)</f>
        <v>#REF!</v>
      </c>
      <c r="P15" s="32" t="str">
        <f>IF($O15="","",COUNTIF('Cruzamento - FxO'!$G$8:$G$107,$O15))</f>
        <v>#REF!</v>
      </c>
      <c r="Q15" s="32" t="str">
        <f>IF($O15="","",COUNTIFS('Cruzamento - FxO'!$G$8:$G$107,$O15,'Cruzamento - FxO'!$K$8:$K$107,"&lt;&gt;Atrasado"))</f>
        <v>#REF!</v>
      </c>
      <c r="R15" s="32" t="str">
        <f>IF($O15="","",COUNTIFS('Cruzamento - FxO'!$G$8:$G$107,$O15,'Cruzamento - FxO'!$K$8:$K$107,"=Atrasado"))</f>
        <v>#REF!</v>
      </c>
      <c r="S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</row>
    <row r="16" ht="34.5" customHeight="1">
      <c r="A16" s="1"/>
      <c r="G16" s="32"/>
      <c r="H16" s="32"/>
      <c r="I16" s="31"/>
      <c r="J16" s="31"/>
      <c r="K16" s="32" t="str">
        <f t="shared" si="7"/>
        <v>#REF!</v>
      </c>
      <c r="L16" s="32" t="str">
        <f t="shared" si="8"/>
        <v>#REF!</v>
      </c>
      <c r="M16" s="32" t="str">
        <f t="shared" si="9"/>
        <v>#REF!</v>
      </c>
      <c r="N16" s="32">
        <v>1.9E-4</v>
      </c>
      <c r="O16" s="32" t="str">
        <f t="shared" si="10"/>
        <v>#REF!</v>
      </c>
      <c r="P16" s="32" t="str">
        <f>IF($O16="","",COUNTIF('Cruzamento - FxO'!$G$8:$G$107,$O16))</f>
        <v>#REF!</v>
      </c>
      <c r="Q16" s="32" t="str">
        <f>IF($O16="","",COUNTIFS('Cruzamento - FxO'!$G$8:$G$107,$O16,'Cruzamento - FxO'!$K$8:$K$107,"&lt;&gt;Atrasado"))</f>
        <v>#REF!</v>
      </c>
      <c r="R16" s="32" t="str">
        <f>IF($O16="","",COUNTIFS('Cruzamento - FxO'!$G$8:$G$107,$O16,'Cruzamento - FxO'!$K$8:$K$107,"=Atrasado"))</f>
        <v>#REF!</v>
      </c>
      <c r="S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</row>
    <row r="17" ht="34.5" customHeight="1">
      <c r="A17" s="1"/>
      <c r="G17" s="32"/>
      <c r="H17" s="32"/>
      <c r="I17" s="31"/>
      <c r="J17" s="31"/>
      <c r="K17" s="32" t="str">
        <f t="shared" si="7"/>
        <v>#REF!</v>
      </c>
      <c r="L17" s="32" t="str">
        <f t="shared" si="8"/>
        <v>#REF!</v>
      </c>
      <c r="M17" s="32" t="str">
        <f t="shared" si="9"/>
        <v>#REF!</v>
      </c>
      <c r="N17" s="32">
        <v>1.8E-4</v>
      </c>
      <c r="O17" s="32" t="str">
        <f t="shared" si="10"/>
        <v>#REF!</v>
      </c>
      <c r="P17" s="32" t="str">
        <f>IF($O17="","",COUNTIF('Cruzamento - FxO'!$G$8:$G$107,$O17))</f>
        <v>#REF!</v>
      </c>
      <c r="Q17" s="32" t="str">
        <f>IF($O17="","",COUNTIFS('Cruzamento - FxO'!$G$8:$G$107,$O17,'Cruzamento - FxO'!$K$8:$K$107,"&lt;&gt;Atrasado"))</f>
        <v>#REF!</v>
      </c>
      <c r="R17" s="32" t="str">
        <f>IF($O17="","",COUNTIFS('Cruzamento - FxO'!$G$8:$G$107,$O17,'Cruzamento - FxO'!$K$8:$K$107,"=Atrasado"))</f>
        <v>#REF!</v>
      </c>
      <c r="S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</row>
    <row r="18" ht="34.5" customHeight="1">
      <c r="A18" s="1"/>
      <c r="G18" s="32"/>
      <c r="H18" s="32"/>
      <c r="I18" s="31"/>
      <c r="J18" s="31"/>
      <c r="K18" s="32" t="str">
        <f t="shared" si="7"/>
        <v>#REF!</v>
      </c>
      <c r="L18" s="32" t="str">
        <f t="shared" si="8"/>
        <v>#REF!</v>
      </c>
      <c r="M18" s="32" t="str">
        <f t="shared" si="9"/>
        <v>#REF!</v>
      </c>
      <c r="N18" s="32">
        <v>1.7E-4</v>
      </c>
      <c r="O18" s="32" t="str">
        <f t="shared" si="10"/>
        <v>#REF!</v>
      </c>
      <c r="P18" s="32" t="str">
        <f>IF($O18="","",COUNTIF('Cruzamento - FxO'!$G$8:$G$107,$O18))</f>
        <v>#REF!</v>
      </c>
      <c r="Q18" s="32" t="str">
        <f>IF($O18="","",COUNTIFS('Cruzamento - FxO'!$G$8:$G$107,$O18,'Cruzamento - FxO'!$K$8:$K$107,"&lt;&gt;Atrasado"))</f>
        <v>#REF!</v>
      </c>
      <c r="R18" s="32" t="str">
        <f>IF($O18="","",COUNTIFS('Cruzamento - FxO'!$G$8:$G$107,$O18,'Cruzamento - FxO'!$K$8:$K$107,"=Atrasado"))</f>
        <v>#REF!</v>
      </c>
      <c r="S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</row>
    <row r="19" ht="34.5" customHeight="1">
      <c r="A19" s="1"/>
      <c r="G19" s="32"/>
      <c r="H19" s="32"/>
      <c r="I19" s="31"/>
      <c r="J19" s="31"/>
      <c r="K19" s="32" t="str">
        <f t="shared" si="7"/>
        <v>#REF!</v>
      </c>
      <c r="L19" s="32" t="str">
        <f t="shared" si="8"/>
        <v>#REF!</v>
      </c>
      <c r="M19" s="32" t="str">
        <f t="shared" si="9"/>
        <v>#REF!</v>
      </c>
      <c r="N19" s="32">
        <v>1.6E-4</v>
      </c>
      <c r="O19" s="32" t="str">
        <f t="shared" si="10"/>
        <v>#REF!</v>
      </c>
      <c r="P19" s="32" t="str">
        <f>IF($O19="","",COUNTIF('Cruzamento - FxO'!$G$8:$G$107,$O19))</f>
        <v>#REF!</v>
      </c>
      <c r="Q19" s="32" t="str">
        <f>IF($O19="","",COUNTIFS('Cruzamento - FxO'!$G$8:$G$107,$O19,'Cruzamento - FxO'!$K$8:$K$107,"&lt;&gt;Atrasado"))</f>
        <v>#REF!</v>
      </c>
      <c r="R19" s="32" t="str">
        <f>IF($O19="","",COUNTIFS('Cruzamento - FxO'!$G$8:$G$107,$O19,'Cruzamento - FxO'!$K$8:$K$107,"=Atrasado"))</f>
        <v>#REF!</v>
      </c>
      <c r="S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</row>
    <row r="20" ht="34.5" customHeight="1">
      <c r="A20" s="1"/>
      <c r="G20" s="32"/>
      <c r="H20" s="32"/>
      <c r="I20" s="31"/>
      <c r="J20" s="31"/>
      <c r="K20" s="32" t="str">
        <f t="shared" si="7"/>
        <v>#REF!</v>
      </c>
      <c r="L20" s="32" t="str">
        <f t="shared" si="8"/>
        <v>#REF!</v>
      </c>
      <c r="M20" s="32" t="str">
        <f t="shared" si="9"/>
        <v>#REF!</v>
      </c>
      <c r="N20" s="32">
        <v>1.5E-4</v>
      </c>
      <c r="O20" s="31" t="str">
        <f t="shared" si="10"/>
        <v>#REF!</v>
      </c>
      <c r="P20" s="31" t="str">
        <f>IF($O20="","",COUNTIF('Cruzamento - FxO'!$G$8:$G$107,$O20))</f>
        <v>#REF!</v>
      </c>
      <c r="Q20" s="31" t="str">
        <f>IF($O20="","",COUNTIFS('Cruzamento - FxO'!$G$8:$G$107,$O20,'Cruzamento - FxO'!$K$8:$K$107,"&lt;&gt;Atrasado"))</f>
        <v>#REF!</v>
      </c>
      <c r="R20" s="31" t="str">
        <f>IF($O20="","",COUNTIFS('Cruzamento - FxO'!$G$8:$G$107,$O20,'Cruzamento - FxO'!$K$8:$K$107,"=Atrasado"))</f>
        <v>#REF!</v>
      </c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</row>
    <row r="21" ht="34.5" customHeight="1">
      <c r="A21" s="1"/>
      <c r="G21" s="32"/>
      <c r="H21" s="32"/>
      <c r="I21" s="31"/>
      <c r="J21" s="31"/>
      <c r="K21" s="32" t="str">
        <f t="shared" si="7"/>
        <v>#REF!</v>
      </c>
      <c r="L21" s="32" t="str">
        <f t="shared" si="8"/>
        <v>#REF!</v>
      </c>
      <c r="M21" s="32" t="str">
        <f t="shared" si="9"/>
        <v>#REF!</v>
      </c>
      <c r="N21" s="32">
        <v>1.4E-4</v>
      </c>
      <c r="O21" s="31" t="str">
        <f t="shared" si="10"/>
        <v>#REF!</v>
      </c>
      <c r="P21" s="31" t="str">
        <f>IF($O21="","",COUNTIF('Cruzamento - FxO'!$G$8:$G$107,$O21))</f>
        <v>#REF!</v>
      </c>
      <c r="Q21" s="31" t="str">
        <f>IF($O21="","",COUNTIFS('Cruzamento - FxO'!$G$8:$G$107,$O21,'Cruzamento - FxO'!$K$8:$K$107,"&lt;&gt;Atrasado"))</f>
        <v>#REF!</v>
      </c>
      <c r="R21" s="31" t="str">
        <f>IF($O21="","",COUNTIFS('Cruzamento - FxO'!$G$8:$G$107,$O21,'Cruzamento - FxO'!$K$8:$K$107,"=Atrasado"))</f>
        <v>#REF!</v>
      </c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</row>
    <row r="22" ht="34.5" customHeight="1">
      <c r="A22" s="1"/>
      <c r="C22" s="157"/>
      <c r="D22" s="117"/>
      <c r="E22" s="117"/>
      <c r="G22" s="32"/>
      <c r="H22" s="32"/>
      <c r="I22" s="31"/>
      <c r="J22" s="31"/>
      <c r="K22" s="32" t="str">
        <f t="shared" si="7"/>
        <v>#REF!</v>
      </c>
      <c r="L22" s="32" t="str">
        <f t="shared" si="8"/>
        <v>#REF!</v>
      </c>
      <c r="M22" s="32" t="str">
        <f t="shared" si="9"/>
        <v>#REF!</v>
      </c>
      <c r="N22" s="32">
        <v>1.3E-4</v>
      </c>
      <c r="O22" s="31" t="str">
        <f t="shared" si="10"/>
        <v>#REF!</v>
      </c>
      <c r="P22" s="31" t="str">
        <f>IF($O22="","",COUNTIF('Cruzamento - FxO'!$G$8:$G$107,$O22))</f>
        <v>#REF!</v>
      </c>
      <c r="Q22" s="31" t="str">
        <f>IF($O22="","",COUNTIFS('Cruzamento - FxO'!$G$8:$G$107,$O22,'Cruzamento - FxO'!$K$8:$K$107,"&lt;&gt;Atrasado"))</f>
        <v>#REF!</v>
      </c>
      <c r="R22" s="31" t="str">
        <f>IF($O22="","",COUNTIFS('Cruzamento - FxO'!$G$8:$G$107,$O22,'Cruzamento - FxO'!$K$8:$K$107,"=Atrasado"))</f>
        <v>#REF!</v>
      </c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</row>
    <row r="23" ht="34.5" customHeight="1">
      <c r="A23" s="1"/>
      <c r="G23" s="32"/>
      <c r="H23" s="32"/>
      <c r="I23" s="31"/>
      <c r="J23" s="31"/>
      <c r="K23" s="32" t="str">
        <f t="shared" si="7"/>
        <v>#REF!</v>
      </c>
      <c r="L23" s="32" t="str">
        <f t="shared" si="8"/>
        <v>#REF!</v>
      </c>
      <c r="M23" s="32" t="str">
        <f t="shared" si="9"/>
        <v>#REF!</v>
      </c>
      <c r="N23" s="32">
        <v>1.2E-4</v>
      </c>
      <c r="O23" s="31" t="str">
        <f t="shared" si="10"/>
        <v>#REF!</v>
      </c>
      <c r="P23" s="31" t="str">
        <f>IF($O23="","",COUNTIF('Cruzamento - FxO'!$G$8:$G$107,$O23))</f>
        <v>#REF!</v>
      </c>
      <c r="Q23" s="31" t="str">
        <f>IF($O23="","",COUNTIFS('Cruzamento - FxO'!$G$8:$G$107,$O23,'Cruzamento - FxO'!$K$8:$K$107,"&lt;&gt;Atrasado"))</f>
        <v>#REF!</v>
      </c>
      <c r="R23" s="31" t="str">
        <f>IF($O23="","",COUNTIFS('Cruzamento - FxO'!$G$8:$G$107,$O23,'Cruzamento - FxO'!$K$8:$K$107,"=Atrasado"))</f>
        <v>#REF!</v>
      </c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</row>
    <row r="24" ht="34.5" customHeight="1">
      <c r="A24" s="1"/>
      <c r="G24" s="32"/>
      <c r="H24" s="32"/>
      <c r="I24" s="31"/>
      <c r="J24" s="31"/>
      <c r="K24" s="32" t="str">
        <f t="shared" si="7"/>
        <v>#REF!</v>
      </c>
      <c r="L24" s="32" t="str">
        <f t="shared" si="8"/>
        <v>#REF!</v>
      </c>
      <c r="M24" s="32" t="str">
        <f t="shared" si="9"/>
        <v>#REF!</v>
      </c>
      <c r="N24" s="32">
        <v>1.1E-4</v>
      </c>
      <c r="O24" s="31" t="str">
        <f t="shared" si="10"/>
        <v>#REF!</v>
      </c>
      <c r="P24" s="31" t="str">
        <f>IF($O24="","",COUNTIF('Cruzamento - FxO'!$G$8:$G$107,$O24))</f>
        <v>#REF!</v>
      </c>
      <c r="Q24" s="31" t="str">
        <f>IF($O24="","",COUNTIFS('Cruzamento - FxO'!$G$8:$G$107,$O24,'Cruzamento - FxO'!$K$8:$K$107,"&lt;&gt;Atrasado"))</f>
        <v>#REF!</v>
      </c>
      <c r="R24" s="31" t="str">
        <f>IF($O24="","",COUNTIFS('Cruzamento - FxO'!$G$8:$G$107,$O24,'Cruzamento - FxO'!$K$8:$K$107,"=Atrasado"))</f>
        <v>#REF!</v>
      </c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</row>
    <row r="25" ht="34.5" customHeight="1">
      <c r="A25" s="1"/>
      <c r="G25" s="32"/>
      <c r="H25" s="32"/>
      <c r="I25" s="31"/>
      <c r="J25" s="31"/>
      <c r="K25" s="32" t="str">
        <f t="shared" si="7"/>
        <v>#REF!</v>
      </c>
      <c r="L25" s="32" t="str">
        <f t="shared" si="8"/>
        <v>#REF!</v>
      </c>
      <c r="M25" s="32" t="str">
        <f t="shared" si="9"/>
        <v>#REF!</v>
      </c>
      <c r="N25" s="32">
        <v>1.0E-4</v>
      </c>
      <c r="O25" s="31" t="str">
        <f t="shared" si="10"/>
        <v>#REF!</v>
      </c>
      <c r="P25" s="31" t="str">
        <f>IF($O25="","",COUNTIF('Cruzamento - FxO'!$G$8:$G$107,$O25))</f>
        <v>#REF!</v>
      </c>
      <c r="Q25" s="31" t="str">
        <f>IF($O25="","",COUNTIFS('Cruzamento - FxO'!$G$8:$G$107,$O25,'Cruzamento - FxO'!$K$8:$K$107,"&lt;&gt;Atrasado"))</f>
        <v>#REF!</v>
      </c>
      <c r="R25" s="31" t="str">
        <f>IF($O25="","",COUNTIFS('Cruzamento - FxO'!$G$8:$G$107,$O25,'Cruzamento - FxO'!$K$8:$K$107,"=Atrasado"))</f>
        <v>#REF!</v>
      </c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</row>
    <row r="26" ht="34.5" customHeight="1">
      <c r="A26" s="1"/>
      <c r="B26" s="31"/>
      <c r="G26" s="32"/>
      <c r="H26" s="32"/>
      <c r="I26" s="31"/>
      <c r="J26" s="31"/>
      <c r="K26" s="32" t="str">
        <f t="shared" si="7"/>
        <v>#REF!</v>
      </c>
      <c r="L26" s="32" t="str">
        <f t="shared" si="8"/>
        <v>#REF!</v>
      </c>
      <c r="M26" s="32" t="str">
        <f t="shared" si="9"/>
        <v>#REF!</v>
      </c>
      <c r="N26" s="32">
        <v>9.0E-5</v>
      </c>
      <c r="O26" s="31" t="str">
        <f t="shared" si="10"/>
        <v>#REF!</v>
      </c>
      <c r="P26" s="31" t="str">
        <f>IF($O26="","",COUNTIF('Cruzamento - FxO'!$G$8:$G$107,$O26))</f>
        <v>#REF!</v>
      </c>
      <c r="Q26" s="31" t="str">
        <f>IF($O26="","",COUNTIFS('Cruzamento - FxO'!$G$8:$G$107,$O26,'Cruzamento - FxO'!$K$8:$K$107,"&lt;&gt;Atrasado"))</f>
        <v>#REF!</v>
      </c>
      <c r="R26" s="31" t="str">
        <f>IF($O26="","",COUNTIFS('Cruzamento - FxO'!$G$8:$G$107,$O26,'Cruzamento - FxO'!$K$8:$K$107,"=Atrasado"))</f>
        <v>#REF!</v>
      </c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</row>
    <row r="27" ht="34.5" customHeight="1">
      <c r="A27" s="1"/>
      <c r="B27" s="31"/>
      <c r="G27" s="32"/>
      <c r="H27" s="32"/>
      <c r="I27" s="31"/>
      <c r="J27" s="31"/>
      <c r="K27" s="32" t="str">
        <f t="shared" si="7"/>
        <v>#REF!</v>
      </c>
      <c r="L27" s="32" t="str">
        <f t="shared" si="8"/>
        <v>#REF!</v>
      </c>
      <c r="M27" s="32" t="str">
        <f t="shared" si="9"/>
        <v>#REF!</v>
      </c>
      <c r="N27" s="32">
        <v>8.0E-5</v>
      </c>
      <c r="O27" s="31" t="str">
        <f t="shared" si="10"/>
        <v>#REF!</v>
      </c>
      <c r="P27" s="31" t="str">
        <f>IF($O27="","",COUNTIF('Cruzamento - FxO'!$G$8:$G$107,$O27))</f>
        <v>#REF!</v>
      </c>
      <c r="Q27" s="31" t="str">
        <f>IF($O27="","",COUNTIFS('Cruzamento - FxO'!$G$8:$G$107,$O27,'Cruzamento - FxO'!$K$8:$K$107,"&lt;&gt;Atrasado"))</f>
        <v>#REF!</v>
      </c>
      <c r="R27" s="31" t="str">
        <f>IF($O27="","",COUNTIFS('Cruzamento - FxO'!$G$8:$G$107,$O27,'Cruzamento - FxO'!$K$8:$K$107,"=Atrasado"))</f>
        <v>#REF!</v>
      </c>
      <c r="S27" s="31"/>
      <c r="T27" s="31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</row>
    <row r="28" ht="34.5" customHeight="1">
      <c r="A28" s="1"/>
      <c r="B28" s="31"/>
      <c r="G28" s="32"/>
      <c r="H28" s="32"/>
      <c r="I28" s="31"/>
      <c r="J28" s="31"/>
      <c r="K28" s="32" t="str">
        <f t="shared" si="7"/>
        <v>#REF!</v>
      </c>
      <c r="L28" s="32" t="str">
        <f t="shared" si="8"/>
        <v>#REF!</v>
      </c>
      <c r="M28" s="32" t="str">
        <f t="shared" si="9"/>
        <v>#REF!</v>
      </c>
      <c r="N28" s="32">
        <v>7.0E-5</v>
      </c>
      <c r="O28" s="31" t="str">
        <f t="shared" si="10"/>
        <v>#REF!</v>
      </c>
      <c r="P28" s="31" t="str">
        <f>IF($O28="","",COUNTIF('Cruzamento - FxO'!$G$8:$G$107,$O28))</f>
        <v>#REF!</v>
      </c>
      <c r="Q28" s="31" t="str">
        <f>IF($O28="","",COUNTIFS('Cruzamento - FxO'!$G$8:$G$107,$O28,'Cruzamento - FxO'!$K$8:$K$107,"&lt;&gt;Atrasado"))</f>
        <v>#REF!</v>
      </c>
      <c r="R28" s="31" t="str">
        <f>IF($O28="","",COUNTIFS('Cruzamento - FxO'!$G$8:$G$107,$O28,'Cruzamento - FxO'!$K$8:$K$107,"=Atrasado"))</f>
        <v>#REF!</v>
      </c>
      <c r="S28" s="31"/>
      <c r="T28" s="31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</row>
    <row r="29" ht="34.5" customHeight="1">
      <c r="A29" s="1"/>
      <c r="B29" s="31"/>
      <c r="G29" s="32"/>
      <c r="H29" s="32"/>
      <c r="I29" s="31"/>
      <c r="J29" s="31"/>
      <c r="K29" s="32" t="str">
        <f t="shared" si="7"/>
        <v>#REF!</v>
      </c>
      <c r="L29" s="32" t="str">
        <f t="shared" si="8"/>
        <v>#REF!</v>
      </c>
      <c r="M29" s="32" t="str">
        <f t="shared" si="9"/>
        <v>#REF!</v>
      </c>
      <c r="N29" s="32">
        <v>6.0E-5</v>
      </c>
      <c r="O29" s="31" t="str">
        <f t="shared" si="10"/>
        <v>#REF!</v>
      </c>
      <c r="P29" s="31" t="str">
        <f>IF($O29="","",COUNTIF('Cruzamento - FxO'!$G$8:$G$107,$O29))</f>
        <v>#REF!</v>
      </c>
      <c r="Q29" s="31" t="str">
        <f>IF($O29="","",COUNTIFS('Cruzamento - FxO'!$G$8:$G$107,$O29,'Cruzamento - FxO'!$K$8:$K$107,"&lt;&gt;Atrasado"))</f>
        <v>#REF!</v>
      </c>
      <c r="R29" s="31" t="str">
        <f>IF($O29="","",COUNTIFS('Cruzamento - FxO'!$G$8:$G$107,$O29,'Cruzamento - FxO'!$K$8:$K$107,"=Atrasado"))</f>
        <v>#REF!</v>
      </c>
      <c r="S29" s="31"/>
      <c r="T29" s="31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</row>
    <row r="30" ht="34.5" customHeight="1">
      <c r="A30" s="1"/>
      <c r="B30" s="31"/>
      <c r="G30" s="32"/>
      <c r="H30" s="32"/>
      <c r="I30" s="31"/>
      <c r="J30" s="31"/>
      <c r="K30" s="32" t="str">
        <f t="shared" si="7"/>
        <v>#REF!</v>
      </c>
      <c r="L30" s="32" t="str">
        <f t="shared" si="8"/>
        <v>#REF!</v>
      </c>
      <c r="M30" s="32" t="str">
        <f t="shared" si="9"/>
        <v>#REF!</v>
      </c>
      <c r="N30" s="32">
        <v>5.0E-5</v>
      </c>
      <c r="O30" s="31" t="str">
        <f t="shared" si="10"/>
        <v>#REF!</v>
      </c>
      <c r="P30" s="31" t="str">
        <f>IF($O30="","",COUNTIF('Cruzamento - FxO'!$G$8:$G$107,$O30))</f>
        <v>#REF!</v>
      </c>
      <c r="Q30" s="31" t="str">
        <f>IF($O30="","",COUNTIFS('Cruzamento - FxO'!$G$8:$G$107,$O30,'Cruzamento - FxO'!$K$8:$K$107,"&lt;&gt;Atrasado"))</f>
        <v>#REF!</v>
      </c>
      <c r="R30" s="31" t="str">
        <f>IF($O30="","",COUNTIFS('Cruzamento - FxO'!$G$8:$G$107,$O30,'Cruzamento - FxO'!$K$8:$K$107,"=Atrasado"))</f>
        <v>#REF!</v>
      </c>
      <c r="S30" s="31"/>
      <c r="T30" s="31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</row>
    <row r="31" ht="34.5" customHeight="1">
      <c r="A31" s="1"/>
      <c r="B31" s="31"/>
      <c r="G31" s="32"/>
      <c r="H31" s="32"/>
      <c r="I31" s="31"/>
      <c r="J31" s="31"/>
      <c r="K31" s="32" t="str">
        <f t="shared" si="7"/>
        <v>#REF!</v>
      </c>
      <c r="L31" s="32" t="str">
        <f t="shared" si="8"/>
        <v>#REF!</v>
      </c>
      <c r="M31" s="32" t="str">
        <f t="shared" si="9"/>
        <v>#REF!</v>
      </c>
      <c r="N31" s="32">
        <v>4.0E-5</v>
      </c>
      <c r="O31" s="31" t="str">
        <f t="shared" si="10"/>
        <v>#REF!</v>
      </c>
      <c r="P31" s="31" t="str">
        <f>IF($O31="","",COUNTIF('Cruzamento - FxO'!$G$8:$G$107,$O31))</f>
        <v>#REF!</v>
      </c>
      <c r="Q31" s="31" t="str">
        <f>IF($O31="","",COUNTIFS('Cruzamento - FxO'!$G$8:$G$107,$O31,'Cruzamento - FxO'!$K$8:$K$107,"&lt;&gt;Atrasado"))</f>
        <v>#REF!</v>
      </c>
      <c r="R31" s="31" t="str">
        <f>IF($O31="","",COUNTIFS('Cruzamento - FxO'!$G$8:$G$107,$O31,'Cruzamento - FxO'!$K$8:$K$107,"=Atrasado"))</f>
        <v>#REF!</v>
      </c>
      <c r="S31" s="31"/>
      <c r="T31" s="31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</row>
    <row r="32" ht="34.5" customHeight="1">
      <c r="A32" s="1"/>
      <c r="B32" s="31"/>
      <c r="G32" s="32"/>
      <c r="H32" s="32"/>
      <c r="I32" s="31"/>
      <c r="J32" s="31"/>
      <c r="K32" s="32" t="str">
        <f t="shared" si="7"/>
        <v>#REF!</v>
      </c>
      <c r="L32" s="32" t="str">
        <f t="shared" si="8"/>
        <v>#REF!</v>
      </c>
      <c r="M32" s="32" t="str">
        <f t="shared" si="9"/>
        <v>#REF!</v>
      </c>
      <c r="N32" s="32">
        <v>3.0E-5</v>
      </c>
      <c r="O32" s="31" t="str">
        <f t="shared" si="10"/>
        <v>#REF!</v>
      </c>
      <c r="P32" s="31" t="str">
        <f>IF($O32="","",COUNTIF('Cruzamento - FxO'!$G$8:$G$107,$O32))</f>
        <v>#REF!</v>
      </c>
      <c r="Q32" s="31" t="str">
        <f>IF($O32="","",COUNTIFS('Cruzamento - FxO'!$G$8:$G$107,$O32,'Cruzamento - FxO'!$K$8:$K$107,"&lt;&gt;Atrasado"))</f>
        <v>#REF!</v>
      </c>
      <c r="R32" s="31" t="str">
        <f>IF($O32="","",COUNTIFS('Cruzamento - FxO'!$G$8:$G$107,$O32,'Cruzamento - FxO'!$K$8:$K$107,"=Atrasado"))</f>
        <v>#REF!</v>
      </c>
      <c r="S32" s="31"/>
      <c r="T32" s="31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</row>
    <row r="33" ht="78.0" customHeight="1">
      <c r="A33" s="1"/>
      <c r="B33" s="158"/>
      <c r="G33" s="32"/>
      <c r="H33" s="32"/>
      <c r="I33" s="31"/>
      <c r="J33" s="31"/>
      <c r="K33" s="32" t="str">
        <f t="shared" si="7"/>
        <v>#REF!</v>
      </c>
      <c r="L33" s="32" t="str">
        <f t="shared" si="8"/>
        <v>#REF!</v>
      </c>
      <c r="M33" s="32" t="str">
        <f t="shared" si="9"/>
        <v>#REF!</v>
      </c>
      <c r="N33" s="32">
        <v>2.0E-5</v>
      </c>
      <c r="O33" s="31" t="str">
        <f t="shared" si="10"/>
        <v>#REF!</v>
      </c>
      <c r="P33" s="31" t="str">
        <f>IF($O33="","",COUNTIF('Cruzamento - FxO'!$G$8:$G$107,$O33))</f>
        <v>#REF!</v>
      </c>
      <c r="Q33" s="31" t="str">
        <f>IF($O33="","",COUNTIFS('Cruzamento - FxO'!$G$8:$G$107,$O33,'Cruzamento - FxO'!$K$8:$K$107,"&lt;&gt;Atrasado"))</f>
        <v>#REF!</v>
      </c>
      <c r="R33" s="31" t="str">
        <f>IF($O33="","",COUNTIFS('Cruzamento - FxO'!$G$8:$G$107,$O33,'Cruzamento - FxO'!$K$8:$K$107,"=Atrasado"))</f>
        <v>#REF!</v>
      </c>
      <c r="S33" s="31"/>
      <c r="T33" s="31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</row>
    <row r="34" ht="45.0" customHeight="1">
      <c r="A34" s="1"/>
      <c r="B34" s="31"/>
      <c r="G34" s="32"/>
      <c r="H34" s="32"/>
      <c r="I34" s="31"/>
      <c r="J34" s="31"/>
      <c r="K34" s="32" t="str">
        <f t="shared" si="7"/>
        <v>#REF!</v>
      </c>
      <c r="L34" s="32" t="str">
        <f t="shared" si="8"/>
        <v>#REF!</v>
      </c>
      <c r="M34" s="32" t="str">
        <f t="shared" si="9"/>
        <v>#REF!</v>
      </c>
      <c r="N34" s="32">
        <v>1.0E-5</v>
      </c>
      <c r="O34" s="31" t="str">
        <f t="shared" si="10"/>
        <v>#REF!</v>
      </c>
      <c r="P34" s="31" t="str">
        <f>IF($O34="","",COUNTIF('Cruzamento - FxO'!$G$8:$G$107,$O34))</f>
        <v>#REF!</v>
      </c>
      <c r="Q34" s="31" t="str">
        <f>IF($O34="","",COUNTIFS('Cruzamento - FxO'!$G$8:$G$107,$O34,'Cruzamento - FxO'!$K$8:$K$107,"&lt;&gt;Atrasado"))</f>
        <v>#REF!</v>
      </c>
      <c r="R34" s="31" t="str">
        <f>IF($O34="","",COUNTIFS('Cruzamento - FxO'!$G$8:$G$107,$O34,'Cruzamento - FxO'!$K$8:$K$107,"=Atrasado"))</f>
        <v>#REF!</v>
      </c>
      <c r="S34" s="31"/>
      <c r="T34" s="31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</row>
    <row r="35" ht="37.5" customHeight="1">
      <c r="A35" s="1"/>
      <c r="B35" s="31"/>
      <c r="G35" s="32"/>
      <c r="H35" s="32"/>
      <c r="I35" s="31"/>
      <c r="J35" s="31"/>
      <c r="K35" s="31"/>
      <c r="L35" s="31"/>
      <c r="M35" s="31"/>
      <c r="N35" s="31"/>
      <c r="O35" s="31"/>
      <c r="P35" s="49"/>
      <c r="Q35" s="31"/>
      <c r="S35" s="31"/>
      <c r="T35" s="31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</row>
    <row r="36" ht="37.5" customHeight="1">
      <c r="A36" s="1"/>
      <c r="B36" s="31"/>
      <c r="G36" s="32"/>
      <c r="H36" s="32"/>
      <c r="I36" s="31"/>
      <c r="J36" s="31"/>
      <c r="K36" s="31"/>
      <c r="L36" s="31"/>
      <c r="M36" s="31"/>
      <c r="N36" s="31"/>
      <c r="O36" s="31"/>
      <c r="P36" s="49"/>
      <c r="Q36" s="31"/>
      <c r="S36" s="31"/>
      <c r="T36" s="31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</row>
    <row r="37" ht="37.5" customHeight="1">
      <c r="A37" s="1"/>
      <c r="B37" s="31"/>
      <c r="G37" s="32"/>
      <c r="H37" s="32"/>
      <c r="I37" s="31"/>
      <c r="J37" s="31"/>
      <c r="K37" s="31"/>
      <c r="L37" s="31"/>
      <c r="M37" s="31"/>
      <c r="N37" s="31"/>
      <c r="O37" s="31"/>
      <c r="P37" s="49"/>
      <c r="Q37" s="31"/>
      <c r="S37" s="31"/>
      <c r="T37" s="31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</row>
    <row r="38" ht="37.5" customHeight="1">
      <c r="A38" s="1"/>
      <c r="B38" s="31"/>
      <c r="G38" s="32"/>
      <c r="H38" s="32"/>
      <c r="I38" s="31"/>
      <c r="J38" s="31"/>
      <c r="K38" s="31"/>
      <c r="L38" s="31"/>
      <c r="M38" s="31"/>
      <c r="N38" s="31"/>
      <c r="O38" s="31"/>
      <c r="P38" s="49"/>
      <c r="Q38" s="31"/>
      <c r="S38" s="31"/>
      <c r="T38" s="31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</row>
    <row r="39" ht="15.75" customHeight="1">
      <c r="A39" s="1"/>
      <c r="D39" s="58"/>
      <c r="F39" s="58"/>
      <c r="G39" s="32"/>
      <c r="H39" s="32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</row>
    <row r="40" ht="15.75" customHeight="1">
      <c r="A40" s="1"/>
      <c r="D40" s="58"/>
      <c r="F40" s="58"/>
      <c r="G40" s="32"/>
      <c r="H40" s="32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</row>
    <row r="41" ht="15.75" customHeight="1">
      <c r="A41" s="1"/>
      <c r="D41" s="58"/>
      <c r="F41" s="58"/>
      <c r="G41" s="32"/>
      <c r="H41" s="32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</row>
    <row r="42" ht="15.75" customHeight="1">
      <c r="A42" s="1"/>
      <c r="D42" s="58"/>
      <c r="F42" s="58"/>
      <c r="G42" s="32"/>
      <c r="H42" s="32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</row>
    <row r="43" ht="15.75" customHeight="1">
      <c r="A43" s="1"/>
      <c r="D43" s="58"/>
      <c r="F43" s="58"/>
      <c r="G43" s="32"/>
      <c r="H43" s="32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</row>
    <row r="44" ht="15.75" customHeight="1">
      <c r="A44" s="1"/>
      <c r="D44" s="58"/>
      <c r="F44" s="58"/>
      <c r="G44" s="32"/>
      <c r="H44" s="32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</row>
    <row r="45" ht="15.75" customHeight="1">
      <c r="A45" s="1"/>
      <c r="D45" s="58"/>
      <c r="F45" s="58"/>
      <c r="G45" s="32"/>
      <c r="H45" s="32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</row>
    <row r="46" ht="15.75" customHeight="1">
      <c r="A46" s="1"/>
      <c r="D46" s="58"/>
      <c r="F46" s="58"/>
      <c r="G46" s="32"/>
      <c r="H46" s="32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</row>
    <row r="47" ht="15.75" customHeight="1">
      <c r="A47" s="1"/>
      <c r="D47" s="58"/>
      <c r="F47" s="58"/>
      <c r="G47" s="32"/>
      <c r="H47" s="32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</row>
    <row r="48" ht="15.75" customHeight="1">
      <c r="A48" s="1"/>
      <c r="D48" s="58"/>
      <c r="F48" s="58"/>
      <c r="G48" s="32"/>
      <c r="H48" s="32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</row>
    <row r="49" ht="15.75" customHeight="1">
      <c r="A49" s="1"/>
      <c r="D49" s="58"/>
      <c r="F49" s="58"/>
      <c r="G49" s="32"/>
      <c r="H49" s="32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</row>
    <row r="50" ht="15.75" customHeight="1">
      <c r="A50" s="1"/>
      <c r="D50" s="58"/>
      <c r="F50" s="58"/>
      <c r="G50" s="32"/>
      <c r="H50" s="32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</row>
    <row r="51" ht="15.75" customHeight="1">
      <c r="A51" s="1"/>
      <c r="D51" s="58"/>
      <c r="F51" s="58"/>
      <c r="G51" s="32"/>
      <c r="H51" s="32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</row>
    <row r="52" ht="15.75" customHeight="1">
      <c r="A52" s="1"/>
      <c r="D52" s="58"/>
      <c r="F52" s="58"/>
      <c r="G52" s="32"/>
      <c r="H52" s="32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</row>
    <row r="53" ht="15.75" customHeight="1">
      <c r="A53" s="1"/>
      <c r="D53" s="58"/>
      <c r="F53" s="58"/>
      <c r="G53" s="32"/>
      <c r="H53" s="32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</row>
    <row r="54" ht="15.75" customHeight="1">
      <c r="A54" s="1"/>
      <c r="D54" s="58"/>
      <c r="F54" s="58"/>
      <c r="G54" s="32"/>
      <c r="H54" s="32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</row>
    <row r="55" ht="15.75" customHeight="1">
      <c r="A55" s="1"/>
      <c r="D55" s="58"/>
      <c r="F55" s="58"/>
      <c r="G55" s="32"/>
      <c r="H55" s="32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</row>
    <row r="56" ht="15.75" customHeight="1">
      <c r="A56" s="1"/>
      <c r="D56" s="58"/>
      <c r="F56" s="58"/>
      <c r="G56" s="32"/>
      <c r="H56" s="32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</row>
    <row r="57" ht="15.75" customHeight="1">
      <c r="A57" s="1"/>
      <c r="D57" s="58"/>
      <c r="F57" s="58"/>
      <c r="G57" s="32"/>
      <c r="H57" s="32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</row>
    <row r="58" ht="15.75" customHeight="1">
      <c r="A58" s="1"/>
      <c r="D58" s="58"/>
      <c r="F58" s="58"/>
      <c r="G58" s="32"/>
      <c r="H58" s="32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</row>
    <row r="59" ht="15.75" customHeight="1">
      <c r="A59" s="1"/>
      <c r="D59" s="58"/>
      <c r="F59" s="58"/>
      <c r="G59" s="32"/>
      <c r="H59" s="32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</row>
    <row r="60" ht="15.75" customHeight="1">
      <c r="A60" s="1"/>
      <c r="D60" s="58"/>
      <c r="F60" s="58"/>
      <c r="G60" s="32"/>
      <c r="H60" s="32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</row>
    <row r="61" ht="15.75" customHeight="1">
      <c r="A61" s="1"/>
      <c r="D61" s="58"/>
      <c r="F61" s="58"/>
      <c r="G61" s="32"/>
      <c r="H61" s="32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</row>
    <row r="62" ht="15.75" customHeight="1">
      <c r="A62" s="1"/>
      <c r="D62" s="58"/>
      <c r="F62" s="58"/>
      <c r="G62" s="32"/>
      <c r="H62" s="32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</row>
    <row r="63" ht="15.75" customHeight="1">
      <c r="A63" s="1"/>
      <c r="D63" s="58"/>
      <c r="F63" s="58"/>
      <c r="G63" s="32"/>
      <c r="H63" s="32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</row>
    <row r="64" ht="15.75" customHeight="1">
      <c r="A64" s="1"/>
      <c r="D64" s="58"/>
      <c r="F64" s="58"/>
      <c r="G64" s="32"/>
      <c r="H64" s="32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</row>
    <row r="65" ht="15.75" customHeight="1">
      <c r="A65" s="1"/>
      <c r="D65" s="58"/>
      <c r="F65" s="58"/>
      <c r="G65" s="32"/>
      <c r="H65" s="32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</row>
    <row r="66" ht="15.75" customHeight="1">
      <c r="A66" s="1"/>
      <c r="D66" s="58"/>
      <c r="F66" s="58"/>
      <c r="G66" s="32"/>
      <c r="H66" s="32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</row>
    <row r="67" ht="15.75" customHeight="1">
      <c r="A67" s="1"/>
      <c r="D67" s="58"/>
      <c r="F67" s="58"/>
      <c r="G67" s="32"/>
      <c r="H67" s="32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</row>
    <row r="68" ht="15.75" customHeight="1">
      <c r="A68" s="1"/>
      <c r="D68" s="58"/>
      <c r="F68" s="58"/>
      <c r="G68" s="32"/>
      <c r="H68" s="32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</row>
    <row r="69" ht="15.75" customHeight="1">
      <c r="A69" s="1"/>
      <c r="D69" s="58"/>
      <c r="F69" s="58"/>
      <c r="G69" s="32"/>
      <c r="H69" s="32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</row>
    <row r="70" ht="15.75" customHeight="1">
      <c r="A70" s="1"/>
      <c r="D70" s="58"/>
      <c r="F70" s="58"/>
      <c r="G70" s="32"/>
      <c r="H70" s="32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</row>
    <row r="71" ht="15.75" customHeight="1">
      <c r="A71" s="1"/>
      <c r="D71" s="58"/>
      <c r="F71" s="58"/>
      <c r="G71" s="32"/>
      <c r="H71" s="32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</row>
    <row r="72" ht="15.75" customHeight="1">
      <c r="A72" s="1"/>
      <c r="D72" s="58"/>
      <c r="F72" s="58"/>
      <c r="G72" s="32"/>
      <c r="H72" s="32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</row>
    <row r="73" ht="15.75" customHeight="1">
      <c r="A73" s="1"/>
      <c r="D73" s="58"/>
      <c r="F73" s="58"/>
      <c r="G73" s="32"/>
      <c r="H73" s="32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</row>
    <row r="74" ht="15.75" customHeight="1">
      <c r="A74" s="1"/>
      <c r="D74" s="58"/>
      <c r="F74" s="58"/>
      <c r="G74" s="32"/>
      <c r="H74" s="32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</row>
    <row r="75" ht="15.75" customHeight="1">
      <c r="A75" s="1"/>
      <c r="D75" s="58"/>
      <c r="F75" s="58"/>
      <c r="G75" s="32"/>
      <c r="H75" s="32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</row>
    <row r="76" ht="15.75" customHeight="1">
      <c r="A76" s="1"/>
      <c r="D76" s="58"/>
      <c r="F76" s="58"/>
      <c r="G76" s="32"/>
      <c r="H76" s="32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</row>
    <row r="77" ht="15.75" customHeight="1">
      <c r="A77" s="1"/>
      <c r="D77" s="58"/>
      <c r="F77" s="58"/>
      <c r="G77" s="32"/>
      <c r="H77" s="32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</row>
    <row r="78" ht="15.75" customHeight="1">
      <c r="A78" s="1"/>
      <c r="D78" s="58"/>
      <c r="F78" s="58"/>
      <c r="G78" s="32"/>
      <c r="H78" s="32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</row>
    <row r="79" ht="15.75" customHeight="1">
      <c r="A79" s="1"/>
      <c r="D79" s="58"/>
      <c r="F79" s="58"/>
      <c r="G79" s="32"/>
      <c r="H79" s="32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</row>
    <row r="80" ht="15.75" customHeight="1">
      <c r="A80" s="1"/>
      <c r="D80" s="58"/>
      <c r="F80" s="58"/>
      <c r="G80" s="32"/>
      <c r="H80" s="32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</row>
    <row r="81" ht="15.75" customHeight="1">
      <c r="A81" s="1"/>
      <c r="D81" s="58"/>
      <c r="F81" s="58"/>
      <c r="G81" s="32"/>
      <c r="H81" s="32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</row>
    <row r="82" ht="15.75" customHeight="1">
      <c r="A82" s="1"/>
      <c r="D82" s="58"/>
      <c r="F82" s="58"/>
      <c r="G82" s="32"/>
      <c r="H82" s="32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</row>
    <row r="83" ht="15.75" customHeight="1">
      <c r="A83" s="1"/>
      <c r="D83" s="58"/>
      <c r="F83" s="58"/>
      <c r="G83" s="32"/>
      <c r="H83" s="32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</row>
    <row r="84" ht="15.75" customHeight="1">
      <c r="A84" s="1"/>
      <c r="D84" s="58"/>
      <c r="F84" s="58"/>
      <c r="G84" s="32"/>
      <c r="H84" s="32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</row>
    <row r="85" ht="15.75" customHeight="1">
      <c r="A85" s="1"/>
      <c r="D85" s="58"/>
      <c r="F85" s="58"/>
      <c r="G85" s="32"/>
      <c r="H85" s="32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</row>
    <row r="86" ht="15.75" customHeight="1">
      <c r="A86" s="1"/>
      <c r="D86" s="58"/>
      <c r="F86" s="58"/>
      <c r="G86" s="32"/>
      <c r="H86" s="32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</row>
    <row r="87" ht="15.75" customHeight="1">
      <c r="A87" s="1"/>
      <c r="D87" s="58"/>
      <c r="F87" s="58"/>
      <c r="G87" s="32"/>
      <c r="H87" s="32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</row>
    <row r="88" ht="15.75" customHeight="1">
      <c r="A88" s="1"/>
      <c r="D88" s="58"/>
      <c r="F88" s="58"/>
      <c r="G88" s="32"/>
      <c r="H88" s="32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</row>
    <row r="89" ht="15.75" customHeight="1">
      <c r="A89" s="1"/>
      <c r="D89" s="58"/>
      <c r="F89" s="58"/>
      <c r="G89" s="32"/>
      <c r="H89" s="32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</row>
    <row r="90" ht="15.75" customHeight="1">
      <c r="A90" s="1"/>
      <c r="D90" s="58"/>
      <c r="F90" s="58"/>
      <c r="G90" s="32"/>
      <c r="H90" s="32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</row>
    <row r="91" ht="15.75" customHeight="1">
      <c r="A91" s="1"/>
      <c r="D91" s="58"/>
      <c r="F91" s="58"/>
      <c r="G91" s="32"/>
      <c r="H91" s="32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</row>
    <row r="92" ht="15.75" customHeight="1">
      <c r="A92" s="1"/>
      <c r="D92" s="58"/>
      <c r="F92" s="58"/>
      <c r="G92" s="32"/>
      <c r="H92" s="32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</row>
    <row r="93" ht="15.75" customHeight="1">
      <c r="A93" s="1"/>
      <c r="D93" s="58"/>
      <c r="F93" s="58"/>
      <c r="G93" s="32"/>
      <c r="H93" s="32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</row>
    <row r="94" ht="15.75" customHeight="1">
      <c r="A94" s="1"/>
      <c r="D94" s="58"/>
      <c r="F94" s="58"/>
      <c r="G94" s="32"/>
      <c r="H94" s="32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</row>
    <row r="95" ht="15.75" customHeight="1">
      <c r="A95" s="1"/>
      <c r="D95" s="58"/>
      <c r="F95" s="58"/>
      <c r="G95" s="32"/>
      <c r="H95" s="32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</row>
    <row r="96" ht="15.75" customHeight="1">
      <c r="A96" s="1"/>
      <c r="D96" s="58"/>
      <c r="F96" s="58"/>
      <c r="G96" s="32"/>
      <c r="H96" s="32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</row>
    <row r="97" ht="15.75" customHeight="1">
      <c r="A97" s="1"/>
      <c r="D97" s="58"/>
      <c r="F97" s="58"/>
      <c r="G97" s="32"/>
      <c r="H97" s="32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</row>
    <row r="98" ht="15.75" customHeight="1">
      <c r="A98" s="1"/>
      <c r="D98" s="58"/>
      <c r="F98" s="58"/>
      <c r="G98" s="32"/>
      <c r="H98" s="32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</row>
    <row r="99" ht="15.75" customHeight="1">
      <c r="A99" s="1"/>
      <c r="D99" s="58"/>
      <c r="F99" s="58"/>
      <c r="G99" s="32"/>
      <c r="H99" s="32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</row>
    <row r="100" ht="15.75" customHeight="1">
      <c r="A100" s="1"/>
      <c r="D100" s="58"/>
      <c r="F100" s="58"/>
      <c r="G100" s="32"/>
      <c r="H100" s="32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</row>
    <row r="101" ht="15.75" customHeight="1">
      <c r="A101" s="1"/>
      <c r="D101" s="58"/>
      <c r="F101" s="58"/>
      <c r="G101" s="32"/>
      <c r="H101" s="32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</row>
    <row r="102" ht="15.75" customHeight="1">
      <c r="A102" s="1"/>
      <c r="D102" s="58"/>
      <c r="F102" s="58"/>
      <c r="G102" s="32"/>
      <c r="H102" s="32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</row>
    <row r="103" ht="15.75" customHeight="1">
      <c r="A103" s="1"/>
      <c r="D103" s="58"/>
      <c r="F103" s="58"/>
      <c r="G103" s="32"/>
      <c r="H103" s="32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</row>
    <row r="104" ht="15.75" customHeight="1">
      <c r="A104" s="1"/>
      <c r="D104" s="58"/>
      <c r="F104" s="58"/>
      <c r="G104" s="32"/>
      <c r="H104" s="32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</row>
    <row r="105" ht="15.75" customHeight="1">
      <c r="A105" s="1"/>
      <c r="D105" s="58"/>
      <c r="F105" s="58"/>
      <c r="G105" s="32"/>
      <c r="H105" s="32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</row>
    <row r="106" ht="15.75" customHeight="1">
      <c r="A106" s="1"/>
      <c r="D106" s="58"/>
      <c r="F106" s="58"/>
      <c r="G106" s="32"/>
      <c r="H106" s="32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</row>
    <row r="107" ht="15.75" customHeight="1">
      <c r="A107" s="1"/>
      <c r="D107" s="58"/>
      <c r="F107" s="58"/>
      <c r="G107" s="32"/>
      <c r="H107" s="32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</row>
    <row r="108" ht="15.75" customHeight="1">
      <c r="A108" s="1"/>
      <c r="D108" s="58"/>
      <c r="F108" s="58"/>
      <c r="G108" s="32"/>
      <c r="H108" s="32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</row>
    <row r="109" ht="15.75" customHeight="1">
      <c r="A109" s="1"/>
      <c r="D109" s="58"/>
      <c r="F109" s="58"/>
      <c r="G109" s="32"/>
      <c r="H109" s="32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</row>
    <row r="110" ht="15.75" customHeight="1">
      <c r="A110" s="1"/>
      <c r="D110" s="58"/>
      <c r="F110" s="58"/>
      <c r="G110" s="32"/>
      <c r="H110" s="32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</row>
    <row r="111" ht="15.75" customHeight="1">
      <c r="A111" s="1"/>
      <c r="D111" s="58"/>
      <c r="F111" s="58"/>
      <c r="G111" s="32"/>
      <c r="H111" s="32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</row>
    <row r="112" ht="15.75" customHeight="1">
      <c r="A112" s="1"/>
      <c r="D112" s="58"/>
      <c r="F112" s="58"/>
      <c r="G112" s="32"/>
      <c r="H112" s="32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</row>
    <row r="113" ht="15.75" customHeight="1">
      <c r="A113" s="1"/>
      <c r="D113" s="58"/>
      <c r="F113" s="58"/>
      <c r="G113" s="32"/>
      <c r="H113" s="32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</row>
    <row r="114" ht="15.75" customHeight="1">
      <c r="A114" s="1"/>
      <c r="D114" s="58"/>
      <c r="F114" s="58"/>
      <c r="G114" s="32"/>
      <c r="H114" s="32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</row>
    <row r="115" ht="15.75" customHeight="1">
      <c r="A115" s="1"/>
      <c r="D115" s="58"/>
      <c r="F115" s="58"/>
      <c r="G115" s="32"/>
      <c r="H115" s="32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</row>
    <row r="116" ht="15.75" customHeight="1">
      <c r="A116" s="1"/>
      <c r="D116" s="58"/>
      <c r="F116" s="58"/>
      <c r="G116" s="32"/>
      <c r="H116" s="32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</row>
    <row r="117" ht="15.75" customHeight="1">
      <c r="A117" s="1"/>
      <c r="D117" s="58"/>
      <c r="F117" s="58"/>
      <c r="G117" s="32"/>
      <c r="H117" s="32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</row>
    <row r="118" ht="15.75" customHeight="1">
      <c r="A118" s="1"/>
      <c r="D118" s="58"/>
      <c r="F118" s="58"/>
      <c r="G118" s="32"/>
      <c r="H118" s="32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</row>
    <row r="119" ht="15.75" customHeight="1">
      <c r="A119" s="1"/>
      <c r="D119" s="58"/>
      <c r="F119" s="58"/>
      <c r="G119" s="32"/>
      <c r="H119" s="32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</row>
    <row r="120" ht="15.75" customHeight="1">
      <c r="A120" s="1"/>
      <c r="D120" s="58"/>
      <c r="F120" s="58"/>
      <c r="G120" s="32"/>
      <c r="H120" s="32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</row>
    <row r="121" ht="15.75" customHeight="1">
      <c r="A121" s="1"/>
      <c r="D121" s="58"/>
      <c r="F121" s="58"/>
      <c r="G121" s="32"/>
      <c r="H121" s="32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</row>
    <row r="122" ht="15.75" customHeight="1">
      <c r="A122" s="1"/>
      <c r="D122" s="58"/>
      <c r="F122" s="58"/>
      <c r="G122" s="32"/>
      <c r="H122" s="32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</row>
    <row r="123" ht="15.75" customHeight="1">
      <c r="A123" s="1"/>
      <c r="D123" s="58"/>
      <c r="F123" s="58"/>
      <c r="G123" s="32"/>
      <c r="H123" s="32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</row>
    <row r="124" ht="15.75" customHeight="1">
      <c r="A124" s="1"/>
      <c r="D124" s="58"/>
      <c r="F124" s="58"/>
      <c r="G124" s="32"/>
      <c r="H124" s="32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</row>
    <row r="125" ht="15.75" customHeight="1">
      <c r="A125" s="1"/>
      <c r="D125" s="58"/>
      <c r="F125" s="58"/>
      <c r="G125" s="32"/>
      <c r="H125" s="32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</row>
    <row r="126" ht="15.75" customHeight="1">
      <c r="A126" s="1"/>
      <c r="D126" s="58"/>
      <c r="F126" s="58"/>
      <c r="G126" s="32"/>
      <c r="H126" s="32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</row>
    <row r="127" ht="15.75" customHeight="1">
      <c r="A127" s="1"/>
      <c r="D127" s="58"/>
      <c r="F127" s="58"/>
      <c r="G127" s="32"/>
      <c r="H127" s="32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</row>
    <row r="128" ht="15.75" customHeight="1">
      <c r="A128" s="1"/>
      <c r="D128" s="58"/>
      <c r="F128" s="58"/>
      <c r="G128" s="32"/>
      <c r="H128" s="32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</row>
    <row r="129" ht="15.75" customHeight="1">
      <c r="A129" s="1"/>
      <c r="D129" s="58"/>
      <c r="F129" s="58"/>
      <c r="G129" s="32"/>
      <c r="H129" s="32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</row>
    <row r="130" ht="15.75" customHeight="1">
      <c r="A130" s="1"/>
      <c r="D130" s="58"/>
      <c r="F130" s="58"/>
      <c r="G130" s="32"/>
      <c r="H130" s="32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</row>
    <row r="131" ht="15.75" customHeight="1">
      <c r="A131" s="1"/>
      <c r="D131" s="58"/>
      <c r="F131" s="58"/>
      <c r="G131" s="32"/>
      <c r="H131" s="32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</row>
    <row r="132" ht="15.75" customHeight="1">
      <c r="A132" s="1"/>
      <c r="D132" s="58"/>
      <c r="F132" s="58"/>
      <c r="G132" s="32"/>
      <c r="H132" s="32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</row>
    <row r="133" ht="15.75" customHeight="1">
      <c r="A133" s="1"/>
      <c r="D133" s="58"/>
      <c r="F133" s="58"/>
      <c r="G133" s="32"/>
      <c r="H133" s="32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</row>
    <row r="134" ht="15.75" customHeight="1">
      <c r="A134" s="1"/>
      <c r="D134" s="58"/>
      <c r="F134" s="58"/>
      <c r="G134" s="32"/>
      <c r="H134" s="32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</row>
    <row r="135" ht="15.75" customHeight="1">
      <c r="A135" s="1"/>
      <c r="D135" s="58"/>
      <c r="F135" s="58"/>
      <c r="G135" s="32"/>
      <c r="H135" s="32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</row>
    <row r="136" ht="15.75" customHeight="1">
      <c r="A136" s="1"/>
      <c r="D136" s="58"/>
      <c r="F136" s="58"/>
      <c r="G136" s="32"/>
      <c r="H136" s="32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</row>
    <row r="137" ht="15.75" customHeight="1">
      <c r="A137" s="1"/>
      <c r="D137" s="58"/>
      <c r="F137" s="58"/>
      <c r="G137" s="32"/>
      <c r="H137" s="32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</row>
    <row r="138" ht="15.75" customHeight="1">
      <c r="A138" s="1"/>
      <c r="D138" s="58"/>
      <c r="F138" s="58"/>
      <c r="G138" s="32"/>
      <c r="H138" s="32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</row>
    <row r="139" ht="15.75" customHeight="1">
      <c r="A139" s="1"/>
      <c r="D139" s="58"/>
      <c r="F139" s="58"/>
      <c r="G139" s="32"/>
      <c r="H139" s="32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</row>
    <row r="140" ht="15.75" customHeight="1">
      <c r="A140" s="1"/>
      <c r="D140" s="58"/>
      <c r="F140" s="58"/>
      <c r="G140" s="32"/>
      <c r="H140" s="32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</row>
    <row r="141" ht="15.75" customHeight="1">
      <c r="A141" s="1"/>
      <c r="D141" s="58"/>
      <c r="F141" s="58"/>
      <c r="G141" s="32"/>
      <c r="H141" s="32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</row>
    <row r="142" ht="15.75" customHeight="1">
      <c r="A142" s="1"/>
      <c r="D142" s="58"/>
      <c r="F142" s="58"/>
      <c r="G142" s="32"/>
      <c r="H142" s="32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</row>
    <row r="143" ht="15.75" customHeight="1">
      <c r="A143" s="1"/>
      <c r="D143" s="58"/>
      <c r="F143" s="58"/>
      <c r="G143" s="32"/>
      <c r="H143" s="32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</row>
    <row r="144" ht="15.75" customHeight="1">
      <c r="A144" s="1"/>
      <c r="D144" s="58"/>
      <c r="F144" s="58"/>
      <c r="G144" s="32"/>
      <c r="H144" s="32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</row>
    <row r="145" ht="15.75" customHeight="1">
      <c r="A145" s="1"/>
      <c r="D145" s="58"/>
      <c r="F145" s="58"/>
      <c r="G145" s="32"/>
      <c r="H145" s="32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</row>
    <row r="146" ht="15.75" customHeight="1">
      <c r="A146" s="1"/>
      <c r="D146" s="58"/>
      <c r="F146" s="58"/>
      <c r="G146" s="32"/>
      <c r="H146" s="32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</row>
    <row r="147" ht="15.75" customHeight="1">
      <c r="A147" s="1"/>
      <c r="D147" s="58"/>
      <c r="F147" s="58"/>
      <c r="G147" s="32"/>
      <c r="H147" s="32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</row>
    <row r="148" ht="15.75" customHeight="1">
      <c r="A148" s="1"/>
      <c r="D148" s="58"/>
      <c r="F148" s="58"/>
      <c r="G148" s="32"/>
      <c r="H148" s="32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</row>
    <row r="149" ht="15.75" customHeight="1">
      <c r="A149" s="1"/>
      <c r="D149" s="58"/>
      <c r="F149" s="58"/>
      <c r="G149" s="32"/>
      <c r="H149" s="32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</row>
    <row r="150" ht="15.75" customHeight="1">
      <c r="A150" s="1"/>
      <c r="D150" s="58"/>
      <c r="F150" s="58"/>
      <c r="G150" s="32"/>
      <c r="H150" s="32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</row>
    <row r="151" ht="15.75" customHeight="1">
      <c r="A151" s="1"/>
      <c r="D151" s="58"/>
      <c r="F151" s="58"/>
      <c r="G151" s="32"/>
      <c r="H151" s="32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</row>
    <row r="152" ht="15.75" customHeight="1">
      <c r="A152" s="1"/>
      <c r="D152" s="58"/>
      <c r="F152" s="58"/>
      <c r="G152" s="32"/>
      <c r="H152" s="32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</row>
    <row r="153" ht="15.75" customHeight="1">
      <c r="A153" s="1"/>
      <c r="D153" s="58"/>
      <c r="F153" s="58"/>
      <c r="G153" s="32"/>
      <c r="H153" s="32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</row>
    <row r="154" ht="15.75" customHeight="1">
      <c r="A154" s="1"/>
      <c r="D154" s="58"/>
      <c r="F154" s="58"/>
      <c r="G154" s="32"/>
      <c r="H154" s="32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</row>
    <row r="155" ht="15.75" customHeight="1">
      <c r="A155" s="1"/>
      <c r="D155" s="58"/>
      <c r="F155" s="58"/>
      <c r="G155" s="32"/>
      <c r="H155" s="32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</row>
    <row r="156" ht="15.75" customHeight="1">
      <c r="A156" s="1"/>
      <c r="D156" s="58"/>
      <c r="F156" s="58"/>
      <c r="G156" s="32"/>
      <c r="H156" s="32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</row>
    <row r="157" ht="15.75" customHeight="1">
      <c r="A157" s="1"/>
      <c r="D157" s="58"/>
      <c r="F157" s="58"/>
      <c r="G157" s="32"/>
      <c r="H157" s="32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</row>
    <row r="158" ht="15.75" customHeight="1">
      <c r="A158" s="1"/>
      <c r="D158" s="58"/>
      <c r="F158" s="58"/>
      <c r="G158" s="32"/>
      <c r="H158" s="32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</row>
    <row r="159" ht="15.75" customHeight="1">
      <c r="A159" s="1"/>
      <c r="D159" s="58"/>
      <c r="F159" s="58"/>
      <c r="G159" s="32"/>
      <c r="H159" s="32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</row>
    <row r="160" ht="15.75" customHeight="1">
      <c r="A160" s="1"/>
      <c r="D160" s="58"/>
      <c r="F160" s="58"/>
      <c r="G160" s="32"/>
      <c r="H160" s="32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</row>
    <row r="161" ht="15.75" customHeight="1">
      <c r="A161" s="1"/>
      <c r="D161" s="58"/>
      <c r="F161" s="58"/>
      <c r="G161" s="32"/>
      <c r="H161" s="32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</row>
    <row r="162" ht="15.75" customHeight="1">
      <c r="A162" s="1"/>
      <c r="D162" s="58"/>
      <c r="F162" s="58"/>
      <c r="G162" s="32"/>
      <c r="H162" s="32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</row>
    <row r="163" ht="15.75" customHeight="1">
      <c r="A163" s="1"/>
      <c r="D163" s="58"/>
      <c r="F163" s="58"/>
      <c r="G163" s="32"/>
      <c r="H163" s="32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</row>
    <row r="164" ht="15.75" customHeight="1">
      <c r="A164" s="1"/>
      <c r="D164" s="58"/>
      <c r="F164" s="58"/>
      <c r="G164" s="32"/>
      <c r="H164" s="32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</row>
    <row r="165" ht="15.75" customHeight="1">
      <c r="A165" s="1"/>
      <c r="D165" s="58"/>
      <c r="F165" s="58"/>
      <c r="G165" s="32"/>
      <c r="H165" s="32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</row>
    <row r="166" ht="15.75" customHeight="1">
      <c r="A166" s="1"/>
      <c r="D166" s="58"/>
      <c r="F166" s="58"/>
      <c r="G166" s="32"/>
      <c r="H166" s="32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</row>
    <row r="167" ht="15.75" customHeight="1">
      <c r="A167" s="1"/>
      <c r="D167" s="58"/>
      <c r="F167" s="58"/>
      <c r="G167" s="32"/>
      <c r="H167" s="32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</row>
    <row r="168" ht="15.75" customHeight="1">
      <c r="A168" s="1"/>
      <c r="D168" s="58"/>
      <c r="F168" s="58"/>
      <c r="G168" s="32"/>
      <c r="H168" s="32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</row>
    <row r="169" ht="15.75" customHeight="1">
      <c r="A169" s="1"/>
      <c r="D169" s="58"/>
      <c r="F169" s="58"/>
      <c r="G169" s="32"/>
      <c r="H169" s="32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</row>
    <row r="170" ht="15.75" customHeight="1">
      <c r="A170" s="1"/>
      <c r="D170" s="58"/>
      <c r="F170" s="58"/>
      <c r="G170" s="32"/>
      <c r="H170" s="32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</row>
    <row r="171" ht="15.75" customHeight="1">
      <c r="A171" s="1"/>
      <c r="D171" s="58"/>
      <c r="F171" s="58"/>
      <c r="G171" s="32"/>
      <c r="H171" s="32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</row>
    <row r="172" ht="15.75" customHeight="1">
      <c r="A172" s="1"/>
      <c r="D172" s="58"/>
      <c r="F172" s="58"/>
      <c r="G172" s="32"/>
      <c r="H172" s="32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</row>
    <row r="173" ht="15.75" customHeight="1">
      <c r="A173" s="1"/>
      <c r="D173" s="58"/>
      <c r="F173" s="58"/>
      <c r="G173" s="32"/>
      <c r="H173" s="32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</row>
    <row r="174" ht="15.75" customHeight="1">
      <c r="A174" s="1"/>
      <c r="D174" s="58"/>
      <c r="F174" s="58"/>
      <c r="G174" s="32"/>
      <c r="H174" s="32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</row>
    <row r="175" ht="15.75" customHeight="1">
      <c r="A175" s="1"/>
      <c r="D175" s="58"/>
      <c r="F175" s="58"/>
      <c r="G175" s="32"/>
      <c r="H175" s="32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</row>
    <row r="176" ht="15.75" customHeight="1">
      <c r="A176" s="1"/>
      <c r="D176" s="58"/>
      <c r="F176" s="58"/>
      <c r="G176" s="32"/>
      <c r="H176" s="32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</row>
    <row r="177" ht="15.75" customHeight="1">
      <c r="A177" s="1"/>
      <c r="D177" s="58"/>
      <c r="F177" s="58"/>
      <c r="G177" s="32"/>
      <c r="H177" s="32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</row>
    <row r="178" ht="15.75" customHeight="1">
      <c r="A178" s="1"/>
      <c r="D178" s="58"/>
      <c r="F178" s="58"/>
      <c r="G178" s="32"/>
      <c r="H178" s="32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</row>
    <row r="179" ht="15.75" customHeight="1">
      <c r="A179" s="1"/>
      <c r="D179" s="58"/>
      <c r="F179" s="58"/>
      <c r="G179" s="32"/>
      <c r="H179" s="32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</row>
    <row r="180" ht="15.75" customHeight="1">
      <c r="A180" s="1"/>
      <c r="D180" s="58"/>
      <c r="F180" s="58"/>
      <c r="G180" s="32"/>
      <c r="H180" s="32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</row>
    <row r="181" ht="15.75" customHeight="1">
      <c r="A181" s="1"/>
      <c r="D181" s="58"/>
      <c r="F181" s="58"/>
      <c r="G181" s="32"/>
      <c r="H181" s="32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</row>
    <row r="182" ht="15.75" customHeight="1">
      <c r="A182" s="1"/>
      <c r="D182" s="58"/>
      <c r="F182" s="58"/>
      <c r="G182" s="32"/>
      <c r="H182" s="32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</row>
    <row r="183" ht="15.75" customHeight="1">
      <c r="A183" s="1"/>
      <c r="D183" s="58"/>
      <c r="F183" s="58"/>
      <c r="G183" s="32"/>
      <c r="H183" s="32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</row>
    <row r="184" ht="15.75" customHeight="1">
      <c r="A184" s="1"/>
      <c r="D184" s="58"/>
      <c r="F184" s="58"/>
      <c r="G184" s="32"/>
      <c r="H184" s="32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</row>
    <row r="185" ht="15.75" customHeight="1">
      <c r="A185" s="1"/>
      <c r="D185" s="58"/>
      <c r="F185" s="58"/>
      <c r="G185" s="32"/>
      <c r="H185" s="32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</row>
    <row r="186" ht="15.75" customHeight="1">
      <c r="A186" s="1"/>
      <c r="D186" s="58"/>
      <c r="F186" s="58"/>
      <c r="G186" s="32"/>
      <c r="H186" s="32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</row>
    <row r="187" ht="15.75" customHeight="1">
      <c r="A187" s="1"/>
      <c r="D187" s="58"/>
      <c r="F187" s="58"/>
      <c r="G187" s="32"/>
      <c r="H187" s="32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</row>
    <row r="188" ht="15.75" customHeight="1">
      <c r="A188" s="1"/>
      <c r="D188" s="58"/>
      <c r="F188" s="58"/>
      <c r="G188" s="32"/>
      <c r="H188" s="32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</row>
    <row r="189" ht="15.75" customHeight="1">
      <c r="A189" s="1"/>
      <c r="D189" s="58"/>
      <c r="F189" s="58"/>
      <c r="G189" s="32"/>
      <c r="H189" s="32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</row>
    <row r="190" ht="15.75" customHeight="1">
      <c r="A190" s="1"/>
      <c r="D190" s="58"/>
      <c r="F190" s="58"/>
      <c r="G190" s="32"/>
      <c r="H190" s="32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</row>
    <row r="191" ht="15.75" customHeight="1">
      <c r="A191" s="1"/>
      <c r="D191" s="58"/>
      <c r="F191" s="58"/>
      <c r="G191" s="32"/>
      <c r="H191" s="32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</row>
    <row r="192" ht="15.75" customHeight="1">
      <c r="A192" s="1"/>
      <c r="D192" s="58"/>
      <c r="F192" s="58"/>
      <c r="G192" s="32"/>
      <c r="H192" s="32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</row>
    <row r="193" ht="15.75" customHeight="1">
      <c r="A193" s="1"/>
      <c r="D193" s="58"/>
      <c r="F193" s="58"/>
      <c r="G193" s="32"/>
      <c r="H193" s="32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</row>
    <row r="194" ht="15.75" customHeight="1">
      <c r="A194" s="1"/>
      <c r="D194" s="58"/>
      <c r="F194" s="58"/>
      <c r="G194" s="32"/>
      <c r="H194" s="32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</row>
    <row r="195" ht="15.75" customHeight="1">
      <c r="A195" s="1"/>
      <c r="D195" s="58"/>
      <c r="F195" s="58"/>
      <c r="G195" s="32"/>
      <c r="H195" s="32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</row>
    <row r="196" ht="15.75" customHeight="1">
      <c r="A196" s="1"/>
      <c r="D196" s="58"/>
      <c r="F196" s="58"/>
      <c r="G196" s="32"/>
      <c r="H196" s="32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</row>
    <row r="197" ht="15.75" customHeight="1">
      <c r="A197" s="1"/>
      <c r="D197" s="58"/>
      <c r="F197" s="58"/>
      <c r="G197" s="32"/>
      <c r="H197" s="32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</row>
    <row r="198" ht="15.75" customHeight="1">
      <c r="A198" s="1"/>
      <c r="D198" s="58"/>
      <c r="F198" s="58"/>
      <c r="G198" s="32"/>
      <c r="H198" s="32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</row>
    <row r="199" ht="15.75" customHeight="1">
      <c r="A199" s="1"/>
      <c r="D199" s="58"/>
      <c r="F199" s="58"/>
      <c r="G199" s="32"/>
      <c r="H199" s="32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</row>
    <row r="200" ht="15.75" customHeight="1">
      <c r="A200" s="1"/>
      <c r="D200" s="58"/>
      <c r="F200" s="58"/>
      <c r="G200" s="32"/>
      <c r="H200" s="32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</row>
    <row r="201" ht="15.75" customHeight="1">
      <c r="A201" s="1"/>
      <c r="D201" s="58"/>
      <c r="F201" s="58"/>
      <c r="G201" s="32"/>
      <c r="H201" s="32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</row>
    <row r="202" ht="15.75" customHeight="1">
      <c r="A202" s="1"/>
      <c r="D202" s="58"/>
      <c r="F202" s="58"/>
      <c r="G202" s="32"/>
      <c r="H202" s="32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</row>
    <row r="203" ht="15.75" customHeight="1">
      <c r="A203" s="1"/>
      <c r="D203" s="58"/>
      <c r="F203" s="58"/>
      <c r="G203" s="32"/>
      <c r="H203" s="32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</row>
    <row r="204" ht="15.75" customHeight="1">
      <c r="A204" s="1"/>
      <c r="D204" s="58"/>
      <c r="F204" s="58"/>
      <c r="G204" s="32"/>
      <c r="H204" s="32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</row>
    <row r="205" ht="15.75" customHeight="1">
      <c r="A205" s="1"/>
      <c r="D205" s="58"/>
      <c r="F205" s="58"/>
      <c r="G205" s="32"/>
      <c r="H205" s="32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</row>
    <row r="206" ht="15.75" customHeight="1">
      <c r="A206" s="1"/>
      <c r="D206" s="58"/>
      <c r="F206" s="58"/>
      <c r="G206" s="32"/>
      <c r="H206" s="32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</row>
    <row r="207" ht="15.75" customHeight="1">
      <c r="A207" s="1"/>
      <c r="D207" s="58"/>
      <c r="F207" s="58"/>
      <c r="G207" s="32"/>
      <c r="H207" s="32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</row>
    <row r="208" ht="15.75" customHeight="1">
      <c r="A208" s="1"/>
      <c r="D208" s="58"/>
      <c r="F208" s="58"/>
      <c r="G208" s="32"/>
      <c r="H208" s="32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</row>
    <row r="209" ht="15.75" customHeight="1">
      <c r="A209" s="1"/>
      <c r="D209" s="58"/>
      <c r="F209" s="58"/>
      <c r="G209" s="32"/>
      <c r="H209" s="32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</row>
    <row r="210" ht="15.75" customHeight="1">
      <c r="A210" s="1"/>
      <c r="D210" s="58"/>
      <c r="F210" s="58"/>
      <c r="G210" s="32"/>
      <c r="H210" s="32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</row>
    <row r="211" ht="15.75" customHeight="1">
      <c r="A211" s="1"/>
      <c r="D211" s="58"/>
      <c r="F211" s="58"/>
      <c r="G211" s="32"/>
      <c r="H211" s="32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</row>
    <row r="212" ht="15.75" customHeight="1">
      <c r="A212" s="1"/>
      <c r="D212" s="58"/>
      <c r="F212" s="58"/>
      <c r="G212" s="32"/>
      <c r="H212" s="32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</row>
    <row r="213" ht="15.75" customHeight="1">
      <c r="A213" s="1"/>
      <c r="D213" s="58"/>
      <c r="F213" s="58"/>
      <c r="G213" s="32"/>
      <c r="H213" s="32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</row>
    <row r="214" ht="15.75" customHeight="1">
      <c r="A214" s="1"/>
      <c r="D214" s="58"/>
      <c r="F214" s="58"/>
      <c r="G214" s="32"/>
      <c r="H214" s="32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</row>
    <row r="215" ht="15.75" customHeight="1">
      <c r="A215" s="1"/>
      <c r="D215" s="58"/>
      <c r="F215" s="58"/>
      <c r="G215" s="32"/>
      <c r="H215" s="32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</row>
    <row r="216" ht="15.75" customHeight="1">
      <c r="A216" s="1"/>
      <c r="D216" s="58"/>
      <c r="F216" s="58"/>
      <c r="G216" s="32"/>
      <c r="H216" s="32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</row>
    <row r="217" ht="15.75" customHeight="1">
      <c r="A217" s="1"/>
      <c r="D217" s="58"/>
      <c r="F217" s="58"/>
      <c r="G217" s="32"/>
      <c r="H217" s="32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</row>
    <row r="218" ht="15.75" customHeight="1">
      <c r="A218" s="1"/>
      <c r="D218" s="58"/>
      <c r="F218" s="58"/>
      <c r="G218" s="32"/>
      <c r="H218" s="32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</row>
    <row r="219" ht="15.75" customHeight="1">
      <c r="A219" s="1"/>
      <c r="D219" s="58"/>
      <c r="F219" s="58"/>
      <c r="G219" s="32"/>
      <c r="H219" s="32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</row>
    <row r="220" ht="15.75" customHeight="1">
      <c r="A220" s="1"/>
      <c r="D220" s="58"/>
      <c r="F220" s="58"/>
      <c r="G220" s="32"/>
      <c r="H220" s="32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</row>
    <row r="221" ht="15.75" customHeight="1">
      <c r="A221" s="1"/>
      <c r="D221" s="58"/>
      <c r="F221" s="58"/>
      <c r="G221" s="32"/>
      <c r="H221" s="32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</row>
    <row r="222" ht="15.75" customHeight="1">
      <c r="A222" s="1"/>
      <c r="D222" s="58"/>
      <c r="F222" s="58"/>
      <c r="G222" s="32"/>
      <c r="H222" s="32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</row>
    <row r="223" ht="15.75" customHeight="1">
      <c r="A223" s="1"/>
      <c r="D223" s="58"/>
      <c r="F223" s="58"/>
      <c r="G223" s="32"/>
      <c r="H223" s="32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</row>
    <row r="224" ht="15.75" customHeight="1">
      <c r="A224" s="1"/>
      <c r="D224" s="58"/>
      <c r="F224" s="58"/>
      <c r="G224" s="32"/>
      <c r="H224" s="32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</row>
    <row r="225" ht="15.75" customHeight="1">
      <c r="A225" s="1"/>
      <c r="D225" s="58"/>
      <c r="F225" s="58"/>
      <c r="G225" s="32"/>
      <c r="H225" s="32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</row>
    <row r="226" ht="15.75" customHeight="1">
      <c r="A226" s="1"/>
      <c r="D226" s="58"/>
      <c r="F226" s="58"/>
      <c r="G226" s="32"/>
      <c r="H226" s="32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</row>
    <row r="227" ht="15.75" customHeight="1">
      <c r="A227" s="1"/>
      <c r="D227" s="58"/>
      <c r="F227" s="58"/>
      <c r="G227" s="32"/>
      <c r="H227" s="32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</row>
    <row r="228" ht="15.75" customHeight="1">
      <c r="A228" s="1"/>
      <c r="D228" s="58"/>
      <c r="F228" s="58"/>
      <c r="G228" s="32"/>
      <c r="H228" s="32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</row>
    <row r="229" ht="15.75" customHeight="1">
      <c r="A229" s="1"/>
      <c r="D229" s="58"/>
      <c r="F229" s="58"/>
      <c r="G229" s="32"/>
      <c r="H229" s="32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</row>
    <row r="230" ht="15.75" customHeight="1">
      <c r="A230" s="1"/>
      <c r="D230" s="58"/>
      <c r="F230" s="58"/>
      <c r="G230" s="32"/>
      <c r="H230" s="32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</row>
    <row r="231" ht="15.75" customHeight="1">
      <c r="A231" s="1"/>
      <c r="D231" s="58"/>
      <c r="F231" s="58"/>
      <c r="G231" s="32"/>
      <c r="H231" s="32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</row>
    <row r="232" ht="15.75" customHeight="1">
      <c r="A232" s="1"/>
      <c r="D232" s="58"/>
      <c r="F232" s="58"/>
      <c r="G232" s="32"/>
      <c r="H232" s="32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</row>
    <row r="233" ht="15.75" customHeight="1">
      <c r="A233" s="1"/>
      <c r="D233" s="58"/>
      <c r="F233" s="58"/>
      <c r="G233" s="32"/>
      <c r="H233" s="32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</row>
    <row r="234" ht="15.75" customHeight="1">
      <c r="A234" s="1"/>
      <c r="D234" s="58"/>
      <c r="F234" s="58"/>
      <c r="G234" s="32"/>
      <c r="H234" s="32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4:D4"/>
    <mergeCell ref="C5:D5"/>
    <mergeCell ref="F5:H5"/>
    <mergeCell ref="C7:D7"/>
    <mergeCell ref="F7:G7"/>
    <mergeCell ref="C14:F14"/>
  </mergeCells>
  <conditionalFormatting sqref="E5">
    <cfRule type="cellIs" dxfId="4" priority="1" operator="greaterThanOrEqual">
      <formula>0.8</formula>
    </cfRule>
  </conditionalFormatting>
  <conditionalFormatting sqref="E5">
    <cfRule type="cellIs" dxfId="5" priority="2" operator="lessThan">
      <formula>0.5</formula>
    </cfRule>
  </conditionalFormatting>
  <conditionalFormatting sqref="E5">
    <cfRule type="cellIs" dxfId="6" priority="3" operator="between">
      <formula>0.5</formula>
      <formula>0.8</formula>
    </cfRule>
  </conditionalFormatting>
  <printOptions verticalCentered="1"/>
  <pageMargins bottom="0.7480314960629921" footer="0.0" header="0.0" left="0.2362204724409449" right="0.2362204724409449" top="0.7480314960629921"/>
  <pageSetup paperSize="9" scale="79"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3" width="3.71"/>
    <col customWidth="1" min="4" max="4" width="39.71"/>
    <col customWidth="1" min="5" max="5" width="12.71"/>
    <col customWidth="1" min="6" max="6" width="8.43"/>
    <col customWidth="1" min="7" max="7" width="17.29"/>
    <col customWidth="1" min="8" max="8" width="22.71"/>
    <col customWidth="1" min="9" max="9" width="12.71"/>
    <col customWidth="1" min="10" max="10" width="7.29"/>
    <col customWidth="1" min="11" max="11" width="39.71"/>
    <col customWidth="1" min="12" max="12" width="12.71"/>
    <col customWidth="1" min="13" max="13" width="8.43"/>
    <col customWidth="1" min="14" max="14" width="17.29"/>
    <col customWidth="1" min="15" max="15" width="22.71"/>
    <col customWidth="1" min="16" max="16" width="12.71"/>
    <col customWidth="1" min="17" max="17" width="11.29"/>
    <col customWidth="1" min="18" max="18" width="8.71"/>
    <col customWidth="1" hidden="1" min="19" max="20" width="8.71"/>
    <col customWidth="1" min="21" max="26" width="8.71"/>
  </cols>
  <sheetData>
    <row r="1" ht="33.75" customHeight="1">
      <c r="A1" s="1"/>
      <c r="B1" s="23"/>
      <c r="C1" s="25"/>
      <c r="D1" s="113" t="s">
        <v>187</v>
      </c>
      <c r="E1" s="114"/>
      <c r="F1" s="25"/>
      <c r="G1" s="25"/>
      <c r="H1" s="25"/>
      <c r="I1" s="25"/>
      <c r="J1" s="25"/>
      <c r="K1" s="25"/>
      <c r="L1" s="25"/>
      <c r="M1" s="25"/>
      <c r="N1" s="25"/>
      <c r="O1" s="25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37.5" customHeight="1">
      <c r="A2" s="1"/>
      <c r="B2" s="23"/>
      <c r="C2" s="29"/>
      <c r="D2" s="115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3"/>
      <c r="V2" s="23"/>
      <c r="W2" s="23"/>
      <c r="X2" s="23"/>
      <c r="Y2" s="23"/>
      <c r="Z2" s="23"/>
    </row>
    <row r="3" ht="47.25" customHeight="1">
      <c r="A3" s="1"/>
    </row>
    <row r="4" ht="50.25" customHeight="1">
      <c r="A4" s="1"/>
      <c r="D4" s="159" t="s">
        <v>188</v>
      </c>
      <c r="K4" s="160"/>
      <c r="L4" s="160"/>
      <c r="M4" s="160"/>
      <c r="N4" s="160"/>
    </row>
    <row r="5" ht="69.75" customHeight="1">
      <c r="A5" s="1"/>
      <c r="C5" s="161"/>
      <c r="D5" s="162" t="s">
        <v>189</v>
      </c>
      <c r="O5" s="163"/>
      <c r="P5" s="163"/>
      <c r="Q5" s="163"/>
      <c r="R5" s="161"/>
      <c r="S5" s="161"/>
      <c r="T5" s="161"/>
      <c r="U5" s="161"/>
      <c r="V5" s="161"/>
      <c r="W5" s="161"/>
      <c r="X5" s="161"/>
      <c r="Y5" s="161"/>
      <c r="Z5" s="161"/>
    </row>
    <row r="6" ht="6.75" customHeight="1">
      <c r="A6" s="1"/>
    </row>
    <row r="7" ht="6.75" customHeight="1">
      <c r="A7" s="1"/>
    </row>
    <row r="8" ht="38.25" customHeight="1">
      <c r="A8" s="1"/>
    </row>
    <row r="9" ht="69.0" customHeight="1">
      <c r="A9" s="1"/>
      <c r="D9" s="164" t="s">
        <v>190</v>
      </c>
    </row>
    <row r="10" ht="69.0" customHeight="1">
      <c r="A10" s="1"/>
      <c r="D10" s="165" t="s">
        <v>191</v>
      </c>
    </row>
    <row r="11" ht="27.0" customHeight="1">
      <c r="A11" s="1"/>
      <c r="B11" s="32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</row>
    <row r="12" ht="9.0" customHeight="1">
      <c r="A12" s="1"/>
      <c r="B12" s="32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</row>
    <row r="13" ht="46.5" customHeight="1">
      <c r="A13" s="1"/>
      <c r="D13" s="167" t="s">
        <v>192</v>
      </c>
    </row>
    <row r="14" ht="7.5" customHeight="1">
      <c r="A14" s="1"/>
    </row>
    <row r="15" ht="32.25" customHeight="1">
      <c r="A15" s="1"/>
      <c r="D15" s="168" t="str">
        <f>'Gráficos'!C24</f>
        <v>Análise das forças</v>
      </c>
      <c r="K15" s="168" t="str">
        <f>'Gráficos'!H24</f>
        <v>Análise das fraquezas</v>
      </c>
      <c r="L15" s="169"/>
    </row>
    <row r="16" ht="11.25" customHeight="1">
      <c r="A16" s="1"/>
      <c r="L16" s="31"/>
    </row>
    <row r="17" ht="36.0" customHeight="1">
      <c r="A17" s="1"/>
      <c r="D17" s="139" t="str">
        <f>'Gráficos'!C26</f>
        <v/>
      </c>
      <c r="E17" s="140"/>
      <c r="F17" s="170">
        <f>'Gráficos'!E26</f>
        <v>0</v>
      </c>
      <c r="G17" s="171"/>
      <c r="H17" s="171"/>
      <c r="I17" s="140"/>
      <c r="K17" s="139" t="str">
        <f>'Gráficos'!H26</f>
        <v/>
      </c>
      <c r="L17" s="140"/>
      <c r="M17" s="170">
        <f>'Gráficos'!J26</f>
        <v>0</v>
      </c>
      <c r="N17" s="171"/>
      <c r="O17" s="171"/>
      <c r="P17" s="140"/>
    </row>
    <row r="18" ht="36.0" customHeight="1">
      <c r="A18" s="1"/>
      <c r="D18" s="139" t="str">
        <f>'Gráficos'!C27</f>
        <v/>
      </c>
      <c r="E18" s="140"/>
      <c r="F18" s="170">
        <f>'Gráficos'!E27</f>
        <v>0</v>
      </c>
      <c r="G18" s="171"/>
      <c r="H18" s="171"/>
      <c r="I18" s="140"/>
      <c r="K18" s="139" t="str">
        <f>'Gráficos'!H27</f>
        <v/>
      </c>
      <c r="L18" s="140"/>
      <c r="M18" s="170">
        <f>'Gráficos'!J27</f>
        <v>0</v>
      </c>
      <c r="N18" s="171"/>
      <c r="O18" s="171"/>
      <c r="P18" s="140"/>
    </row>
    <row r="19" ht="36.0" customHeight="1">
      <c r="A19" s="1"/>
      <c r="D19" s="139" t="str">
        <f>'Gráficos'!C28</f>
        <v/>
      </c>
      <c r="E19" s="140"/>
      <c r="F19" s="170">
        <f>'Gráficos'!E28</f>
        <v>0</v>
      </c>
      <c r="G19" s="171"/>
      <c r="H19" s="171"/>
      <c r="I19" s="140"/>
      <c r="K19" s="139" t="str">
        <f>'Gráficos'!H28</f>
        <v/>
      </c>
      <c r="L19" s="140"/>
      <c r="M19" s="170">
        <f>'Gráficos'!J28</f>
        <v>0</v>
      </c>
      <c r="N19" s="171"/>
      <c r="O19" s="171"/>
      <c r="P19" s="140"/>
    </row>
    <row r="20" ht="36.0" customHeight="1">
      <c r="A20" s="1"/>
      <c r="D20" s="139" t="str">
        <f>'Gráficos'!C29</f>
        <v/>
      </c>
      <c r="E20" s="140"/>
      <c r="F20" s="170">
        <f>'Gráficos'!E29</f>
        <v>0</v>
      </c>
      <c r="G20" s="171"/>
      <c r="H20" s="171"/>
      <c r="I20" s="140"/>
      <c r="K20" s="139" t="str">
        <f>'Gráficos'!H29</f>
        <v/>
      </c>
      <c r="L20" s="140"/>
      <c r="M20" s="170">
        <f>'Gráficos'!J29</f>
        <v>0</v>
      </c>
      <c r="N20" s="171"/>
      <c r="O20" s="171"/>
      <c r="P20" s="140"/>
    </row>
    <row r="21" ht="36.0" customHeight="1">
      <c r="A21" s="1"/>
      <c r="D21" s="139" t="str">
        <f>'Gráficos'!C30</f>
        <v/>
      </c>
      <c r="E21" s="140"/>
      <c r="F21" s="172">
        <f>'Gráficos'!E30</f>
        <v>0</v>
      </c>
      <c r="G21" s="171"/>
      <c r="H21" s="171"/>
      <c r="I21" s="140"/>
      <c r="K21" s="139" t="str">
        <f>'Gráficos'!H30</f>
        <v/>
      </c>
      <c r="L21" s="140"/>
      <c r="M21" s="170">
        <f>'Gráficos'!J30</f>
        <v>0</v>
      </c>
      <c r="N21" s="171"/>
      <c r="O21" s="171"/>
      <c r="P21" s="140"/>
    </row>
    <row r="22" ht="15.0" customHeight="1">
      <c r="A22" s="1"/>
    </row>
    <row r="23" ht="27.0" customHeight="1">
      <c r="A23" s="1"/>
      <c r="D23" s="173" t="str">
        <f>'Gráficos'!C32</f>
        <v>Análise das oportunidades</v>
      </c>
      <c r="K23" s="173" t="str">
        <f>'Gráficos'!H32</f>
        <v>Análise das ameaças</v>
      </c>
      <c r="L23" s="169"/>
    </row>
    <row r="24" ht="15.0" customHeight="1">
      <c r="A24" s="1"/>
      <c r="L24" s="31"/>
    </row>
    <row r="25" ht="36.0" customHeight="1">
      <c r="A25" s="1"/>
      <c r="D25" s="139" t="str">
        <f>'Gráficos'!C34</f>
        <v/>
      </c>
      <c r="E25" s="140"/>
      <c r="F25" s="170">
        <f>'Gráficos'!E34</f>
        <v>0</v>
      </c>
      <c r="G25" s="171"/>
      <c r="H25" s="171"/>
      <c r="I25" s="140"/>
      <c r="K25" s="139" t="str">
        <f>'Gráficos'!H34</f>
        <v/>
      </c>
      <c r="L25" s="140"/>
      <c r="M25" s="170">
        <f>'Gráficos'!J34</f>
        <v>0</v>
      </c>
      <c r="N25" s="171"/>
      <c r="O25" s="171"/>
      <c r="P25" s="140"/>
    </row>
    <row r="26" ht="36.0" customHeight="1">
      <c r="A26" s="1"/>
      <c r="D26" s="139" t="str">
        <f>'Gráficos'!C35</f>
        <v/>
      </c>
      <c r="E26" s="140"/>
      <c r="F26" s="170">
        <f>'Gráficos'!E35</f>
        <v>0</v>
      </c>
      <c r="G26" s="171"/>
      <c r="H26" s="171"/>
      <c r="I26" s="140"/>
      <c r="K26" s="139" t="str">
        <f>'Gráficos'!H35</f>
        <v/>
      </c>
      <c r="L26" s="140"/>
      <c r="M26" s="170">
        <f>'Gráficos'!J35</f>
        <v>0</v>
      </c>
      <c r="N26" s="171"/>
      <c r="O26" s="171"/>
      <c r="P26" s="140"/>
    </row>
    <row r="27" ht="36.0" customHeight="1">
      <c r="A27" s="1"/>
      <c r="D27" s="139" t="str">
        <f>'Gráficos'!C36</f>
        <v/>
      </c>
      <c r="E27" s="140"/>
      <c r="F27" s="170">
        <f>'Gráficos'!E36</f>
        <v>0</v>
      </c>
      <c r="G27" s="171"/>
      <c r="H27" s="171"/>
      <c r="I27" s="140"/>
      <c r="K27" s="144" t="str">
        <f>'Gráficos'!H36</f>
        <v/>
      </c>
      <c r="L27" s="140"/>
      <c r="M27" s="172">
        <f>'Gráficos'!J36</f>
        <v>0</v>
      </c>
      <c r="N27" s="171"/>
      <c r="O27" s="171"/>
      <c r="P27" s="140"/>
    </row>
    <row r="28" ht="36.0" customHeight="1">
      <c r="A28" s="1"/>
      <c r="D28" s="139" t="str">
        <f>'Gráficos'!C37</f>
        <v/>
      </c>
      <c r="E28" s="140"/>
      <c r="F28" s="170">
        <f>'Gráficos'!E37</f>
        <v>0</v>
      </c>
      <c r="G28" s="171"/>
      <c r="H28" s="171"/>
      <c r="I28" s="140"/>
      <c r="K28" s="144" t="str">
        <f>'Gráficos'!H37</f>
        <v/>
      </c>
      <c r="L28" s="140"/>
      <c r="M28" s="172">
        <f>'Gráficos'!J37</f>
        <v>0</v>
      </c>
      <c r="N28" s="171"/>
      <c r="O28" s="171"/>
      <c r="P28" s="140"/>
    </row>
    <row r="29" ht="36.0" customHeight="1">
      <c r="A29" s="1"/>
      <c r="D29" s="139" t="str">
        <f>'Gráficos'!C38</f>
        <v/>
      </c>
      <c r="E29" s="140"/>
      <c r="F29" s="170">
        <f>'Gráficos'!E38</f>
        <v>0</v>
      </c>
      <c r="G29" s="171"/>
      <c r="H29" s="171"/>
      <c r="I29" s="140"/>
      <c r="K29" s="144" t="str">
        <f>'Gráficos'!H38</f>
        <v/>
      </c>
      <c r="L29" s="140"/>
      <c r="M29" s="172">
        <f>'Gráficos'!J38</f>
        <v>0</v>
      </c>
      <c r="N29" s="171"/>
      <c r="O29" s="171"/>
      <c r="P29" s="140"/>
    </row>
    <row r="30" ht="11.25" customHeight="1">
      <c r="A30" s="1"/>
    </row>
    <row r="31" ht="46.5" customHeight="1">
      <c r="A31" s="1"/>
      <c r="D31" s="173" t="s">
        <v>143</v>
      </c>
    </row>
    <row r="32" ht="22.5" customHeight="1">
      <c r="A32" s="1"/>
      <c r="D32" s="174" t="str">
        <f>'Gráficos'!C6</f>
        <v>Seu índice é</v>
      </c>
      <c r="E32" s="175" t="str">
        <f>'Gráficos'!C9</f>
        <v>Equilíbrio - Com um cenário equilibrado vale a pena investir mais tempo de análise para saber se o seu foco será interno ou externo.</v>
      </c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2"/>
    </row>
    <row r="33" ht="67.5" customHeight="1">
      <c r="A33" s="1"/>
      <c r="D33" s="176">
        <f>'Gráficos'!C7</f>
        <v>0</v>
      </c>
      <c r="E33" s="127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9"/>
    </row>
    <row r="34" ht="52.5" customHeight="1">
      <c r="A34" s="1"/>
      <c r="D34" s="173" t="s">
        <v>193</v>
      </c>
    </row>
    <row r="35" ht="67.5" customHeight="1">
      <c r="A35" s="1"/>
      <c r="D35" s="177" t="str">
        <f>'Gráficos'!C13</f>
        <v>Forças</v>
      </c>
      <c r="E35" s="178">
        <f>'Gráficos'!D13</f>
        <v>0</v>
      </c>
      <c r="F35" s="179" t="str">
        <f>'Gráficos'!E13</f>
        <v>Suas forças estão mais altas ou iguais as suas fraquezas, mantenha esse bom resultado!</v>
      </c>
      <c r="G35" s="171"/>
      <c r="H35" s="171"/>
      <c r="I35" s="171"/>
      <c r="J35" s="171"/>
      <c r="K35" s="171"/>
      <c r="L35" s="171"/>
      <c r="M35" s="171"/>
      <c r="N35" s="171"/>
      <c r="O35" s="171"/>
      <c r="P35" s="171"/>
    </row>
    <row r="36" ht="67.5" customHeight="1">
      <c r="A36" s="1"/>
      <c r="D36" s="177" t="str">
        <f>'Gráficos'!C14</f>
        <v>Fraquezas</v>
      </c>
      <c r="E36" s="180">
        <f>'Gráficos'!D14</f>
        <v>0</v>
      </c>
      <c r="F36" s="181" t="str">
        <f>'Gráficos'!E14</f>
        <v>Suas fraquezas estão mais baixas ou iguais as suas forças, esse é um bom sinal, mas não se acomode!</v>
      </c>
      <c r="G36" s="54"/>
      <c r="H36" s="54"/>
      <c r="I36" s="54"/>
      <c r="J36" s="54"/>
      <c r="K36" s="54"/>
      <c r="L36" s="54"/>
      <c r="M36" s="54"/>
      <c r="N36" s="54"/>
      <c r="O36" s="54"/>
      <c r="P36" s="54"/>
    </row>
    <row r="37" ht="67.5" customHeight="1">
      <c r="A37" s="1"/>
      <c r="D37" s="177" t="str">
        <f>'Gráficos'!C15</f>
        <v>Oportunidades</v>
      </c>
      <c r="E37" s="178">
        <f>'Gráficos'!D15</f>
        <v>0</v>
      </c>
      <c r="F37" s="181" t="str">
        <f>'Gráficos'!E15</f>
        <v>Você tem mais oportunidades do que ameaças e isso indica um futuro promissor, só falta você alinhar quais forças vão otimizar as chances delas acontecerem de fato.</v>
      </c>
      <c r="G37" s="54"/>
      <c r="H37" s="54"/>
      <c r="I37" s="54"/>
      <c r="J37" s="54"/>
      <c r="K37" s="54"/>
      <c r="L37" s="54"/>
      <c r="M37" s="54"/>
      <c r="N37" s="54"/>
      <c r="O37" s="54"/>
      <c r="P37" s="54"/>
    </row>
    <row r="38" ht="67.5" customHeight="1">
      <c r="A38" s="1"/>
      <c r="D38" s="177" t="str">
        <f>'Gráficos'!C16</f>
        <v>Ameaças</v>
      </c>
      <c r="E38" s="180">
        <f>'Gráficos'!D16</f>
        <v>0</v>
      </c>
      <c r="F38" s="181" t="str">
        <f>'Gráficos'!E16</f>
        <v>Suas ameaças estão maiores ou iguais as oportunidades e isso indica um futuro preocupante, você precisa pensar em planos de ação para diminuir os riscos delas acontecerem o quanto antes.</v>
      </c>
      <c r="G38" s="54"/>
      <c r="H38" s="54"/>
      <c r="I38" s="54"/>
      <c r="J38" s="54"/>
      <c r="K38" s="54"/>
      <c r="L38" s="54"/>
      <c r="M38" s="54"/>
      <c r="N38" s="54"/>
      <c r="O38" s="54"/>
      <c r="P38" s="54"/>
    </row>
    <row r="39" ht="15.0" customHeight="1">
      <c r="A39" s="1"/>
    </row>
    <row r="40" ht="37.5" customHeight="1">
      <c r="A40" s="1"/>
      <c r="D40" s="173" t="str">
        <f>'Gráficos'!C17</f>
        <v>Análise geral dos fatores internos e externos</v>
      </c>
      <c r="K40" s="173" t="s">
        <v>165</v>
      </c>
    </row>
    <row r="41" ht="15.0" customHeight="1">
      <c r="A41" s="1"/>
    </row>
    <row r="42" ht="60.0" customHeight="1">
      <c r="A42" s="1"/>
      <c r="D42" s="132" t="str">
        <f>'Gráficos'!C19</f>
        <v>Forças</v>
      </c>
      <c r="E42" s="182">
        <f>'Gráficos'!D19</f>
        <v>0</v>
      </c>
      <c r="F42" s="8"/>
      <c r="G42" s="8"/>
      <c r="H42" s="8"/>
      <c r="I42" s="8"/>
    </row>
    <row r="43" ht="60.0" customHeight="1">
      <c r="A43" s="1"/>
      <c r="D43" s="132" t="str">
        <f>'Gráficos'!C20</f>
        <v>Fraquezas</v>
      </c>
      <c r="E43" s="182">
        <f>'Gráficos'!D20</f>
        <v>0</v>
      </c>
      <c r="F43" s="8"/>
      <c r="G43" s="8"/>
      <c r="H43" s="8"/>
      <c r="I43" s="8"/>
    </row>
    <row r="44" ht="60.0" customHeight="1">
      <c r="A44" s="1"/>
      <c r="D44" s="132" t="str">
        <f>'Gráficos'!C21</f>
        <v>Oportunidades</v>
      </c>
      <c r="E44" s="182">
        <f>'Gráficos'!D21</f>
        <v>0</v>
      </c>
      <c r="F44" s="8"/>
      <c r="G44" s="8"/>
      <c r="H44" s="8"/>
      <c r="I44" s="8"/>
    </row>
    <row r="45" ht="60.0" customHeight="1">
      <c r="A45" s="1"/>
      <c r="D45" s="132" t="str">
        <f>'Gráficos'!C22</f>
        <v>Ameaças</v>
      </c>
      <c r="E45" s="182">
        <f>'Gráficos'!D22</f>
        <v>0</v>
      </c>
      <c r="F45" s="8"/>
      <c r="G45" s="8"/>
      <c r="H45" s="8"/>
      <c r="I45" s="8"/>
    </row>
    <row r="46" ht="15.0" customHeight="1">
      <c r="A46" s="1"/>
    </row>
    <row r="47" ht="46.5" customHeight="1">
      <c r="A47" s="1"/>
      <c r="D47" s="183" t="s">
        <v>194</v>
      </c>
    </row>
    <row r="48" ht="17.25" customHeight="1">
      <c r="A48" s="1"/>
    </row>
    <row r="49" ht="54.75" customHeight="1">
      <c r="A49" s="1"/>
      <c r="D49" s="184" t="str">
        <f>GPA!C5</f>
        <v>Você definiu planos de ação para 0 de 0 dos principais itens da sua SWOT</v>
      </c>
      <c r="E49" s="59"/>
      <c r="F49" s="185">
        <f>GPA!E5</f>
        <v>0</v>
      </c>
      <c r="G49" s="59"/>
      <c r="H49" s="153" t="str">
        <f>GPA!F5</f>
        <v/>
      </c>
      <c r="I49" s="54"/>
      <c r="J49" s="54"/>
      <c r="K49" s="54"/>
      <c r="L49" s="54"/>
      <c r="M49" s="54"/>
      <c r="N49" s="54"/>
      <c r="O49" s="54"/>
      <c r="P49" s="59"/>
    </row>
    <row r="50" ht="19.5" customHeight="1">
      <c r="A50" s="1"/>
    </row>
    <row r="51" ht="32.25" customHeight="1">
      <c r="A51" s="1"/>
      <c r="D51" s="138" t="s">
        <v>177</v>
      </c>
      <c r="F51" s="117"/>
      <c r="K51" s="138" t="s">
        <v>178</v>
      </c>
    </row>
    <row r="52" ht="32.25" customHeight="1">
      <c r="A52" s="1"/>
    </row>
    <row r="53" ht="32.25" customHeight="1">
      <c r="A53" s="1"/>
    </row>
    <row r="54" ht="32.25" customHeight="1">
      <c r="A54" s="1"/>
    </row>
    <row r="55" ht="32.25" customHeight="1">
      <c r="A55" s="1"/>
    </row>
    <row r="56" ht="32.25" customHeight="1">
      <c r="A56" s="1"/>
    </row>
    <row r="57" ht="32.25" customHeight="1">
      <c r="A57" s="1"/>
    </row>
    <row r="58" ht="32.25" customHeight="1">
      <c r="A58" s="1"/>
    </row>
    <row r="59" ht="32.25" customHeight="1">
      <c r="A59" s="1"/>
    </row>
    <row r="60" ht="32.25" customHeight="1">
      <c r="A60" s="1"/>
      <c r="D60" s="138" t="s">
        <v>183</v>
      </c>
    </row>
    <row r="61" ht="32.25" customHeight="1">
      <c r="A61" s="1"/>
    </row>
    <row r="62" ht="32.25" customHeight="1">
      <c r="A62" s="1"/>
    </row>
    <row r="63" ht="32.25" customHeight="1">
      <c r="A63" s="1"/>
    </row>
    <row r="64" ht="32.25" customHeight="1">
      <c r="A64" s="1"/>
    </row>
    <row r="65" ht="32.25" customHeight="1">
      <c r="A65" s="1"/>
    </row>
    <row r="66" ht="32.25" customHeight="1">
      <c r="A66" s="1"/>
    </row>
    <row r="67" ht="32.25" customHeight="1">
      <c r="A67" s="1"/>
    </row>
    <row r="68" ht="32.25" customHeight="1">
      <c r="A68" s="1"/>
    </row>
    <row r="69" ht="32.25" customHeight="1">
      <c r="A69" s="1"/>
    </row>
    <row r="70" ht="32.25" customHeight="1">
      <c r="A70" s="1"/>
    </row>
    <row r="71" ht="32.25" customHeight="1">
      <c r="A71" s="1"/>
    </row>
    <row r="72" ht="32.25" customHeight="1">
      <c r="A72" s="1"/>
    </row>
    <row r="73" ht="32.25" customHeight="1">
      <c r="A73" s="1"/>
    </row>
    <row r="74" ht="32.25" customHeight="1">
      <c r="A74" s="1"/>
    </row>
    <row r="75" ht="32.25" customHeight="1">
      <c r="A75" s="1"/>
    </row>
    <row r="76" ht="32.25" customHeight="1">
      <c r="A76" s="1"/>
    </row>
    <row r="77" ht="32.25" customHeight="1">
      <c r="A77" s="1"/>
    </row>
    <row r="78" ht="32.25" customHeight="1">
      <c r="A78" s="1"/>
    </row>
    <row r="79" ht="32.25" customHeight="1">
      <c r="A79" s="1"/>
    </row>
    <row r="80" ht="32.25" customHeight="1">
      <c r="A80" s="1"/>
    </row>
    <row r="81" ht="32.25" customHeight="1">
      <c r="A81" s="1"/>
    </row>
    <row r="82" ht="32.25" customHeight="1">
      <c r="A82" s="1"/>
    </row>
    <row r="83" ht="32.25" customHeight="1">
      <c r="A83" s="1"/>
    </row>
    <row r="84" ht="32.25" customHeight="1">
      <c r="A84" s="1"/>
    </row>
    <row r="85" ht="32.25" customHeight="1">
      <c r="A85" s="1"/>
    </row>
    <row r="86" ht="32.25" customHeight="1">
      <c r="A86" s="1"/>
    </row>
    <row r="87" ht="32.2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D28:E28"/>
    <mergeCell ref="F28:I28"/>
    <mergeCell ref="K28:L28"/>
    <mergeCell ref="M28:P28"/>
    <mergeCell ref="D29:E29"/>
    <mergeCell ref="F29:I29"/>
    <mergeCell ref="K29:L29"/>
    <mergeCell ref="M29:P29"/>
    <mergeCell ref="E32:P33"/>
    <mergeCell ref="F35:P35"/>
    <mergeCell ref="F36:P36"/>
    <mergeCell ref="F37:P37"/>
    <mergeCell ref="F38:P38"/>
    <mergeCell ref="E42:I42"/>
    <mergeCell ref="D1:E2"/>
    <mergeCell ref="D4:J4"/>
    <mergeCell ref="D5:N5"/>
    <mergeCell ref="D9:Q9"/>
    <mergeCell ref="D10:Q10"/>
    <mergeCell ref="D13:Q13"/>
    <mergeCell ref="D17:E17"/>
    <mergeCell ref="M17:P17"/>
    <mergeCell ref="F17:I17"/>
    <mergeCell ref="K17:L17"/>
    <mergeCell ref="D18:E18"/>
    <mergeCell ref="F18:I18"/>
    <mergeCell ref="M18:P18"/>
    <mergeCell ref="F19:I19"/>
    <mergeCell ref="M19:P19"/>
    <mergeCell ref="D19:E19"/>
    <mergeCell ref="D20:E20"/>
    <mergeCell ref="F20:I20"/>
    <mergeCell ref="D21:E21"/>
    <mergeCell ref="F21:I21"/>
    <mergeCell ref="F25:I25"/>
    <mergeCell ref="K25:L25"/>
    <mergeCell ref="M26:P26"/>
    <mergeCell ref="M27:P27"/>
    <mergeCell ref="K18:L18"/>
    <mergeCell ref="K19:L19"/>
    <mergeCell ref="K20:L20"/>
    <mergeCell ref="M20:P20"/>
    <mergeCell ref="K21:L21"/>
    <mergeCell ref="M21:P21"/>
    <mergeCell ref="M25:P25"/>
    <mergeCell ref="D25:E25"/>
    <mergeCell ref="D26:E26"/>
    <mergeCell ref="F26:I26"/>
    <mergeCell ref="K26:L26"/>
    <mergeCell ref="D27:E27"/>
    <mergeCell ref="F27:I27"/>
    <mergeCell ref="K27:L27"/>
    <mergeCell ref="D51:E51"/>
    <mergeCell ref="K51:L51"/>
    <mergeCell ref="D60:H60"/>
    <mergeCell ref="E43:I43"/>
    <mergeCell ref="E44:I44"/>
    <mergeCell ref="E45:I45"/>
    <mergeCell ref="D47:Q47"/>
    <mergeCell ref="D49:E49"/>
    <mergeCell ref="F49:G49"/>
    <mergeCell ref="H49:P49"/>
  </mergeCells>
  <conditionalFormatting sqref="D33">
    <cfRule type="cellIs" dxfId="7" priority="1" operator="greaterThanOrEqual">
      <formula>1</formula>
    </cfRule>
  </conditionalFormatting>
  <conditionalFormatting sqref="D33">
    <cfRule type="cellIs" dxfId="8" priority="2" operator="greaterThanOrEqual">
      <formula>0.3</formula>
    </cfRule>
  </conditionalFormatting>
  <conditionalFormatting sqref="D33">
    <cfRule type="cellIs" dxfId="12" priority="3" operator="between">
      <formula>-0.29</formula>
      <formula>0.29</formula>
    </cfRule>
  </conditionalFormatting>
  <conditionalFormatting sqref="D33">
    <cfRule type="cellIs" dxfId="10" priority="4" operator="lessThanOrEqual">
      <formula>-1</formula>
    </cfRule>
  </conditionalFormatting>
  <conditionalFormatting sqref="D33">
    <cfRule type="cellIs" dxfId="11" priority="5" operator="lessThanOrEqual">
      <formula>-0.3</formula>
    </cfRule>
  </conditionalFormatting>
  <conditionalFormatting sqref="D32">
    <cfRule type="expression" dxfId="7" priority="6">
      <formula>$D$33&gt;=1</formula>
    </cfRule>
  </conditionalFormatting>
  <conditionalFormatting sqref="D32">
    <cfRule type="expression" dxfId="8" priority="7">
      <formula>$D$33&gt;=0.3</formula>
    </cfRule>
  </conditionalFormatting>
  <conditionalFormatting sqref="D32">
    <cfRule type="expression" dxfId="9" priority="8">
      <formula>AND($D$33&lt;=0.29,$D$33&gt;=-0.29)</formula>
    </cfRule>
  </conditionalFormatting>
  <conditionalFormatting sqref="D32">
    <cfRule type="expression" dxfId="10" priority="9">
      <formula>$D$33&lt;=-1</formula>
    </cfRule>
  </conditionalFormatting>
  <conditionalFormatting sqref="D32">
    <cfRule type="expression" dxfId="11" priority="10">
      <formula>$D$33&lt;=-0.3</formula>
    </cfRule>
  </conditionalFormatting>
  <conditionalFormatting sqref="F49">
    <cfRule type="cellIs" dxfId="4" priority="11" operator="greaterThanOrEqual">
      <formula>0.8</formula>
    </cfRule>
  </conditionalFormatting>
  <conditionalFormatting sqref="F49">
    <cfRule type="cellIs" dxfId="5" priority="12" operator="lessThan">
      <formula>0.5</formula>
    </cfRule>
  </conditionalFormatting>
  <conditionalFormatting sqref="F49">
    <cfRule type="cellIs" dxfId="6" priority="13" operator="between">
      <formula>0.5</formula>
      <formula>0.8</formula>
    </cfRule>
  </conditionalFormatting>
  <printOptions verticalCentered="1"/>
  <pageMargins bottom="0.7480314960629921" footer="0.0" header="0.0" left="0.2362204724409449" right="0.2362204724409449" top="0.7480314960629921"/>
  <pageSetup paperSize="9" orientation="landscape"/>
  <headerFooter>
    <oddHeader>&amp;R&amp;D</oddHeader>
    <oddFooter>&amp;R&amp;P</oddFooter>
  </headerFooter>
  <rowBreaks count="3" manualBreakCount="3">
    <brk id="12" man="1"/>
    <brk id="30" man="1"/>
    <brk id="46" man="1"/>
  </rowBreaks>
  <colBreaks count="1" manualBreakCount="1">
    <brk id="3" man="1"/>
  </col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52.29"/>
    <col customWidth="1" min="4" max="4" width="39.43"/>
    <col customWidth="1" min="5" max="6" width="44.29"/>
    <col customWidth="1" min="7" max="26" width="11.43"/>
  </cols>
  <sheetData>
    <row r="1" ht="14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4.25" customHeight="1">
      <c r="A2" s="31"/>
      <c r="B2" s="31"/>
      <c r="C2" s="186" t="s">
        <v>195</v>
      </c>
      <c r="D2" s="186" t="s">
        <v>196</v>
      </c>
      <c r="E2" s="186" t="s">
        <v>197</v>
      </c>
      <c r="F2" s="186" t="s">
        <v>198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96.75" customHeight="1">
      <c r="A3" s="31" t="str">
        <f t="shared" ref="A3:A4" si="1">#REF!</f>
        <v>#REF!</v>
      </c>
      <c r="B3" s="31" t="s">
        <v>199</v>
      </c>
      <c r="C3" s="187" t="s">
        <v>200</v>
      </c>
      <c r="D3" s="187" t="s">
        <v>201</v>
      </c>
      <c r="E3" s="187" t="s">
        <v>202</v>
      </c>
      <c r="F3" s="187" t="s">
        <v>203</v>
      </c>
      <c r="G3" s="187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96.75" customHeight="1">
      <c r="A4" s="31" t="str">
        <f t="shared" si="1"/>
        <v>#REF!</v>
      </c>
      <c r="B4" s="31" t="s">
        <v>204</v>
      </c>
      <c r="C4" s="187" t="s">
        <v>205</v>
      </c>
      <c r="D4" s="187" t="s">
        <v>206</v>
      </c>
      <c r="E4" s="187" t="s">
        <v>207</v>
      </c>
      <c r="F4" s="187" t="s">
        <v>208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4.2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4.25" customHeight="1">
      <c r="A6" s="31"/>
      <c r="B6" s="31"/>
      <c r="C6" s="186" t="s">
        <v>209</v>
      </c>
      <c r="D6" s="186" t="s">
        <v>210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0" customHeight="1">
      <c r="A7" s="31"/>
      <c r="B7" s="31"/>
      <c r="C7" s="188" t="s">
        <v>211</v>
      </c>
      <c r="D7" s="31" t="s">
        <v>212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0" customHeight="1">
      <c r="A8" s="31"/>
      <c r="B8" s="31"/>
      <c r="C8" s="188" t="s">
        <v>213</v>
      </c>
      <c r="D8" s="189" t="s">
        <v>214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0" customHeight="1">
      <c r="A9" s="31"/>
      <c r="B9" s="31"/>
      <c r="C9" s="31" t="s">
        <v>215</v>
      </c>
      <c r="D9" s="188" t="s">
        <v>216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0" customHeight="1">
      <c r="A10" s="31"/>
      <c r="B10" s="31"/>
      <c r="C10" s="31" t="s">
        <v>217</v>
      </c>
      <c r="D10" s="190" t="s">
        <v>218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0" customHeight="1">
      <c r="A11" s="31"/>
      <c r="B11" s="31"/>
      <c r="C11" s="31" t="s">
        <v>219</v>
      </c>
      <c r="D11" s="190" t="s">
        <v>220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0" customHeight="1">
      <c r="A12" s="31"/>
      <c r="B12" s="31"/>
      <c r="C12" s="31" t="s">
        <v>221</v>
      </c>
      <c r="D12" s="191" t="s">
        <v>222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0" customHeight="1">
      <c r="A13" s="31"/>
      <c r="B13" s="31"/>
      <c r="C13" s="31" t="s">
        <v>223</v>
      </c>
      <c r="D13" s="190" t="s">
        <v>224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0" customHeight="1">
      <c r="A14" s="31"/>
      <c r="B14" s="31"/>
      <c r="C14" s="31" t="s">
        <v>225</v>
      </c>
      <c r="D14" s="189" t="s">
        <v>226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0" customHeight="1">
      <c r="A15" s="31"/>
      <c r="B15" s="31"/>
      <c r="C15" s="31" t="s">
        <v>227</v>
      </c>
      <c r="D15" s="192" t="s">
        <v>228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0" customHeight="1">
      <c r="A16" s="31"/>
      <c r="B16" s="31"/>
      <c r="C16" s="31" t="s">
        <v>229</v>
      </c>
      <c r="D16" s="193" t="s">
        <v>230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0" customHeight="1">
      <c r="A17" s="31"/>
      <c r="B17" s="31"/>
      <c r="C17" s="31" t="s">
        <v>231</v>
      </c>
      <c r="D17" s="31" t="s">
        <v>232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0" customHeight="1">
      <c r="A18" s="31"/>
      <c r="B18" s="31"/>
      <c r="C18" s="31" t="s">
        <v>233</v>
      </c>
      <c r="D18" s="31" t="s">
        <v>234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0" customHeight="1">
      <c r="A19" s="31"/>
      <c r="B19" s="31"/>
      <c r="C19" s="31" t="s">
        <v>235</v>
      </c>
      <c r="D19" s="31" t="s">
        <v>236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0" customHeight="1">
      <c r="A20" s="31"/>
      <c r="B20" s="31"/>
      <c r="C20" s="31" t="s">
        <v>237</v>
      </c>
      <c r="D20" s="31" t="s">
        <v>238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0" customHeight="1">
      <c r="A21" s="31"/>
      <c r="B21" s="31"/>
      <c r="C21" s="31" t="s">
        <v>239</v>
      </c>
      <c r="D21" s="31" t="s">
        <v>240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0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0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4.2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4.2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4.2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4.2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4.2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4.2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4.2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4.2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4.2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4.2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4.2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4.2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4.2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4.2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4.2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4.2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4.2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4.2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4.2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4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4.2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4.2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4.2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4.2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4.2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4.2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4.2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4.2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4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4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4.2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4.2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4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4.2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4.2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4.2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4.2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4.2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4.2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