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ício" sheetId="1" r:id="rId4"/>
    <sheet state="visible" name="Forças" sheetId="2" r:id="rId5"/>
    <sheet state="visible" name="Fraquezas" sheetId="3" r:id="rId6"/>
    <sheet state="visible" name="Oportunidades" sheetId="4" r:id="rId7"/>
    <sheet state="visible" name="Ameaças" sheetId="5" r:id="rId8"/>
    <sheet state="visible" name="Matriz SWOT" sheetId="6" r:id="rId9"/>
    <sheet state="visible" name="Objetivos Estratégicos " sheetId="7" r:id="rId10"/>
    <sheet state="visible" name="Desdobramentos" sheetId="8" r:id="rId11"/>
    <sheet state="visible" name="Painel Estratégico " sheetId="9" r:id="rId12"/>
    <sheet state="hidden" name="SupermetricsQueries" sheetId="10" r:id="rId13"/>
    <sheet state="hidden" name="Planos de Ação - FxO" sheetId="11" r:id="rId14"/>
    <sheet state="hidden" name="Resultados SWOT Gráficos" sheetId="12" r:id="rId15"/>
    <sheet state="hidden" name="GPA" sheetId="13" r:id="rId16"/>
    <sheet state="hidden" name="Dúvidas e Respostas" sheetId="14" r:id="rId17"/>
  </sheets>
  <definedNames>
    <definedName name="zsupermetrics_forceRefresh">SupermetricsQueries!$H$4</definedName>
    <definedName name="zsupermetrics_refreshAll">SupermetricsQueries!$H$5</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intensidade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intensidade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urgência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urgência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Nessa tabela você terá seus fatores internos classificados dos mais pontuados para os menos.</t>
      </text>
    </comment>
    <comment authorId="0" ref="C12">
      <text>
        <t xml:space="preserve">Nessa tabela você terá seus fatores externos classificados dos mais pontuados para os menos.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Aqui você definirá os planos de ação aplicáveis a cada um dos principais itens da sua SWOT.</t>
      </text>
    </comment>
    <comment authorId="0" ref="D6">
      <text>
        <t xml:space="preserve">Estes são os principais itens da sua SWOT.</t>
      </text>
    </comment>
    <comment authorId="0" ref="E6">
      <text>
        <t xml:space="preserve">Aqui você vê se o item é uma força, fraqueza, oportunidade ou ameaça na sua SWOT.</t>
      </text>
    </comment>
    <comment authorId="0" ref="F6">
      <text>
        <t xml:space="preserve">Aqui você deve definir os responsáveis por cada plano de ação.</t>
      </text>
    </comment>
    <comment authorId="0" ref="G6">
      <text>
        <t xml:space="preserve">Aqui você vê a área a qual o plano de ação está definido de acordo com o responsável selecionado.</t>
      </text>
    </comment>
    <comment authorId="0" ref="H6">
      <text>
        <t xml:space="preserve">A previsão de início pode ser também a data efetiva de início, caso você esteja preenchendo a planilha após o início da execução do plano de ação.</t>
      </text>
    </comment>
    <comment authorId="0" ref="I6">
      <text>
        <t xml:space="preserve">A previsão de fim pode ser também a data efetiva de término da execução do plano de ação, caso você esteja preenchendo a planilha após após esta atividade. Contudo, é ideal que você planeje primeiro para que você possa avaliar e analisar o andamento da execução.</t>
      </text>
    </comment>
    <comment authorId="0" ref="J6">
      <text>
        <t xml:space="preserve">Selecione o momento atual do andamento da execução do plano de ação. O plano pode estar não iniciado, em andamento ou concluído.</t>
      </text>
    </comment>
    <comment authorId="0" ref="K6">
      <text>
        <t xml:space="preserve">Este é um status geral da execução do seu plano de ação. Se vermelho, indica que a execução está atrasada e que você precisa tomar alguma atitude com relação a ao plano de ação em questão.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A partir das análises anteriores, criamos um índice para medir a favorabilidade do seu negócio. De acordo com o resultado, veja a dica personalizada para você embaixo do gráfico.</t>
      </text>
    </comment>
    <comment authorId="0" ref="C11">
      <text>
        <t xml:space="preserve">Aqui você encontrará dicas da My Direction para manter ou melhorar o seu resultado. Fique atento!</t>
      </text>
    </comment>
    <comment authorId="0" ref="C17">
      <text>
        <t xml:space="preserve">Representação gráfica da sua matriz SWOT.</t>
      </text>
    </comment>
    <comment authorId="0" ref="H17">
      <text>
        <t xml:space="preserve">Representação gráfica da sua matriz SWOT.</t>
      </text>
    </comment>
    <comment authorId="0" ref="C24">
      <text>
        <t xml:space="preserve">Veja aqui suas forças ranqueadas por grau de importância.</t>
      </text>
    </comment>
    <comment authorId="0" ref="H24">
      <text>
        <t xml:space="preserve">Veja aqui suas forças ranqueadas por grau de importância.</t>
      </text>
    </comment>
    <comment authorId="0" ref="C32">
      <text>
        <t xml:space="preserve">Todas as suas oportunidades em rank.</t>
      </text>
    </comment>
    <comment authorId="0" ref="H32">
      <text>
        <t xml:space="preserve">Todas as suas ameaças em rank.</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Este é um resultado de gestão. Ele indica o quanto você está usando a página de planos de ação para melhorar o seu negócio.</t>
      </text>
    </comment>
    <comment authorId="0" ref="C7">
      <text>
        <t xml:space="preserve">Representação gráfica dos status dos seus planos de ação.</t>
      </text>
    </comment>
    <comment authorId="0" ref="F7">
      <text>
        <t xml:space="preserve">Representação gráfica dos seus planos de ação conformes.</t>
      </text>
    </comment>
    <comment authorId="0" ref="C14">
      <text>
        <t xml:space="preserve">É importante ter seus planos de ação bem distribuídos, muito embora possa não ser necessário ou possível. 
Neste gráfico você vê a quantidade de planos de ação para as 5 áreas mais carregadas.</t>
      </text>
    </comment>
  </commentList>
</comments>
</file>

<file path=xl/sharedStrings.xml><?xml version="1.0" encoding="utf-8"?>
<sst xmlns="http://schemas.openxmlformats.org/spreadsheetml/2006/main" count="696" uniqueCount="336">
  <si>
    <t>Com esta planilha você conseguirá fazer uma Análise SWOT Organizacional de acordo com os seus objetivos a curto prazo. Coloque detalhadamente os fatores internos (forças e fraquezas) e fatores externos (oportunidades e ameaças) quanto a gestão de seu negócio/ projeto para extrair as melhores e maiores reflexões possíveis.</t>
  </si>
  <si>
    <r>
      <rPr>
        <rFont val="Calibri"/>
        <b/>
        <color rgb="FF595959"/>
        <sz val="12.0"/>
      </rPr>
      <t xml:space="preserve">       IMPORTANTE:</t>
    </r>
    <r>
      <rPr>
        <rFont val="Calibri"/>
        <b/>
        <color rgb="FF660066"/>
        <sz val="12.0"/>
      </rPr>
      <t xml:space="preserve"> </t>
    </r>
    <r>
      <rPr>
        <rFont val="Calibri"/>
        <b/>
        <color rgb="FF14B1E7"/>
        <sz val="12.0"/>
      </rPr>
      <t>LEIA OS PASSOS E ENTENDA A PLANILHA</t>
    </r>
  </si>
  <si>
    <t>Passo 1</t>
  </si>
  <si>
    <t>FATORES INTERNOS</t>
  </si>
  <si>
    <t>Segundo a metodologia da análise SWOT a matriz é composta por elementos que compõem o ambiente interno e externo da empresa</t>
  </si>
  <si>
    <t>Forças: defina a lista com as suas forças, o que faz com que os clientes optem por  seu negócio; qual disponibilidade de recursos imprescindíveis para a manutenção dos serviços ou produtos; o que diferencia seu negócio dos demais.</t>
  </si>
  <si>
    <t>Fraquezas: defina a lista com as  suas fraquezas (altos custos com transporte; maiores gastos com a manutenção de equipamentos, colaboradores com valor/hora mais caro etc).</t>
  </si>
  <si>
    <t>Passo 2</t>
  </si>
  <si>
    <t>FATORES EXTERNOS</t>
  </si>
  <si>
    <r>
      <rPr>
        <rFont val="Arial"/>
        <color rgb="FF7F7F7F"/>
        <sz val="11.0"/>
      </rPr>
      <t xml:space="preserve">Após ter definido os fatores internos, defina os seus </t>
    </r>
    <r>
      <rPr>
        <rFont val="Arial"/>
        <b/>
        <color rgb="FF7F7F7F"/>
        <sz val="11.0"/>
      </rPr>
      <t>fatores externos</t>
    </r>
    <r>
      <rPr>
        <rFont val="Arial"/>
        <color rgb="FF7F7F7F"/>
        <sz val="11.0"/>
      </rPr>
      <t>: oportunidades e ameaças.</t>
    </r>
  </si>
  <si>
    <r>
      <rPr>
        <rFont val="Arial"/>
        <b/>
        <color rgb="FF7F7F7F"/>
        <sz val="11.0"/>
      </rPr>
      <t>Oportunidades:</t>
    </r>
    <r>
      <rPr>
        <rFont val="Arial"/>
        <color rgb="FF7F7F7F"/>
        <sz val="11.0"/>
      </rPr>
      <t xml:space="preserve"> defina a lista com as oportunidades (fatores econômicos, oportunidades que estão surgindo e mudanças do mercado que podem favorecer seus clientes).</t>
    </r>
  </si>
  <si>
    <r>
      <rPr>
        <rFont val="Arial"/>
        <b/>
        <color rgb="FF7F7F7F"/>
        <sz val="11.0"/>
      </rPr>
      <t>Ameaças:</t>
    </r>
    <r>
      <rPr>
        <rFont val="Arial"/>
        <color rgb="FF7F7F7F"/>
        <sz val="11.0"/>
      </rPr>
      <t xml:space="preserve"> defina a lista com as ameaças identificadas no mercado (cenário no qual se concentram todos os fatores desfavoráveis para a empresa). Assim, além da ausência de controle sobre as questões, elas se apresentam como grandes ameaças para o negócio.</t>
    </r>
  </si>
  <si>
    <t>Passo 3</t>
  </si>
  <si>
    <t>MATRIZ SWOT</t>
  </si>
  <si>
    <t>Nesta parte da planilha será possível visualizar a visão geral da sua pontuação para as forças, fraquezas, oportunidades e ameaças. A partir desta visão, você terá o retorno da planilha sobre o seu momento profissional atual (desenvolvimento, manutenção, crescimento e sobrevivência). Além dos indicadores, veja também a lista com todas as forças, fraquezas, ameaças e oportunidades hierarquizadas, de acordo com sua pontuação.</t>
  </si>
  <si>
    <t>Passo 4</t>
  </si>
  <si>
    <t>CRUZAMENTOS</t>
  </si>
  <si>
    <t>Uma vez definido seus fatores internos e externos, chegou a hora de cruzar os dados combinando suas forças e fraquezas com ameças e oportunidades. Você pode traçar planos de ação para as combinações.</t>
  </si>
  <si>
    <t>Passo 5</t>
  </si>
  <si>
    <t>OBJETIVOS ESTRATÉGICOS</t>
  </si>
  <si>
    <t>Objetivo é o resultado desejado pela organização que ao ser atingindo sustenta o seu sucesso ao longo de um período de tempo.</t>
  </si>
  <si>
    <t>Passo 6</t>
  </si>
  <si>
    <t>DESDOBRAMENTOS</t>
  </si>
  <si>
    <t>Como os objetivos estratégicos se aplicam a realidade da empresa? Onde eles serão atingidos? Nessa etapa entenderemos o papel de cada aspecto da empresa para alcançar esses objetivos e atingir assim os resultados esperados.</t>
  </si>
  <si>
    <t>Passo 7</t>
  </si>
  <si>
    <t>PLANOS DE AÇÃO</t>
  </si>
  <si>
    <t>Crie planos de ação de acordo com os principais itens da Análise SWOT e dos Cruzamentos feitas para obter grandes melhorias no curto e longo prazos.</t>
  </si>
  <si>
    <t>Passo 8</t>
  </si>
  <si>
    <t>RESULTADOS SWOT</t>
  </si>
  <si>
    <t>Veja os resultados da SWOT como Índice de Favorabilidade, Análise Individual dos Fatores Internos e Externose gráficos da Matriz SWOT.</t>
  </si>
  <si>
    <t>Passo 9</t>
  </si>
  <si>
    <t>RESULTADOS PLANOS DE AÇÃO</t>
  </si>
  <si>
    <t>Veja os resultados dos seus planos de ação graficamente.</t>
  </si>
  <si>
    <r>
      <rPr>
        <rFont val="Arial"/>
        <b/>
        <color rgb="FF7F7F7F"/>
        <sz val="11.0"/>
      </rPr>
      <t>Gráficos:</t>
    </r>
    <r>
      <rPr>
        <rFont val="Arial"/>
        <color rgb="FF7F7F7F"/>
        <sz val="11.0"/>
      </rPr>
      <t xml:space="preserve"> gráficos de desenvolvimento de planos de ação, status e conformidade dos planos em execução.</t>
    </r>
  </si>
  <si>
    <r>
      <rPr>
        <rFont val="Arial"/>
        <b/>
        <color rgb="FF7F7F7F"/>
        <sz val="11.0"/>
      </rPr>
      <t>Análise por Área:</t>
    </r>
    <r>
      <rPr>
        <rFont val="Arial"/>
        <color rgb="FF7F7F7F"/>
        <sz val="11.0"/>
      </rPr>
      <t xml:space="preserve"> veja a análise geral em relação aos planos de ação com cada status e o desempenho geral delas.</t>
    </r>
  </si>
  <si>
    <t>Passo 10</t>
  </si>
  <si>
    <t>PAINEL DE CONTROLE</t>
  </si>
  <si>
    <t>Passo 11</t>
  </si>
  <si>
    <t>RELATÓRIO DE IMPRESSÃO</t>
  </si>
  <si>
    <t>Imprima somente o que importa. Esta parte gera um relatório formatado para impressão com seu plano de ação para todas as combinações entre forças, fraquezas, oportunidades e ameaças. Além disso, tenha os gráficos, a lista hierarquizada, o ínidice de favorabilidade e as dicas.</t>
  </si>
  <si>
    <t>Item</t>
  </si>
  <si>
    <t>Importância</t>
  </si>
  <si>
    <t>Intensidade</t>
  </si>
  <si>
    <t>Tendência</t>
  </si>
  <si>
    <t>Pontuação</t>
  </si>
  <si>
    <t>Ex.: A marca é reconhecida no mercado</t>
  </si>
  <si>
    <t>Ex.: Importante</t>
  </si>
  <si>
    <t>Ex.: Média</t>
  </si>
  <si>
    <t>Ex.: Mantém</t>
  </si>
  <si>
    <t>Ex.: 27</t>
  </si>
  <si>
    <t>Sem importância</t>
  </si>
  <si>
    <t>Pouco importante</t>
  </si>
  <si>
    <t>Importante</t>
  </si>
  <si>
    <t>Muito importante</t>
  </si>
  <si>
    <t>Totalmente importante</t>
  </si>
  <si>
    <t>Muito forte</t>
  </si>
  <si>
    <t>Forte</t>
  </si>
  <si>
    <t>Média</t>
  </si>
  <si>
    <t>Fraca</t>
  </si>
  <si>
    <t>Muito fraca</t>
  </si>
  <si>
    <t>Melhora muito</t>
  </si>
  <si>
    <t>Melhora</t>
  </si>
  <si>
    <t>Mantém</t>
  </si>
  <si>
    <t>Pontuação geral das suas Forças</t>
  </si>
  <si>
    <t>→</t>
  </si>
  <si>
    <t>Piora</t>
  </si>
  <si>
    <t>Piora muito</t>
  </si>
  <si>
    <t>Pontuação geral das suas Fraquezas</t>
  </si>
  <si>
    <t>Urgência</t>
  </si>
  <si>
    <t>Ex.: Existem mercados inexplorados</t>
  </si>
  <si>
    <t>Ex.: Urgente</t>
  </si>
  <si>
    <t>Nada urgente</t>
  </si>
  <si>
    <t>Pouco urgente</t>
  </si>
  <si>
    <t>Urgente</t>
  </si>
  <si>
    <t>Muito urgente</t>
  </si>
  <si>
    <t>Pra ontem</t>
  </si>
  <si>
    <t>Pontuação geral das suas Oportunidades</t>
  </si>
  <si>
    <t>Pontuação geral das suas Ameaças</t>
  </si>
  <si>
    <t>1. Fatores internos</t>
  </si>
  <si>
    <t>1.1 Top 5 Forças</t>
  </si>
  <si>
    <t>1.2 Top 5 Fraquezas</t>
  </si>
  <si>
    <t>Força</t>
  </si>
  <si>
    <t>Fraqueza</t>
  </si>
  <si>
    <t>2. Fatores externos</t>
  </si>
  <si>
    <t>2.1 Top 5 Oportunidades</t>
  </si>
  <si>
    <t>2.2 Top 5 Ameaças</t>
  </si>
  <si>
    <t>Oportunidade</t>
  </si>
  <si>
    <t>Ameaça</t>
  </si>
  <si>
    <t>`</t>
  </si>
  <si>
    <t>PERSPECTIVA</t>
  </si>
  <si>
    <t>Nº</t>
  </si>
  <si>
    <t>OBJETIVO</t>
  </si>
  <si>
    <t>INDICADOR</t>
  </si>
  <si>
    <t>RESPONSÁVEL</t>
  </si>
  <si>
    <t>REALIZADO 2021</t>
  </si>
  <si>
    <t>META 2021</t>
  </si>
  <si>
    <t>REALIZADO 2022</t>
  </si>
  <si>
    <t>META 2022</t>
  </si>
  <si>
    <t>REALIZADO 2023</t>
  </si>
  <si>
    <t>META 2023</t>
  </si>
  <si>
    <t>META 2024</t>
  </si>
  <si>
    <t>DESDOBRAMENTO 2024</t>
  </si>
  <si>
    <t>META 2025</t>
  </si>
  <si>
    <t>PERIODICIDADE</t>
  </si>
  <si>
    <t>FINANÇAS</t>
  </si>
  <si>
    <t>Mensal</t>
  </si>
  <si>
    <t>PALESTRAS</t>
  </si>
  <si>
    <t>Anual</t>
  </si>
  <si>
    <t>APRENDIZADO E CRESCIMENTO</t>
  </si>
  <si>
    <t>CONDIÇÃO</t>
  </si>
  <si>
    <t>RESULTADO</t>
  </si>
  <si>
    <t>META</t>
  </si>
  <si>
    <t>SOMA</t>
  </si>
  <si>
    <t>REALIZADO</t>
  </si>
  <si>
    <t>CLIENTES</t>
  </si>
  <si>
    <t>PROCESSOS INTERNOS</t>
  </si>
  <si>
    <t>MÊS</t>
  </si>
  <si>
    <t>MENSAL</t>
  </si>
  <si>
    <t>ACUMULADO</t>
  </si>
  <si>
    <t>UNI MEDIDA</t>
  </si>
  <si>
    <t>ORIENTAÇÃO</t>
  </si>
  <si>
    <t>%</t>
  </si>
  <si>
    <t>PESO</t>
  </si>
  <si>
    <t>% TOTAL</t>
  </si>
  <si>
    <t>R$</t>
  </si>
  <si>
    <t>MAIS</t>
  </si>
  <si>
    <t>MÉDIA</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</si>
  <si>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</si>
  <si>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</si>
  <si>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</si>
  <si>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</si>
  <si>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</si>
  <si>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</si>
  <si>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</si>
  <si>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</si>
  <si>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</si>
  <si>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</si>
  <si>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</si>
  <si>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</si>
  <si>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</si>
  <si>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</si>
  <si>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</si>
  <si>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</si>
  <si>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</si>
  <si>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</si>
  <si>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</si>
  <si>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</si>
  <si>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</si>
  <si>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</si>
  <si>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</si>
  <si>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</si>
  <si>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</si>
  <si>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</si>
  <si>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</si>
  <si>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</si>
  <si>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</si>
  <si>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</si>
  <si>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</si>
  <si>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</si>
  <si>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</si>
  <si>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</si>
  <si>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</si>
  <si>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</si>
  <si>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</si>
  <si>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</si>
  <si>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</si>
  <si>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</si>
  <si>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</si>
  <si>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</si>
  <si>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</si>
  <si>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</si>
  <si>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</si>
  <si>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</si>
  <si>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</si>
  <si>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</si>
  <si>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</si>
  <si>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</si>
  <si>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</si>
  <si>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</si>
  <si>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</si>
  <si>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</si>
  <si>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</si>
  <si>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</si>
  <si>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</si>
  <si>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</si>
  <si>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</si>
  <si>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</si>
  <si>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</si>
  <si>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</si>
  <si>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</si>
  <si>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</si>
  <si>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</si>
  <si>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</si>
  <si>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</si>
  <si>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</si>
  <si>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</si>
  <si>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</si>
  <si>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</si>
  <si>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</si>
  <si>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</si>
  <si>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</si>
  <si>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</si>
  <si>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</si>
  <si>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</si>
  <si>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</si>
  <si>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</si>
  <si>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</si>
  <si>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</si>
  <si>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</si>
  <si>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</si>
  <si>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</si>
  <si>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</si>
  <si>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</si>
  <si>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</si>
  <si>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</si>
  <si>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</si>
  <si>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</si>
  <si>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r>
      <rPr>
        <rFont val="Calibri"/>
        <b/>
        <color rgb="FF333333"/>
        <sz val="12.0"/>
      </rPr>
      <t>Importante:</t>
    </r>
    <r>
      <rPr>
        <rFont val="Calibri"/>
        <color rgb="FF333333"/>
        <sz val="12.0"/>
      </rPr>
      <t xml:space="preserve"> </t>
    </r>
    <r>
      <rPr>
        <rFont val="Calibri"/>
        <color rgb="FF7F7F7F"/>
        <sz val="12.0"/>
      </rPr>
      <t>Desenvolva planos de ação para impulsionar os itens da SWOT.
Apenas os 20 principais itens (os mais bem pontuados) estão sendo exibidos para que você tenha foco e objetividade nas ações.</t>
    </r>
  </si>
  <si>
    <t>Setembro</t>
  </si>
  <si>
    <t>Outubro</t>
  </si>
  <si>
    <t>Novembro</t>
  </si>
  <si>
    <t>Dezembro</t>
  </si>
  <si>
    <t>Janeiro</t>
  </si>
  <si>
    <t>Fevereiro</t>
  </si>
  <si>
    <t>Março</t>
  </si>
  <si>
    <t>Abril</t>
  </si>
  <si>
    <t>Maio</t>
  </si>
  <si>
    <t>Junho</t>
  </si>
  <si>
    <t>Julho</t>
  </si>
  <si>
    <t>Agosto</t>
  </si>
  <si>
    <t>Planos de ação</t>
  </si>
  <si>
    <t>Itens</t>
  </si>
  <si>
    <t>Responsável</t>
  </si>
  <si>
    <t>Área</t>
  </si>
  <si>
    <t>Previsão início</t>
  </si>
  <si>
    <t>Previsão fim</t>
  </si>
  <si>
    <t>Andamento</t>
  </si>
  <si>
    <t>Status</t>
  </si>
  <si>
    <t>Ex.: Aumentar a divulgação da empresa</t>
  </si>
  <si>
    <t>Ex.: O serviço é de qualidade</t>
  </si>
  <si>
    <t>Ex.: Força</t>
  </si>
  <si>
    <t>Ex.: Luis Carlos Almeida</t>
  </si>
  <si>
    <t>Ex.: Merketing</t>
  </si>
  <si>
    <t>Ex.: 01/01/2016</t>
  </si>
  <si>
    <t>Ex.: 31/12/2016</t>
  </si>
  <si>
    <t>Ex.: Concluído</t>
  </si>
  <si>
    <t>Ex.: Atrasado</t>
  </si>
  <si>
    <t>Índice de favorabilidade</t>
  </si>
  <si>
    <t>Favorável - Se a sua análise está correta, vale a pena continuar a fazer o que você está fazendo apenas adicionando ações de melhorias de forças e oportunidades e medidas de contenção de possíveis fraquezas e ameaças.</t>
  </si>
  <si>
    <t>Seu índice é</t>
  </si>
  <si>
    <t>Muito Desfavorável - O cenário para crescimento do seu negócio é muito desfavorável, talvez seja o momento de pensar em uma mudança estratégica drástica.</t>
  </si>
  <si>
    <t>CONTA DE MÉDIA</t>
  </si>
  <si>
    <t>Desfavorável - Uma análise SWOT desfavorável não quer dizer que você precisa desistir do seu negócio, mas é importante pensar em planos de ações direcionados à mitigar as principais ameaças e para diminuir o peso negativo de algumas fraquezas.</t>
  </si>
  <si>
    <t>Equilíbrio - Com um cenário equilibrado vale a pena investir mais tempo de análise para saber se o seu foco será interno ou externo.</t>
  </si>
  <si>
    <t>Muito Favorável - Se a sua análise está correta, vale muito a pena continuar a fazer exatamente o que você está fazendo apenas adicionando ações de melhorias de forças e oportunidades e medidas de contenção de possíveis fraquezas e ameaças.</t>
  </si>
  <si>
    <t>Análise geral dos fatores internos e externos</t>
  </si>
  <si>
    <t>RANK</t>
  </si>
  <si>
    <t>Forças</t>
  </si>
  <si>
    <t>Sobrevivência</t>
  </si>
  <si>
    <t>fraquezas</t>
  </si>
  <si>
    <t>ameaças</t>
  </si>
  <si>
    <t>Fraquezas</t>
  </si>
  <si>
    <t>Manutenção</t>
  </si>
  <si>
    <t>forças</t>
  </si>
  <si>
    <t>Oportunidades</t>
  </si>
  <si>
    <t>Crescimento</t>
  </si>
  <si>
    <t>oportunidades</t>
  </si>
  <si>
    <t>Ameaças</t>
  </si>
  <si>
    <t>Desenvolvimento</t>
  </si>
  <si>
    <t>Gráficos radar da análise SWOT</t>
  </si>
  <si>
    <t>Análise das forças</t>
  </si>
  <si>
    <t>Análise das fraquezas</t>
  </si>
  <si>
    <t>Análise das oportunidades</t>
  </si>
  <si>
    <t>Análise das ameaças</t>
  </si>
  <si>
    <t>Se você busca melhores resultados, é preciso atuar em mais itens criando planos de ação eficientes para cada um deles!</t>
  </si>
  <si>
    <t>Não está ruim, mas é preciso ter atenção. Se você busca resultados melhores no seu negócio, talvez seja necessário atuar em mais itens criando ainda mais planos de ação!</t>
  </si>
  <si>
    <t>Legal, você criou planos de ação para todos ou quase todos os itens. Se tudo correr bem, você obterá resultados brevemente. Parabéns!</t>
  </si>
  <si>
    <t>No prazo</t>
  </si>
  <si>
    <t>Desenvolvimento de planos de ação</t>
  </si>
  <si>
    <t>Atrasado</t>
  </si>
  <si>
    <t>Status dos seus planos de ação</t>
  </si>
  <si>
    <t>Conformidade do dos planos de ação</t>
  </si>
  <si>
    <t>Aguardando</t>
  </si>
  <si>
    <t>Adiantado</t>
  </si>
  <si>
    <t>Em andamento</t>
  </si>
  <si>
    <t>Concluído</t>
  </si>
  <si>
    <t>Top 5: Áreas com mais planos de ação x Número de planos de ação atrasados</t>
  </si>
  <si>
    <t>Total de planos de ação</t>
  </si>
  <si>
    <t>Total conforme</t>
  </si>
  <si>
    <t>Total atrasado</t>
  </si>
  <si>
    <t>Receitas x Despesas</t>
  </si>
  <si>
    <t>Mês Anterior x Mês Atual</t>
  </si>
  <si>
    <t>Contas a Receber x Contas a Pagar</t>
  </si>
  <si>
    <t>Necessidade de Caixa x Acumulado</t>
  </si>
  <si>
    <t>Positivo</t>
  </si>
  <si>
    <t>Parabéns! As suas receitas estão maiores do que as suas despesas. Meses com lucro são sempre interessantes para a sua empresa. Aproveite e dê uma olhada nas contas a pagar e a receber do próximo mês para saber se você vai continuar mandando bem.</t>
  </si>
  <si>
    <t>Boa! Suas finanças melhoraram do mês passado para esse. Que tal investigar os motivos e dedicar mais tempo para replicá-las?</t>
  </si>
  <si>
    <t>Legal, você tem mais recebimentos do que pagamentos para entrar em caixa. Só tome cuidado com o índice de inadimplência dos seus devedores para não transformar essa projeção em um resultado real ruim</t>
  </si>
  <si>
    <t>Sua necessidade de caixa para o mês que vem é menor do que você tem acumulado. Sua empresa está indo bem, mas fique de olho nos meses futuros para não ter surpresas!</t>
  </si>
  <si>
    <t>Negativo</t>
  </si>
  <si>
    <t>Suas despesas estão maiores que as suas receitas, isso significa que esse mês foi de prejuízo. Você já sabe os motivos? Vale a pena olhar suas despesas no DRE para ter certeza que o resultado ruim não se repetirá.</t>
  </si>
  <si>
    <t>Tome cuidado, seu resultado mensal piorou do mês passado para esse. Esse mês é sempre ruim ou aconteceu alguma coisa que fez seu resultado piorar?</t>
  </si>
  <si>
    <t>Cuidado! Suas contas a pagar para esse mês estão superiores ao que você tem direito a receber, se você não procurar reverter essa situação, provavelmente terá prejuízo</t>
  </si>
  <si>
    <t>Sua necessidade de caixa para o mês que vem é maior do que você tem acumulado. É bom você ficar atento e correr atrás de mais receitas, afinal de contas, a previsão é que você entre no vermelho se tudo continuar assim</t>
  </si>
  <si>
    <t>Pergunta</t>
  </si>
  <si>
    <t>Resposta</t>
  </si>
  <si>
    <t>1. O que significa SWOT?</t>
  </si>
  <si>
    <r>
      <rPr>
        <rFont val="Calibri"/>
        <color theme="1"/>
        <sz val="11.0"/>
      </rPr>
      <t>O termo </t>
    </r>
    <r>
      <rPr>
        <rFont val="Arial"/>
        <b/>
        <color rgb="FF333333"/>
        <sz val="11.0"/>
      </rPr>
      <t>SWOT</t>
    </r>
    <r>
      <rPr>
        <rFont val="Arial"/>
        <color rgb="FF333333"/>
        <sz val="11.0"/>
      </rPr>
      <t> é uma sigla oriunda do idioma </t>
    </r>
    <r>
      <rPr>
        <rFont val="Arial"/>
        <color rgb="FF000080"/>
        <sz val="11.0"/>
      </rPr>
      <t>inglês</t>
    </r>
    <r>
      <rPr>
        <rFont val="Arial"/>
        <color rgb="FF333333"/>
        <sz val="11.0"/>
      </rPr>
      <t>, e é um </t>
    </r>
    <r>
      <rPr>
        <rFont val="Arial"/>
        <color rgb="FF000080"/>
        <sz val="11.0"/>
      </rPr>
      <t>acrónimo</t>
    </r>
    <r>
      <rPr>
        <rFont val="Arial"/>
        <color rgb="FF333333"/>
        <sz val="11.0"/>
      </rPr>
      <t> de Forças (</t>
    </r>
    <r>
      <rPr>
        <rFont val="Arial"/>
        <b/>
        <color rgb="FF333333"/>
        <sz val="11.0"/>
      </rPr>
      <t>S</t>
    </r>
    <r>
      <rPr>
        <rFont val="Arial"/>
        <color rgb="FF333333"/>
        <sz val="11.0"/>
      </rPr>
      <t>trengths), Fraquezas (</t>
    </r>
    <r>
      <rPr>
        <rFont val="Arial"/>
        <b/>
        <color rgb="FF333333"/>
        <sz val="11.0"/>
      </rPr>
      <t>W</t>
    </r>
    <r>
      <rPr>
        <rFont val="Arial"/>
        <color rgb="FF333333"/>
        <sz val="11.0"/>
      </rPr>
      <t>eaknesses), Oportunidades (</t>
    </r>
    <r>
      <rPr>
        <rFont val="Arial"/>
        <b/>
        <color rgb="FF333333"/>
        <sz val="11.0"/>
      </rPr>
      <t>O</t>
    </r>
    <r>
      <rPr>
        <rFont val="Arial"/>
        <color rgb="FF333333"/>
        <sz val="11.0"/>
      </rPr>
      <t>pportunities) e Ameaças (</t>
    </r>
    <r>
      <rPr>
        <rFont val="Arial"/>
        <b/>
        <color rgb="FF333333"/>
        <sz val="11.0"/>
      </rPr>
      <t>T</t>
    </r>
    <r>
      <rPr>
        <rFont val="Arial"/>
        <color rgb="FF333333"/>
        <sz val="11.0"/>
      </rPr>
      <t>hreats).</t>
    </r>
  </si>
  <si>
    <t>2. O que é análise SWOT?</t>
  </si>
  <si>
    <r>
      <rPr>
        <rFont val="Arial"/>
        <color rgb="FF252525"/>
        <sz val="11.0"/>
      </rPr>
      <t>A </t>
    </r>
    <r>
      <rPr>
        <rFont val="Arial"/>
        <b/>
        <color rgb="FF333333"/>
        <sz val="11.0"/>
      </rPr>
      <t>Análise SWOT</t>
    </r>
    <r>
      <rPr>
        <rFont val="Arial"/>
        <color rgb="FF333333"/>
        <sz val="11.0"/>
      </rPr>
      <t> ou </t>
    </r>
    <r>
      <rPr>
        <rFont val="Arial"/>
        <b/>
        <color rgb="FF333333"/>
        <sz val="11.0"/>
      </rPr>
      <t>Análise FOFA ou FFOA (Forças, Fraquezas, Oportunidades e Ameaças)</t>
    </r>
    <r>
      <rPr>
        <rFont val="Arial"/>
        <color rgb="FF333333"/>
        <sz val="11.0"/>
      </rPr>
      <t> (em </t>
    </r>
    <r>
      <rPr>
        <rFont val="Arial"/>
        <color rgb="FF000080"/>
        <sz val="11.0"/>
      </rPr>
      <t>português</t>
    </r>
    <r>
      <rPr>
        <rFont val="Arial"/>
        <color rgb="FF333333"/>
        <sz val="11.0"/>
      </rPr>
      <t>) é uma ferramenta utilizada para fazer análise de cenário (ou análise de ambiente), sendo usada como base para </t>
    </r>
    <r>
      <rPr>
        <rFont val="Arial"/>
        <color rgb="FF000080"/>
        <sz val="11.0"/>
      </rPr>
      <t>gestão</t>
    </r>
    <r>
      <rPr>
        <rFont val="Arial"/>
        <color rgb="FF333333"/>
        <sz val="11.0"/>
      </rPr>
      <t> e </t>
    </r>
    <r>
      <rPr>
        <rFont val="Arial"/>
        <color rgb="FF000080"/>
        <sz val="11.0"/>
      </rPr>
      <t>planejamento estratégico</t>
    </r>
    <r>
      <rPr>
        <rFont val="Arial"/>
        <color rgb="FF333333"/>
        <sz val="11.0"/>
      </rPr>
      <t> de uma </t>
    </r>
    <r>
      <rPr>
        <rFont val="Arial"/>
        <color rgb="FF000080"/>
        <sz val="11.0"/>
      </rPr>
      <t>corporação</t>
    </r>
    <r>
      <rPr>
        <rFont val="Arial"/>
        <color rgb="FF333333"/>
        <sz val="11.0"/>
      </rPr>
      <t> ou </t>
    </r>
    <r>
      <rPr>
        <rFont val="Arial"/>
        <color rgb="FF000080"/>
        <sz val="11.0"/>
      </rPr>
      <t>empresa</t>
    </r>
    <r>
      <rPr>
        <rFont val="Arial"/>
        <color rgb="FF333333"/>
        <sz val="11.0"/>
      </rPr>
      <t>, mas podendo, devido a sua simplicidade, ser utilizada para qualquer tipo de análise de cenário, desde a criação de um </t>
    </r>
    <r>
      <rPr>
        <rFont val="Arial"/>
        <i/>
        <color rgb="FF000080"/>
        <sz val="11.0"/>
      </rPr>
      <t>blog</t>
    </r>
    <r>
      <rPr>
        <rFont val="Arial"/>
        <color rgb="FF333333"/>
        <sz val="11.0"/>
      </rPr>
      <t> à gestão de uma </t>
    </r>
    <r>
      <rPr>
        <rFont val="Arial"/>
        <color rgb="FF000080"/>
        <sz val="11.0"/>
      </rPr>
      <t>multinacional</t>
    </r>
    <r>
      <rPr>
        <rFont val="Arial"/>
        <color rgb="FF333333"/>
        <sz val="11.0"/>
      </rPr>
      <t>.</t>
    </r>
  </si>
  <si>
    <t>4. O que são fatores internos?</t>
  </si>
  <si>
    <t>Tratam-se das características específicas do seu negócio. Pontos fortes ou fracos da sua equipe, excelência ou improdutividade em processos internos, etc. Ou seja, forças e fraquezas relativas a outros players do mercado.</t>
  </si>
  <si>
    <t>6. O que são forças?</t>
  </si>
  <si>
    <r>
      <rPr>
        <rFont val="Arial"/>
        <b/>
        <i/>
        <color rgb="FF252525"/>
        <sz val="11.0"/>
      </rPr>
      <t>Forças</t>
    </r>
    <r>
      <rPr>
        <rFont val="Arial"/>
        <b val="0"/>
        <i val="0"/>
        <color rgb="FF333333"/>
        <sz val="11.0"/>
      </rPr>
      <t> - Vantagens internas da empresa em relação às empresas concorrentes.</t>
    </r>
  </si>
  <si>
    <t>7. O que são fraquezas?</t>
  </si>
  <si>
    <r>
      <rPr>
        <rFont val="Arial"/>
        <b/>
        <i/>
        <color rgb="FF252525"/>
        <sz val="11.0"/>
      </rPr>
      <t>Fraquezas</t>
    </r>
    <r>
      <rPr>
        <rFont val="Arial"/>
        <b val="0"/>
        <i val="0"/>
        <color rgb="FF333333"/>
        <sz val="11.0"/>
      </rPr>
      <t> - Desvantagens internas da empresa em relação às empresas concorrentes.</t>
    </r>
  </si>
  <si>
    <t>5. O que são fatores externos?</t>
  </si>
  <si>
    <t>Tratam-se das características e mudanças que o mercado como um todo pode apresentar que poderão beneficiar ou atrapalhar seu negócio. Oportunidades são as positivas e Ameaças são as negativas.</t>
  </si>
  <si>
    <t>6. O que são oportunidades?</t>
  </si>
  <si>
    <r>
      <rPr>
        <rFont val="Arial"/>
        <b/>
        <i/>
        <color rgb="FF252525"/>
        <sz val="11.0"/>
      </rPr>
      <t>Oportunidades</t>
    </r>
    <r>
      <rPr>
        <rFont val="Arial"/>
        <b val="0"/>
        <i val="0"/>
        <color rgb="FF333333"/>
        <sz val="11.0"/>
      </rPr>
      <t> - Aspectos positivos do mercado com potencial de fazer crescer a vantagem competitiva da empresa.</t>
    </r>
  </si>
  <si>
    <t>7. O que são ameaças?</t>
  </si>
  <si>
    <t>Ameaças - Aspectos positivos do mercado com potencial de comprometer a vantagem competitiva da empresa.</t>
  </si>
  <si>
    <t>8. O que são cruzamentos de dados?</t>
  </si>
  <si>
    <t>A combinação destes dois ambientes, interno e externo, e das suas variáveis, Forças e Fraquezas; Oportunidades e Ameaças, irá facilitar a análise e a procura para tomada de decisões na definição das estratégias de negócios da empresa.
Forças e Oportunidades - Tirar o máximo partido dos pontos fortes para aproveitar ao máximo as oportunidades detectadas.
Forças e Ameaças - Tirar o máximo partido dos pontos fortes para minimizar os efeitos das ameaças detectadas.
Fraquezas e Oportunidades - Desenvolver estratégias que minimizem os efeitos negativos dos pontos fracos e que em simultâneo aproveitem as oportunidades detectadas.
Fraquezas e Ameaças - As estratégias a adotar devem minimizar ou ultrapassar os pontos fracos e, tanto quanto possível, fazer face às ameaças.</t>
  </si>
  <si>
    <t>9. O que é matriz SWOT</t>
  </si>
  <si>
    <t>É uma matriz em que se identificam as suas maiores forças, fraquezas, oportunidades e ameaças. Permite distinguir o ambiente interno - (factores e realidades internas - forças e fraquezas) e o ambiente externo (factores e aspectos futuros - oportunidades e ameaças) da organização.</t>
  </si>
  <si>
    <t>8. 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</si>
  <si>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</si>
  <si>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9. Posso remover linhas?</t>
  </si>
  <si>
    <t xml:space="preserve">Nós recomendamos fortemente que você utilize a estrutura pronta apresentada, pois existem diversas fórmulas que podem ser afetadas pela remoção de linhas e colunas. Além disso, para facilitar o preenchimento mantemos a planilha desbloqueada apenas nos locais para preenchimento. </t>
  </si>
  <si>
    <t>10. Essa planilha pode ser apresentada para instituições financeiras?</t>
  </si>
  <si>
    <t>Sim. Porém esses dados não garantem aprovações ou reprovações por parte dessas instituições. Sendo usados como dados complementares.</t>
  </si>
  <si>
    <t>11. Para que servem os alertas?</t>
  </si>
  <si>
    <t>Eles são avisos sobre como a sua projeção está. A partir deles, você pode refinar suas projeções e pensar em medidas mais agressivas para tornar seu projeto mais agressivo.</t>
  </si>
  <si>
    <t>12. Como desbloquear a planilha?</t>
  </si>
  <si>
    <t>Basta entrar no menu superior "Revisão" e escolher o item desproteger planilha no grupo Alterações. As planilhas não possuem senhas, apenas estão bloqueadas para melhorar a usabilidade delas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</si>
</sst>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R$&quot;\ #,##0.00"/>
    <numFmt numFmtId="165" formatCode="_-&quot;R$&quot;\ * #,##0.00_-;\-&quot;R$&quot;\ * #,##0.00_-;_-&quot;R$&quot;\ * &quot;-&quot;??_-;_-@"/>
    <numFmt numFmtId="166" formatCode="[$R$ -416]#,##0.00"/>
    <numFmt numFmtId="167" formatCode="0,000"/>
  </numFmts>
  <fonts count="60">
    <font>
      <sz val="11.0"/>
      <color theme="1"/>
      <name val="Calibri"/>
      <scheme val="minor"/>
    </font>
    <font>
      <sz val="11.0"/>
      <color theme="1"/>
      <name val="Calibri"/>
    </font>
    <font>
      <b/>
      <sz val="36.0"/>
      <color theme="1"/>
      <name val="Calibri"/>
    </font>
    <font/>
    <font>
      <sz val="11.0"/>
      <color rgb="FF7030A0"/>
      <name val="Calibri"/>
    </font>
    <font>
      <sz val="11.0"/>
      <color rgb="FF7F7F7F"/>
      <name val="Calibri"/>
    </font>
    <font>
      <b/>
      <sz val="12.0"/>
      <color rgb="FF595959"/>
      <name val="Calibri"/>
    </font>
    <font>
      <sz val="11.0"/>
      <color rgb="FF333333"/>
      <name val="Arial"/>
    </font>
    <font>
      <b/>
      <sz val="14.0"/>
      <color theme="0"/>
      <name val="Calibri"/>
    </font>
    <font>
      <b/>
      <sz val="18.0"/>
      <color rgb="FF14B1E7"/>
      <name val="Calibri"/>
    </font>
    <font>
      <sz val="11.0"/>
      <color rgb="FF7F7F7F"/>
      <name val="Arial"/>
    </font>
    <font>
      <sz val="11.0"/>
      <color theme="0"/>
      <name val="Calibri"/>
    </font>
    <font>
      <sz val="14.0"/>
      <color rgb="FF3366CC"/>
      <name val="Calibri"/>
    </font>
    <font>
      <sz val="11.0"/>
      <color rgb="FF3D3C40"/>
      <name val="Arial"/>
    </font>
    <font>
      <sz val="18.0"/>
      <color rgb="FF333333"/>
      <name val="Calibri"/>
    </font>
    <font>
      <sz val="18.0"/>
      <color theme="0"/>
      <name val="Calibri"/>
    </font>
    <font>
      <sz val="18.0"/>
      <color theme="1"/>
      <name val="Calibri"/>
    </font>
    <font>
      <sz val="10.0"/>
      <color rgb="FF595959"/>
      <name val="Calibri"/>
    </font>
    <font>
      <sz val="10.0"/>
      <color theme="0"/>
      <name val="Calibri"/>
    </font>
    <font>
      <sz val="10.0"/>
      <color theme="1"/>
      <name val="Calibri"/>
    </font>
    <font>
      <sz val="12.0"/>
      <color theme="1"/>
      <name val="Calibri"/>
    </font>
    <font>
      <b/>
      <sz val="12.0"/>
      <color theme="0"/>
      <name val="Calibri"/>
    </font>
    <font>
      <sz val="12.0"/>
      <color theme="0"/>
      <name val="Calibri"/>
    </font>
    <font>
      <b/>
      <i/>
      <sz val="12.0"/>
      <color rgb="FF999999"/>
      <name val="Calibri"/>
    </font>
    <font>
      <sz val="12.0"/>
      <color rgb="FF3F3F3F"/>
      <name val="Calibri"/>
    </font>
    <font>
      <b/>
      <sz val="16.0"/>
      <color theme="0"/>
      <name val="Calibri"/>
    </font>
    <font>
      <b/>
      <sz val="20.0"/>
      <color theme="0"/>
      <name val="Calibri"/>
    </font>
    <font>
      <sz val="11.0"/>
      <color rgb="FFFF0000"/>
      <name val="Calibri"/>
    </font>
    <font>
      <sz val="18.0"/>
      <color rgb="FF000000"/>
      <name val="Calibri"/>
    </font>
    <font>
      <sz val="11.0"/>
      <color rgb="FF000000"/>
      <name val="Calibri"/>
    </font>
    <font>
      <sz val="10.0"/>
      <color rgb="FF000000"/>
      <name val="Calibri"/>
    </font>
    <font>
      <sz val="12.0"/>
      <color rgb="FF000000"/>
      <name val="Calibri"/>
    </font>
    <font>
      <b/>
      <sz val="20.0"/>
      <color rgb="FF9CC2E5"/>
      <name val="Calibri"/>
    </font>
    <font>
      <sz val="11.0"/>
      <color rgb="FFFFFFFF"/>
      <name val="Calibri"/>
    </font>
    <font>
      <b/>
      <sz val="11.0"/>
      <color theme="0"/>
      <name val="Calibri"/>
    </font>
    <font>
      <b/>
      <sz val="11.0"/>
      <color theme="1"/>
      <name val="Calibri"/>
    </font>
    <font>
      <b/>
      <sz val="11.0"/>
      <color rgb="FFFFFFFF"/>
      <name val="Calibri"/>
    </font>
    <font>
      <b/>
      <sz val="24.0"/>
      <color rgb="FF9CC2E5"/>
      <name val="Calibri"/>
    </font>
    <font>
      <color theme="1"/>
      <name val="Calibri"/>
    </font>
    <font>
      <b/>
      <sz val="20.0"/>
      <color theme="1"/>
      <name val="Calibri"/>
    </font>
    <font>
      <color rgb="FFFFFFFF"/>
      <name val="Calibri"/>
    </font>
    <font>
      <color rgb="FFEEEEEE"/>
      <name val="Calibri"/>
    </font>
    <font>
      <b/>
      <color theme="1"/>
      <name val="Calibri"/>
    </font>
    <font>
      <sz val="12.0"/>
      <color rgb="FF333333"/>
      <name val="Calibri"/>
    </font>
    <font>
      <sz val="11.0"/>
      <color rgb="FF3F3F3F"/>
      <name val="Calibri"/>
    </font>
    <font>
      <b/>
      <sz val="16.0"/>
      <color theme="1"/>
      <name val="Calibri"/>
    </font>
    <font>
      <b/>
      <sz val="16.0"/>
      <color rgb="FF666666"/>
      <name val="Calibri"/>
    </font>
    <font>
      <sz val="36.0"/>
      <color theme="1"/>
      <name val="Calibri"/>
    </font>
    <font>
      <sz val="12.0"/>
      <color rgb="FF623F99"/>
      <name val="Calibri"/>
    </font>
    <font>
      <sz val="14.0"/>
      <color theme="0"/>
      <name val="Calibri"/>
    </font>
    <font>
      <sz val="12.0"/>
      <color rgb="FF7F7F7F"/>
      <name val="Calibri"/>
    </font>
    <font>
      <sz val="14.0"/>
      <color rgb="FF757070"/>
      <name val="Calibri"/>
    </font>
    <font>
      <b/>
      <sz val="16.0"/>
      <color rgb="FF623F99"/>
      <name val="Calibri"/>
    </font>
    <font>
      <sz val="12.0"/>
      <color rgb="FF006100"/>
      <name val="Calibri"/>
    </font>
    <font>
      <sz val="12.0"/>
      <color rgb="FF9C0006"/>
      <name val="Calibri"/>
    </font>
    <font>
      <sz val="48.0"/>
      <color theme="1"/>
      <name val="Calibri"/>
    </font>
    <font>
      <sz val="11.0"/>
      <color rgb="FF252525"/>
      <name val="Arial"/>
    </font>
    <font>
      <b/>
      <i/>
      <sz val="11.0"/>
      <color rgb="FF252525"/>
      <name val="Arial"/>
    </font>
    <font>
      <b/>
      <sz val="11.0"/>
      <color rgb="FF252525"/>
      <name val="Arial"/>
    </font>
    <font>
      <sz val="10.0"/>
      <color rgb="FF444444"/>
      <name val="Open Sans"/>
    </font>
  </fonts>
  <fills count="22">
    <fill>
      <patternFill patternType="none"/>
    </fill>
    <fill>
      <patternFill patternType="lightGray"/>
    </fill>
    <fill>
      <patternFill patternType="solid">
        <fgColor theme="1"/>
        <bgColor theme="1"/>
      </patternFill>
    </fill>
    <fill>
      <patternFill patternType="solid">
        <fgColor rgb="FF0F44CA"/>
        <bgColor rgb="FF0F44CA"/>
      </patternFill>
    </fill>
    <fill>
      <patternFill patternType="solid">
        <fgColor rgb="FFECF0F1"/>
        <bgColor rgb="FFECF0F1"/>
      </patternFill>
    </fill>
    <fill>
      <patternFill patternType="solid">
        <fgColor theme="0"/>
        <bgColor theme="0"/>
      </patternFill>
    </fill>
    <fill>
      <patternFill patternType="solid">
        <fgColor rgb="FFEAEAEA"/>
        <bgColor rgb="FFEAEAEA"/>
      </patternFill>
    </fill>
    <fill>
      <patternFill patternType="solid">
        <fgColor rgb="FF336699"/>
        <bgColor rgb="FF336699"/>
      </patternFill>
    </fill>
    <fill>
      <patternFill patternType="solid">
        <fgColor rgb="FF669966"/>
        <bgColor rgb="FF669966"/>
      </patternFill>
    </fill>
    <fill>
      <patternFill patternType="solid">
        <fgColor rgb="FFFF6666"/>
        <bgColor rgb="FFFF6666"/>
      </patternFill>
    </fill>
    <fill>
      <patternFill patternType="solid">
        <fgColor rgb="FF66CC66"/>
        <bgColor rgb="FF66CC66"/>
      </patternFill>
    </fill>
    <fill>
      <patternFill patternType="solid">
        <fgColor rgb="FFFF9797"/>
        <bgColor rgb="FFFF9797"/>
      </patternFill>
    </fill>
    <fill>
      <patternFill patternType="solid">
        <fgColor rgb="FFBFBFBF"/>
        <bgColor rgb="FFBFBFBF"/>
      </patternFill>
    </fill>
    <fill>
      <patternFill patternType="solid">
        <fgColor rgb="FFEEEEEE"/>
        <bgColor rgb="FFEEEEEE"/>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D8D8D8"/>
        <bgColor rgb="FFD8D8D8"/>
      </patternFill>
    </fill>
    <fill>
      <patternFill patternType="solid">
        <fgColor rgb="FFFEF2CB"/>
        <bgColor rgb="FFFEF2CB"/>
      </patternFill>
    </fill>
    <fill>
      <patternFill patternType="solid">
        <fgColor rgb="FFC9DAF8"/>
        <bgColor rgb="FFC9DAF8"/>
      </patternFill>
    </fill>
    <fill>
      <patternFill patternType="solid">
        <fgColor rgb="FF14B1E7"/>
        <bgColor rgb="FF14B1E7"/>
      </patternFill>
    </fill>
    <fill>
      <patternFill patternType="solid">
        <fgColor rgb="FFBDD6EE"/>
        <bgColor rgb="FFBDD6EE"/>
      </patternFill>
    </fill>
  </fills>
  <borders count="83">
    <border/>
    <border>
      <left/>
      <right/>
      <top/>
      <bottom/>
    </border>
    <border>
      <left/>
      <top/>
    </border>
    <border>
      <top/>
    </border>
    <border>
      <left/>
    </border>
    <border>
      <left style="medium">
        <color rgb="FF0F44CA"/>
      </left>
      <top style="medium">
        <color rgb="FF0F44CA"/>
      </top>
    </border>
    <border>
      <top style="medium">
        <color rgb="FF0F44CA"/>
      </top>
    </border>
    <border>
      <right style="medium">
        <color rgb="FF0F44CA"/>
      </right>
      <top style="medium">
        <color rgb="FF0F44CA"/>
      </top>
    </border>
    <border>
      <left style="medium">
        <color rgb="FF0F44CA"/>
      </left>
    </border>
    <border>
      <right style="medium">
        <color rgb="FF0F44CA"/>
      </right>
    </border>
    <border>
      <left/>
      <top/>
      <bottom/>
    </border>
    <border>
      <top/>
      <bottom/>
    </border>
    <border>
      <left style="medium">
        <color rgb="FF0F44CA"/>
      </left>
      <bottom style="medium">
        <color rgb="FF0F44CA"/>
      </bottom>
    </border>
    <border>
      <bottom style="medium">
        <color rgb="FF0F44CA"/>
      </bottom>
    </border>
    <border>
      <right style="medium">
        <color rgb="FF0F44CA"/>
      </right>
      <bottom style="medium">
        <color rgb="FF0F44CA"/>
      </bottom>
    </border>
    <border>
      <left/>
      <right style="thick">
        <color theme="0"/>
      </right>
      <top style="thick">
        <color theme="0"/>
      </top>
      <bottom style="thick">
        <color theme="0"/>
      </bottom>
    </border>
    <border>
      <left style="thick">
        <color theme="0"/>
      </left>
      <right style="thick">
        <color theme="0"/>
      </right>
      <top style="thick">
        <color theme="0"/>
      </top>
      <bottom style="thick">
        <color theme="0"/>
      </bottom>
    </border>
    <border>
      <left/>
      <right style="thick">
        <color theme="0"/>
      </right>
      <top/>
      <bottom style="thick">
        <color theme="0"/>
      </bottom>
    </border>
    <border>
      <left style="thick">
        <color theme="0"/>
      </left>
      <right style="thick">
        <color theme="0"/>
      </right>
      <top/>
      <bottom style="thick">
        <color theme="0"/>
      </bottom>
    </border>
    <border>
      <left/>
      <right style="thin">
        <color rgb="FFD8D8D8"/>
      </right>
      <top/>
      <bottom style="thin">
        <color rgb="FFD8D8D8"/>
      </bottom>
    </border>
    <border>
      <left style="thin">
        <color rgb="FFD8D8D8"/>
      </left>
      <right style="thin">
        <color rgb="FFD8D8D8"/>
      </right>
      <top/>
      <bottom style="thin">
        <color rgb="FFD8D8D8"/>
      </bottom>
    </border>
    <border>
      <left style="thin">
        <color rgb="FFD8D8D8"/>
      </left>
      <right/>
      <top/>
      <bottom style="thin">
        <color rgb="FFD8D8D8"/>
      </bottom>
    </border>
    <border>
      <left style="thick">
        <color theme="0"/>
      </left>
      <top style="thick">
        <color theme="0"/>
      </top>
      <bottom style="thick">
        <color theme="0"/>
      </bottom>
    </border>
    <border>
      <top style="thick">
        <color theme="0"/>
      </top>
      <bottom style="thick">
        <color theme="0"/>
      </bottom>
    </border>
    <border>
      <left/>
      <right/>
      <top style="thick">
        <color theme="0"/>
      </top>
      <bottom/>
    </border>
    <border>
      <right style="thick">
        <color theme="0"/>
      </right>
      <top style="thick">
        <color theme="0"/>
      </top>
      <bottom style="thick">
        <color theme="0"/>
      </bottom>
    </border>
    <border>
      <left/>
      <right/>
      <top/>
      <bottom style="thin">
        <color rgb="FF000000"/>
      </bottom>
    </border>
    <border>
      <top style="thick">
        <color theme="0"/>
      </top>
    </border>
    <border>
      <bottom style="thin">
        <color rgb="FF000000"/>
      </bottom>
    </border>
    <border>
      <left/>
      <right/>
      <top/>
    </border>
    <border>
      <left/>
      <right/>
    </border>
    <border>
      <left style="thick">
        <color theme="0"/>
      </left>
      <right/>
      <top style="thick">
        <color theme="0"/>
      </top>
      <bottom style="thick">
        <color theme="0"/>
      </bottom>
    </border>
    <border>
      <left/>
      <right/>
      <top style="thick">
        <color theme="0"/>
      </top>
      <bottom style="thick">
        <color theme="0"/>
      </bottom>
    </border>
    <border>
      <left style="thin">
        <color rgb="FFBFBFBF"/>
      </left>
      <right style="thin">
        <color rgb="FFBFBFBF"/>
      </right>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right/>
      <top/>
      <bottom style="thin">
        <color rgb="FFBFBFBF"/>
      </bottom>
    </border>
    <border>
      <left/>
      <right style="thin">
        <color rgb="FFBFBFBF"/>
      </right>
      <top style="thin">
        <color rgb="FFBFBFBF"/>
      </top>
      <bottom style="thin">
        <color rgb="FFBFBFBF"/>
      </bottom>
    </border>
    <border>
      <left style="thin">
        <color rgb="FFBFBFBF"/>
      </left>
      <top/>
      <bottom style="thin">
        <color rgb="FFBFBFBF"/>
      </bottom>
    </border>
    <border>
      <right style="thin">
        <color rgb="FFBFBFBF"/>
      </right>
      <top/>
      <bottom style="thin">
        <color rgb="FFBFBFBF"/>
      </bottom>
    </border>
    <border>
      <top/>
      <bottom style="thin">
        <color rgb="FFBFBFBF"/>
      </bottom>
    </border>
    <border>
      <left style="thin">
        <color rgb="FFBFBFBF"/>
      </left>
      <right/>
      <top style="thin">
        <color rgb="FFBFBFBF"/>
      </top>
      <bottom style="thin">
        <color rgb="FFBFBFBF"/>
      </bottom>
    </border>
    <border>
      <left style="thin">
        <color rgb="FFBFBFBF"/>
      </left>
      <top style="thin">
        <color rgb="FFBFBFBF"/>
      </top>
      <bottom style="thin">
        <color rgb="FFBFBFBF"/>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D8D8D8"/>
      </left>
      <right/>
      <top style="thick">
        <color theme="0"/>
      </top>
      <bottom style="thin">
        <color rgb="FFD8D8D8"/>
      </bottom>
    </border>
    <border>
      <left style="thin">
        <color rgb="FFD8D8D8"/>
      </left>
      <right style="thick">
        <color theme="0"/>
      </right>
      <top style="thick">
        <color theme="0"/>
      </top>
      <bottom style="thin">
        <color rgb="FFD8D8D8"/>
      </bottom>
    </border>
    <border>
      <left/>
      <right/>
      <top/>
      <bottom style="thin">
        <color rgb="FFD8D8D8"/>
      </bottom>
    </border>
    <border>
      <left style="thin">
        <color rgb="FFD8D8D8"/>
      </left>
      <right style="thin">
        <color rgb="FFD8D8D8"/>
      </right>
      <top style="thin">
        <color rgb="FFD8D8D8"/>
      </top>
      <bottom style="thin">
        <color rgb="FFD8D8D8"/>
      </bottom>
    </border>
    <border>
      <left style="thin">
        <color rgb="FFD8D8D8"/>
      </left>
      <right/>
      <top style="thin">
        <color rgb="FFD8D8D8"/>
      </top>
      <bottom style="thin">
        <color rgb="FFD8D8D8"/>
      </bottom>
    </border>
    <border>
      <left style="thin">
        <color rgb="FFD8D8D8"/>
      </left>
      <right style="thick">
        <color theme="0"/>
      </right>
      <top style="thin">
        <color rgb="FFD8D8D8"/>
      </top>
      <bottom style="thin">
        <color rgb="FFD8D8D8"/>
      </bottom>
    </border>
    <border>
      <left style="thick">
        <color theme="0"/>
      </left>
      <bottom style="thick">
        <color theme="0"/>
      </bottom>
    </border>
    <border>
      <left style="medium">
        <color rgb="FF0F44CA"/>
      </left>
      <right style="thick">
        <color theme="0"/>
      </right>
      <top style="thick">
        <color theme="0"/>
      </top>
    </border>
    <border>
      <left style="thick">
        <color theme="0"/>
      </left>
      <top style="thick">
        <color theme="0"/>
      </top>
    </border>
    <border>
      <right style="medium">
        <color rgb="FF0F44CA"/>
      </right>
      <top style="thick">
        <color theme="0"/>
      </top>
    </border>
    <border>
      <left style="medium">
        <color rgb="FF0F44CA"/>
      </left>
      <right style="thick">
        <color theme="0"/>
      </right>
      <top/>
    </border>
    <border>
      <left style="thick">
        <color theme="0"/>
      </left>
    </border>
    <border>
      <left style="medium">
        <color rgb="FF0F44CA"/>
      </left>
      <right style="thick">
        <color theme="0"/>
      </right>
      <bottom style="thick">
        <color theme="0"/>
      </bottom>
    </border>
    <border>
      <bottom style="thick">
        <color theme="0"/>
      </bottom>
    </border>
    <border>
      <right style="medium">
        <color rgb="FF0F44CA"/>
      </right>
      <bottom style="thick">
        <color theme="0"/>
      </bottom>
    </border>
    <border>
      <left style="medium">
        <color rgb="FF0F44CA"/>
      </left>
      <top style="thick">
        <color theme="0"/>
      </top>
      <bottom style="thick">
        <color theme="0"/>
      </bottom>
    </border>
    <border>
      <right style="medium">
        <color rgb="FF0F44CA"/>
      </right>
      <top style="thick">
        <color theme="0"/>
      </top>
      <bottom style="thick">
        <color theme="0"/>
      </bottom>
    </border>
    <border>
      <left style="medium">
        <color rgb="FF0F44CA"/>
      </left>
      <right style="thick">
        <color theme="0"/>
      </right>
      <top style="thick">
        <color theme="0"/>
      </top>
      <bottom style="thick">
        <color theme="0"/>
      </bottom>
    </border>
    <border>
      <right style="thick">
        <color theme="0"/>
      </right>
      <bottom style="thick">
        <color theme="0"/>
      </bottom>
    </border>
    <border>
      <left style="thick">
        <color theme="0"/>
      </left>
      <top/>
      <bottom/>
    </border>
    <border>
      <left style="medium">
        <color rgb="FF0F44CA"/>
      </left>
      <top/>
      <bottom style="thick">
        <color theme="0"/>
      </bottom>
    </border>
    <border>
      <right style="thick">
        <color theme="0"/>
      </right>
      <top/>
      <bottom style="thick">
        <color theme="0"/>
      </bottom>
    </border>
    <border>
      <left style="thick">
        <color theme="0"/>
      </left>
      <top/>
      <bottom style="thick">
        <color theme="0"/>
      </bottom>
    </border>
    <border>
      <right style="medium">
        <color rgb="FF0F44CA"/>
      </right>
      <top/>
      <bottom style="thick">
        <color theme="0"/>
      </bottom>
    </border>
    <border>
      <left style="medium">
        <color rgb="FF0F44CA"/>
      </left>
      <top/>
      <bottom style="medium">
        <color rgb="FF0F44CA"/>
      </bottom>
    </border>
    <border>
      <right style="thick">
        <color theme="0"/>
      </right>
      <top/>
      <bottom style="medium">
        <color rgb="FF0F44CA"/>
      </bottom>
    </border>
    <border>
      <left style="thick">
        <color theme="0"/>
      </left>
      <top/>
      <bottom style="medium">
        <color rgb="FF0F44CA"/>
      </bottom>
    </border>
    <border>
      <right style="medium">
        <color rgb="FF0F44CA"/>
      </right>
      <top/>
      <bottom style="medium">
        <color rgb="FF0F44CA"/>
      </bottom>
    </border>
    <border>
      <left style="thick">
        <color theme="0"/>
      </left>
      <right/>
      <top/>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2" numFmtId="0" xfId="0" applyAlignment="1" applyBorder="1" applyFont="1">
      <alignment horizontal="left" vertical="center"/>
    </xf>
    <xf borderId="3" fillId="0" fontId="3" numFmtId="0" xfId="0" applyBorder="1" applyFont="1"/>
    <xf borderId="1" fillId="2" fontId="4" numFmtId="0" xfId="0" applyAlignment="1" applyBorder="1" applyFont="1">
      <alignment horizontal="left" vertical="center"/>
    </xf>
    <xf borderId="4" fillId="0" fontId="3" numFmtId="0" xfId="0" applyBorder="1" applyFont="1"/>
    <xf borderId="5" fillId="0" fontId="1" numFmtId="0" xfId="0" applyAlignment="1" applyBorder="1" applyFont="1">
      <alignment horizontal="left" vertical="center"/>
    </xf>
    <xf borderId="6" fillId="0" fontId="5" numFmtId="0" xfId="0" applyAlignment="1" applyBorder="1" applyFont="1">
      <alignment horizontal="left" shrinkToFit="0" vertical="center" wrapText="1"/>
    </xf>
    <xf borderId="6" fillId="0" fontId="3" numFmtId="0" xfId="0" applyBorder="1" applyFont="1"/>
    <xf borderId="6" fillId="0" fontId="1" numFmtId="0" xfId="0" applyAlignment="1" applyBorder="1" applyFont="1">
      <alignment horizontal="left" vertical="center"/>
    </xf>
    <xf borderId="7" fillId="0" fontId="1" numFmtId="0" xfId="0" applyAlignment="1" applyBorder="1" applyFont="1">
      <alignment horizontal="left" vertical="center"/>
    </xf>
    <xf borderId="0" fillId="0" fontId="1" numFmtId="0" xfId="0" applyAlignment="1" applyFont="1">
      <alignment horizontal="left" vertical="center"/>
    </xf>
    <xf borderId="8" fillId="0" fontId="6" numFmtId="0" xfId="0" applyAlignment="1" applyBorder="1" applyFont="1">
      <alignment horizontal="left" vertical="center"/>
    </xf>
    <xf borderId="9" fillId="0" fontId="1" numFmtId="0" xfId="0" applyAlignment="1" applyBorder="1" applyFont="1">
      <alignment horizontal="left" vertical="center"/>
    </xf>
    <xf borderId="8" fillId="0" fontId="1" numFmtId="0" xfId="0" applyAlignment="1" applyBorder="1" applyFont="1">
      <alignment horizontal="left" vertical="center"/>
    </xf>
    <xf borderId="0" fillId="0" fontId="7" numFmtId="0" xfId="0" applyAlignment="1" applyFont="1">
      <alignment horizontal="left" shrinkToFit="0" vertical="center" wrapText="1"/>
    </xf>
    <xf borderId="10" fillId="3" fontId="8" numFmtId="0" xfId="0" applyAlignment="1" applyBorder="1" applyFill="1" applyFont="1">
      <alignment horizontal="left" vertical="center"/>
    </xf>
    <xf borderId="11" fillId="0" fontId="3" numFmtId="0" xfId="0" applyBorder="1" applyFont="1"/>
    <xf borderId="0" fillId="0" fontId="9" numFmtId="0" xfId="0" applyAlignment="1" applyFont="1">
      <alignment horizontal="left" vertical="center"/>
    </xf>
    <xf borderId="0" fillId="0" fontId="10" numFmtId="0" xfId="0" applyAlignment="1" applyFont="1">
      <alignment horizontal="left" shrinkToFit="0" vertical="center" wrapText="1"/>
    </xf>
    <xf borderId="1" fillId="2" fontId="11" numFmtId="0" xfId="0" applyAlignment="1" applyBorder="1" applyFont="1">
      <alignment horizontal="left" vertical="center"/>
    </xf>
    <xf borderId="0" fillId="0" fontId="12"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10" numFmtId="0" xfId="0" applyAlignment="1" applyFont="1">
      <alignment horizontal="left" vertical="center"/>
    </xf>
    <xf borderId="0" fillId="0" fontId="13" numFmtId="0" xfId="0" applyAlignment="1" applyFont="1">
      <alignment horizontal="left" shrinkToFit="0" vertical="center" wrapText="1"/>
    </xf>
    <xf borderId="12" fillId="0" fontId="1" numFmtId="0" xfId="0" applyAlignment="1" applyBorder="1" applyFont="1">
      <alignment horizontal="left" vertical="center"/>
    </xf>
    <xf borderId="13" fillId="0" fontId="3" numFmtId="0" xfId="0" applyBorder="1" applyFont="1"/>
    <xf borderId="13" fillId="0" fontId="1" numFmtId="0" xfId="0" applyAlignment="1" applyBorder="1" applyFont="1">
      <alignment horizontal="left" vertical="center"/>
    </xf>
    <xf borderId="14" fillId="0" fontId="1" numFmtId="0" xfId="0" applyAlignment="1" applyBorder="1" applyFont="1">
      <alignment horizontal="left" vertical="center"/>
    </xf>
    <xf borderId="1" fillId="2" fontId="1" numFmtId="0" xfId="0" applyBorder="1" applyFont="1"/>
    <xf borderId="1" fillId="2" fontId="9" numFmtId="0" xfId="0" applyBorder="1" applyFont="1"/>
    <xf borderId="1" fillId="2" fontId="14" numFmtId="0" xfId="0" applyBorder="1" applyFont="1"/>
    <xf borderId="1" fillId="2" fontId="15" numFmtId="0" xfId="0" applyBorder="1" applyFont="1"/>
    <xf borderId="1" fillId="2" fontId="16" numFmtId="0" xfId="0" applyBorder="1" applyFont="1"/>
    <xf borderId="1" fillId="2" fontId="11" numFmtId="0" xfId="0" applyBorder="1" applyFont="1"/>
    <xf borderId="1" fillId="2" fontId="4" numFmtId="0" xfId="0" applyBorder="1" applyFont="1"/>
    <xf borderId="1" fillId="2" fontId="14" numFmtId="0" xfId="0" applyAlignment="1" applyBorder="1" applyFont="1">
      <alignment vertical="top"/>
    </xf>
    <xf borderId="1" fillId="2" fontId="17" numFmtId="0" xfId="0" applyAlignment="1" applyBorder="1" applyFont="1">
      <alignment vertical="center"/>
    </xf>
    <xf borderId="1" fillId="2" fontId="18" numFmtId="0" xfId="0" applyAlignment="1" applyBorder="1" applyFont="1">
      <alignment vertical="center"/>
    </xf>
    <xf borderId="1" fillId="2" fontId="19" numFmtId="0" xfId="0" applyAlignment="1" applyBorder="1" applyFont="1">
      <alignment vertical="center"/>
    </xf>
    <xf borderId="1" fillId="2" fontId="20" numFmtId="0" xfId="0" applyBorder="1" applyFont="1"/>
    <xf borderId="15" fillId="3" fontId="21" numFmtId="0" xfId="0" applyAlignment="1" applyBorder="1" applyFont="1">
      <alignment horizontal="left" shrinkToFit="0" vertical="center" wrapText="1"/>
    </xf>
    <xf borderId="16" fillId="3" fontId="21" numFmtId="0" xfId="0" applyAlignment="1" applyBorder="1" applyFont="1">
      <alignment horizontal="center" vertical="center"/>
    </xf>
    <xf borderId="16" fillId="3" fontId="21" numFmtId="0" xfId="0" applyAlignment="1" applyBorder="1" applyFont="1">
      <alignment horizontal="center" shrinkToFit="0" vertical="center" wrapText="1"/>
    </xf>
    <xf borderId="1" fillId="2" fontId="22" numFmtId="0" xfId="0" applyBorder="1" applyFont="1"/>
    <xf borderId="17" fillId="4" fontId="23" numFmtId="0" xfId="0" applyAlignment="1" applyBorder="1" applyFill="1" applyFont="1">
      <alignment horizontal="left" vertical="center"/>
    </xf>
    <xf borderId="18" fillId="4" fontId="23" numFmtId="4" xfId="0" applyAlignment="1" applyBorder="1" applyFont="1" applyNumberFormat="1">
      <alignment horizontal="center" vertical="center"/>
    </xf>
    <xf borderId="18" fillId="4" fontId="23" numFmtId="9" xfId="0" applyAlignment="1" applyBorder="1" applyFont="1" applyNumberFormat="1">
      <alignment horizontal="center" vertical="center"/>
    </xf>
    <xf borderId="18" fillId="4" fontId="23" numFmtId="0" xfId="0" applyAlignment="1" applyBorder="1" applyFont="1">
      <alignment horizontal="center" vertical="center"/>
    </xf>
    <xf borderId="19" fillId="5" fontId="20" numFmtId="164" xfId="0" applyAlignment="1" applyBorder="1" applyFill="1" applyFont="1" applyNumberFormat="1">
      <alignment horizontal="left" shrinkToFit="0" vertical="center" wrapText="1"/>
    </xf>
    <xf borderId="20" fillId="5" fontId="20" numFmtId="164" xfId="0" applyAlignment="1" applyBorder="1" applyFont="1" applyNumberFormat="1">
      <alignment horizontal="center" vertical="center"/>
    </xf>
    <xf borderId="21" fillId="5" fontId="20" numFmtId="164" xfId="0" applyAlignment="1" applyBorder="1" applyFont="1" applyNumberFormat="1">
      <alignment horizontal="center" vertical="center"/>
    </xf>
    <xf borderId="16" fillId="6" fontId="24" numFmtId="1" xfId="0" applyAlignment="1" applyBorder="1" applyFill="1" applyFont="1" applyNumberFormat="1">
      <alignment horizontal="center" vertical="center"/>
    </xf>
    <xf borderId="1" fillId="2" fontId="11" numFmtId="0" xfId="0" applyAlignment="1" applyBorder="1" applyFont="1">
      <alignment horizontal="center"/>
    </xf>
    <xf borderId="1" fillId="2" fontId="11" numFmtId="1" xfId="0" applyBorder="1" applyFont="1" applyNumberFormat="1"/>
    <xf borderId="1" fillId="2" fontId="11" numFmtId="164" xfId="0" applyBorder="1" applyFont="1" applyNumberFormat="1"/>
    <xf borderId="1" fillId="2" fontId="11" numFmtId="164" xfId="0" applyAlignment="1" applyBorder="1" applyFont="1" applyNumberFormat="1">
      <alignment horizontal="center" vertical="center"/>
    </xf>
    <xf borderId="1" fillId="2" fontId="1" numFmtId="164" xfId="0" applyBorder="1" applyFont="1" applyNumberFormat="1"/>
    <xf borderId="1" fillId="2" fontId="1" numFmtId="0" xfId="0" applyAlignment="1" applyBorder="1" applyFont="1">
      <alignment vertical="center"/>
    </xf>
    <xf borderId="22" fillId="7" fontId="25" numFmtId="0" xfId="0" applyAlignment="1" applyBorder="1" applyFill="1" applyFont="1">
      <alignment horizontal="left" shrinkToFit="0" vertical="center" wrapText="1"/>
    </xf>
    <xf borderId="23" fillId="0" fontId="3" numFmtId="0" xfId="0" applyBorder="1" applyFont="1"/>
    <xf borderId="15" fillId="7" fontId="26" numFmtId="0" xfId="0" applyAlignment="1" applyBorder="1" applyFont="1">
      <alignment horizontal="right" shrinkToFit="0" vertical="center" wrapText="1"/>
    </xf>
    <xf borderId="16" fillId="7" fontId="25" numFmtId="1" xfId="0" applyAlignment="1" applyBorder="1" applyFont="1" applyNumberFormat="1">
      <alignment horizontal="center" shrinkToFit="0" vertical="center" wrapText="1"/>
    </xf>
    <xf borderId="0" fillId="0" fontId="1" numFmtId="0" xfId="0" applyFont="1"/>
    <xf borderId="1" fillId="2" fontId="1" numFmtId="1" xfId="0" applyBorder="1" applyFont="1" applyNumberFormat="1"/>
    <xf borderId="0" fillId="0" fontId="27" numFmtId="0" xfId="0" applyFont="1"/>
    <xf borderId="0" fillId="0" fontId="20" numFmtId="0" xfId="0" applyFont="1"/>
    <xf borderId="16" fillId="3" fontId="21" numFmtId="0" xfId="0" applyAlignment="1" applyBorder="1" applyFont="1">
      <alignment horizontal="left" shrinkToFit="0" vertical="center" wrapText="1"/>
    </xf>
    <xf borderId="18" fillId="4" fontId="23" numFmtId="0" xfId="0" applyAlignment="1" applyBorder="1" applyFont="1">
      <alignment horizontal="left" vertical="center"/>
    </xf>
    <xf borderId="20" fillId="5" fontId="20" numFmtId="164" xfId="0" applyAlignment="1" applyBorder="1" applyFont="1" applyNumberFormat="1">
      <alignment horizontal="left" shrinkToFit="0" vertical="center" wrapText="1"/>
    </xf>
    <xf borderId="24" fillId="2" fontId="11" numFmtId="0" xfId="0" applyAlignment="1" applyBorder="1" applyFont="1">
      <alignment horizontal="center" shrinkToFit="0" vertical="center" wrapText="1"/>
    </xf>
    <xf borderId="25" fillId="0" fontId="3" numFmtId="0" xfId="0" applyBorder="1" applyFont="1"/>
    <xf borderId="16" fillId="7" fontId="25" numFmtId="0" xfId="0" applyAlignment="1" applyBorder="1" applyFont="1">
      <alignment horizontal="left" shrinkToFit="0" vertical="center" wrapText="1"/>
    </xf>
    <xf borderId="1" fillId="2" fontId="14" numFmtId="0" xfId="0" applyAlignment="1" applyBorder="1" applyFont="1">
      <alignment horizontal="left"/>
    </xf>
    <xf borderId="1" fillId="2" fontId="16" numFmtId="0" xfId="0" applyAlignment="1" applyBorder="1" applyFont="1">
      <alignment horizontal="left"/>
    </xf>
    <xf borderId="1" fillId="2" fontId="28" numFmtId="0" xfId="0" applyAlignment="1" applyBorder="1" applyFont="1">
      <alignment horizontal="left"/>
    </xf>
    <xf borderId="1" fillId="2" fontId="29" numFmtId="0" xfId="0" applyBorder="1" applyFont="1"/>
    <xf borderId="1" fillId="2" fontId="14" numFmtId="0" xfId="0" applyAlignment="1" applyBorder="1" applyFont="1">
      <alignment vertical="center"/>
    </xf>
    <xf borderId="1" fillId="2" fontId="17" numFmtId="0" xfId="0" applyAlignment="1" applyBorder="1" applyFont="1">
      <alignment horizontal="left" vertical="center"/>
    </xf>
    <xf borderId="1" fillId="2" fontId="19" numFmtId="0" xfId="0" applyAlignment="1" applyBorder="1" applyFont="1">
      <alignment horizontal="left" vertical="center"/>
    </xf>
    <xf borderId="1" fillId="2" fontId="30" numFmtId="0" xfId="0" applyAlignment="1" applyBorder="1" applyFont="1">
      <alignment horizontal="left" vertical="center"/>
    </xf>
    <xf borderId="1" fillId="2" fontId="31" numFmtId="0" xfId="0" applyBorder="1" applyFont="1"/>
    <xf borderId="1" fillId="2" fontId="29" numFmtId="1" xfId="0" applyBorder="1" applyFont="1" applyNumberFormat="1"/>
    <xf borderId="1" fillId="2" fontId="29" numFmtId="164" xfId="0" applyBorder="1" applyFont="1" applyNumberFormat="1"/>
    <xf borderId="24" fillId="2" fontId="1" numFmtId="0" xfId="0" applyAlignment="1" applyBorder="1" applyFont="1">
      <alignment horizontal="center" shrinkToFit="0" vertical="center" wrapText="1"/>
    </xf>
    <xf borderId="1" fillId="2" fontId="29" numFmtId="0" xfId="0" applyAlignment="1" applyBorder="1" applyFont="1">
      <alignment horizontal="center"/>
    </xf>
    <xf borderId="1" fillId="2" fontId="1" numFmtId="164" xfId="0" applyAlignment="1" applyBorder="1" applyFont="1" applyNumberFormat="1">
      <alignment horizontal="center" vertical="center"/>
    </xf>
    <xf borderId="26" fillId="2" fontId="29" numFmtId="164" xfId="0" applyBorder="1" applyFont="1" applyNumberFormat="1"/>
    <xf borderId="0" fillId="0" fontId="22" numFmtId="0" xfId="0" applyFont="1"/>
    <xf borderId="0" fillId="0" fontId="11" numFmtId="0" xfId="0" applyFont="1"/>
    <xf borderId="0" fillId="0" fontId="11" numFmtId="1" xfId="0" applyFont="1" applyNumberFormat="1"/>
    <xf borderId="0" fillId="0" fontId="11" numFmtId="164" xfId="0" applyFont="1" applyNumberFormat="1"/>
    <xf borderId="0" fillId="0" fontId="1" numFmtId="164" xfId="0" applyFont="1" applyNumberFormat="1"/>
    <xf borderId="27" fillId="0" fontId="1" numFmtId="0" xfId="0" applyAlignment="1" applyBorder="1" applyFont="1">
      <alignment horizontal="center" shrinkToFit="0" vertical="center" wrapText="1"/>
    </xf>
    <xf borderId="0" fillId="0" fontId="11" numFmtId="0" xfId="0" applyAlignment="1" applyFont="1">
      <alignment horizontal="center"/>
    </xf>
    <xf borderId="0" fillId="0" fontId="1" numFmtId="164" xfId="0" applyAlignment="1" applyFont="1" applyNumberFormat="1">
      <alignment horizontal="center" vertical="center"/>
    </xf>
    <xf borderId="0" fillId="0" fontId="1" numFmtId="1" xfId="0" applyFont="1" applyNumberFormat="1"/>
    <xf borderId="28" fillId="0" fontId="1" numFmtId="164" xfId="0" applyBorder="1" applyFont="1" applyNumberFormat="1"/>
    <xf borderId="29" fillId="2" fontId="1" numFmtId="0" xfId="0" applyAlignment="1" applyBorder="1" applyFont="1">
      <alignment horizontal="center" shrinkToFit="0" vertical="center" wrapText="1"/>
    </xf>
    <xf borderId="29" fillId="2" fontId="9" numFmtId="0" xfId="0" applyAlignment="1" applyBorder="1" applyFont="1">
      <alignment horizontal="left" vertical="center"/>
    </xf>
    <xf borderId="1" fillId="2" fontId="14" numFmtId="0" xfId="0" applyAlignment="1" applyBorder="1" applyFont="1">
      <alignment horizontal="center" vertical="center"/>
    </xf>
    <xf borderId="1" fillId="2" fontId="28" numFmtId="0" xfId="0" applyBorder="1" applyFont="1"/>
    <xf borderId="30" fillId="0" fontId="3" numFmtId="0" xfId="0" applyBorder="1" applyFont="1"/>
    <xf borderId="1" fillId="2" fontId="1" numFmtId="0" xfId="0" applyAlignment="1" applyBorder="1" applyFont="1">
      <alignment horizontal="center" vertical="center"/>
    </xf>
    <xf borderId="0" fillId="0" fontId="16" numFmtId="0" xfId="0" applyAlignment="1" applyFont="1">
      <alignment horizontal="left" vertical="center"/>
    </xf>
    <xf borderId="31" fillId="8" fontId="22" numFmtId="0" xfId="0" applyAlignment="1" applyBorder="1" applyFill="1" applyFont="1">
      <alignment horizontal="left" shrinkToFit="0" vertical="center" wrapText="1"/>
    </xf>
    <xf borderId="15" fillId="8" fontId="22" numFmtId="1" xfId="0" applyAlignment="1" applyBorder="1" applyFont="1" applyNumberFormat="1">
      <alignment horizontal="center" shrinkToFit="0" vertical="center" wrapText="1"/>
    </xf>
    <xf borderId="32" fillId="9" fontId="22" numFmtId="0" xfId="0" applyAlignment="1" applyBorder="1" applyFill="1" applyFont="1">
      <alignment horizontal="left" shrinkToFit="0" vertical="center" wrapText="1"/>
    </xf>
    <xf borderId="15" fillId="9" fontId="22" numFmtId="1" xfId="0" applyAlignment="1" applyBorder="1" applyFont="1" applyNumberFormat="1">
      <alignment horizontal="center" shrinkToFit="0" vertical="center" wrapText="1"/>
    </xf>
    <xf borderId="1" fillId="2" fontId="11" numFmtId="0" xfId="0" applyAlignment="1" applyBorder="1" applyFont="1">
      <alignment vertical="center"/>
    </xf>
    <xf borderId="1" fillId="2" fontId="29" numFmtId="164" xfId="0" applyAlignment="1" applyBorder="1" applyFont="1" applyNumberFormat="1">
      <alignment vertical="center"/>
    </xf>
    <xf borderId="1" fillId="2" fontId="29" numFmtId="0" xfId="0" applyAlignment="1" applyBorder="1" applyFont="1">
      <alignment vertical="center"/>
    </xf>
    <xf borderId="1" fillId="2" fontId="29" numFmtId="1" xfId="0" applyAlignment="1" applyBorder="1" applyFont="1" applyNumberFormat="1">
      <alignment vertical="center"/>
    </xf>
    <xf borderId="1" fillId="2" fontId="20" numFmtId="0" xfId="0" applyAlignment="1" applyBorder="1" applyFont="1">
      <alignment vertical="center"/>
    </xf>
    <xf borderId="31" fillId="10" fontId="22" numFmtId="164" xfId="0" applyAlignment="1" applyBorder="1" applyFill="1" applyFont="1" applyNumberFormat="1">
      <alignment horizontal="left" shrinkToFit="0" vertical="center" wrapText="1"/>
    </xf>
    <xf borderId="15" fillId="10" fontId="22" numFmtId="1" xfId="0" applyAlignment="1" applyBorder="1" applyFont="1" applyNumberFormat="1">
      <alignment horizontal="center" vertical="center"/>
    </xf>
    <xf borderId="32" fillId="11" fontId="22" numFmtId="164" xfId="0" applyAlignment="1" applyBorder="1" applyFill="1" applyFont="1" applyNumberFormat="1">
      <alignment horizontal="left" shrinkToFit="0" vertical="center" wrapText="1"/>
    </xf>
    <xf borderId="15" fillId="11" fontId="22" numFmtId="1" xfId="0" applyAlignment="1" applyBorder="1" applyFont="1" applyNumberFormat="1">
      <alignment horizontal="center" shrinkToFit="0" vertical="center" wrapText="1"/>
    </xf>
    <xf borderId="1" fillId="2" fontId="22" numFmtId="0" xfId="0" applyAlignment="1" applyBorder="1" applyFont="1">
      <alignment vertical="center"/>
    </xf>
    <xf borderId="31" fillId="10" fontId="22" numFmtId="0" xfId="0" applyAlignment="1" applyBorder="1" applyFont="1">
      <alignment horizontal="left" shrinkToFit="0" vertical="center" wrapText="1"/>
    </xf>
    <xf borderId="15" fillId="10" fontId="22" numFmtId="0" xfId="0" applyAlignment="1" applyBorder="1" applyFont="1">
      <alignment horizontal="center" vertical="center"/>
    </xf>
    <xf borderId="0" fillId="0" fontId="1" numFmtId="0" xfId="0" applyAlignment="1" applyFont="1">
      <alignment horizontal="center" vertical="center"/>
    </xf>
    <xf borderId="32" fillId="11" fontId="22" numFmtId="0" xfId="0" applyAlignment="1" applyBorder="1" applyFont="1">
      <alignment horizontal="left" shrinkToFit="0" vertical="center" wrapText="1"/>
    </xf>
    <xf borderId="15" fillId="11" fontId="22" numFmtId="0" xfId="0" applyAlignment="1" applyBorder="1" applyFont="1">
      <alignment horizontal="center" shrinkToFit="0" vertical="center" wrapText="1"/>
    </xf>
    <xf borderId="1" fillId="2" fontId="27" numFmtId="0" xfId="0" applyAlignment="1" applyBorder="1" applyFont="1">
      <alignment horizontal="center" vertical="center"/>
    </xf>
    <xf borderId="1" fillId="2" fontId="27" numFmtId="0" xfId="0" applyBorder="1" applyFont="1"/>
    <xf borderId="0" fillId="0" fontId="27" numFmtId="0" xfId="0" applyAlignment="1" applyFont="1">
      <alignment horizontal="center" vertical="center"/>
    </xf>
    <xf borderId="1" fillId="2" fontId="11" numFmtId="0" xfId="0" applyAlignment="1" applyBorder="1" applyFont="1">
      <alignment horizontal="center" vertical="center"/>
    </xf>
    <xf borderId="0" fillId="2" fontId="11" numFmtId="0" xfId="0" applyFont="1"/>
    <xf borderId="10" fillId="2" fontId="32" numFmtId="0" xfId="0" applyAlignment="1" applyBorder="1" applyFont="1">
      <alignment horizontal="center" vertical="center"/>
    </xf>
    <xf borderId="0" fillId="2" fontId="33" numFmtId="0" xfId="0" applyFont="1"/>
    <xf borderId="10" fillId="2" fontId="34" numFmtId="0" xfId="0" applyAlignment="1" applyBorder="1" applyFont="1">
      <alignment horizontal="center" vertical="center"/>
    </xf>
    <xf borderId="33" fillId="12" fontId="35" numFmtId="0" xfId="0" applyAlignment="1" applyBorder="1" applyFill="1" applyFont="1">
      <alignment horizontal="center" vertical="center"/>
    </xf>
    <xf borderId="34" fillId="12" fontId="35" numFmtId="0" xfId="0" applyAlignment="1" applyBorder="1" applyFont="1">
      <alignment horizontal="center" vertical="center"/>
    </xf>
    <xf borderId="34" fillId="12" fontId="35" numFmtId="17" xfId="0" applyAlignment="1" applyBorder="1" applyFont="1" applyNumberFormat="1">
      <alignment horizontal="center" vertical="center"/>
    </xf>
    <xf borderId="0" fillId="2" fontId="1" numFmtId="0" xfId="0" applyFont="1"/>
    <xf borderId="35" fillId="3" fontId="34" numFmtId="0" xfId="0" applyAlignment="1" applyBorder="1" applyFont="1">
      <alignment horizontal="center" textRotation="90" vertical="center"/>
    </xf>
    <xf borderId="34" fillId="5" fontId="1" numFmtId="0" xfId="0" applyAlignment="1" applyBorder="1" applyFont="1">
      <alignment horizontal="center" vertical="center"/>
    </xf>
    <xf borderId="34" fillId="0" fontId="1" numFmtId="0" xfId="0" applyAlignment="1" applyBorder="1" applyFont="1">
      <alignment horizontal="center"/>
    </xf>
    <xf borderId="34" fillId="0" fontId="1" numFmtId="165" xfId="0" applyAlignment="1" applyBorder="1" applyFont="1" applyNumberFormat="1">
      <alignment horizontal="center" vertical="bottom"/>
    </xf>
    <xf borderId="34" fillId="5" fontId="1" numFmtId="0" xfId="0" applyBorder="1" applyFont="1"/>
    <xf borderId="34" fillId="0" fontId="1" numFmtId="0" xfId="0" applyAlignment="1" applyBorder="1" applyFont="1">
      <alignment horizontal="center" vertical="bottom"/>
    </xf>
    <xf borderId="34" fillId="5" fontId="1" numFmtId="49" xfId="0" applyAlignment="1" applyBorder="1" applyFont="1" applyNumberFormat="1">
      <alignment horizontal="center"/>
    </xf>
    <xf borderId="0" fillId="5" fontId="1" numFmtId="166" xfId="0" applyFont="1" applyNumberFormat="1"/>
    <xf borderId="0" fillId="5" fontId="1" numFmtId="0" xfId="0" applyFont="1"/>
    <xf borderId="36" fillId="0" fontId="3" numFmtId="0" xfId="0" applyBorder="1" applyFont="1"/>
    <xf borderId="37" fillId="0" fontId="1" numFmtId="0" xfId="0" applyAlignment="1" applyBorder="1" applyFont="1">
      <alignment horizontal="center"/>
    </xf>
    <xf borderId="37" fillId="0" fontId="1" numFmtId="165" xfId="0" applyAlignment="1" applyBorder="1" applyFont="1" applyNumberFormat="1">
      <alignment horizontal="center" vertical="bottom"/>
    </xf>
    <xf borderId="34" fillId="5" fontId="1" numFmtId="166" xfId="0" applyAlignment="1" applyBorder="1" applyFont="1" applyNumberFormat="1">
      <alignment horizontal="center"/>
    </xf>
    <xf borderId="37" fillId="0" fontId="3" numFmtId="0" xfId="0" applyBorder="1" applyFont="1"/>
    <xf borderId="34" fillId="5" fontId="1" numFmtId="0" xfId="0" applyAlignment="1" applyBorder="1" applyFont="1">
      <alignment horizontal="center"/>
    </xf>
    <xf borderId="1" fillId="2" fontId="35" numFmtId="0" xfId="0" applyAlignment="1" applyBorder="1" applyFont="1">
      <alignment horizontal="center" vertical="center"/>
    </xf>
    <xf borderId="1" fillId="2" fontId="1" numFmtId="0" xfId="0" applyAlignment="1" applyBorder="1" applyFont="1">
      <alignment horizontal="center"/>
    </xf>
    <xf borderId="35" fillId="3" fontId="36" numFmtId="0" xfId="0" applyAlignment="1" applyBorder="1" applyFont="1">
      <alignment horizontal="center" textRotation="90" vertical="center"/>
    </xf>
    <xf borderId="34" fillId="5" fontId="1" numFmtId="3" xfId="0" applyAlignment="1" applyBorder="1" applyFont="1" applyNumberFormat="1">
      <alignment horizontal="center"/>
    </xf>
    <xf borderId="35" fillId="3" fontId="36" numFmtId="0" xfId="0" applyAlignment="1" applyBorder="1" applyFont="1">
      <alignment horizontal="center" shrinkToFit="0" textRotation="90" vertical="center" wrapText="1"/>
    </xf>
    <xf borderId="35" fillId="3" fontId="34" numFmtId="0" xfId="0" applyAlignment="1" applyBorder="1" applyFont="1">
      <alignment horizontal="center" shrinkToFit="0" textRotation="90" vertical="center" wrapText="1"/>
    </xf>
    <xf borderId="1" fillId="2" fontId="11" numFmtId="0" xfId="0" applyAlignment="1" applyBorder="1" applyFont="1">
      <alignment shrinkToFit="0" vertical="center" wrapText="1"/>
    </xf>
    <xf borderId="10" fillId="2" fontId="37" numFmtId="0" xfId="0" applyAlignment="1" applyBorder="1" applyFont="1">
      <alignment horizontal="center" vertical="center"/>
    </xf>
    <xf borderId="38" fillId="2" fontId="1" numFmtId="0" xfId="0" applyBorder="1" applyFont="1"/>
    <xf borderId="1" fillId="2" fontId="1" numFmtId="0" xfId="0" applyAlignment="1" applyBorder="1" applyFont="1">
      <alignment shrinkToFit="0" vertical="center" wrapText="1"/>
    </xf>
    <xf borderId="34" fillId="13" fontId="35" numFmtId="0" xfId="0" applyAlignment="1" applyBorder="1" applyFill="1" applyFont="1">
      <alignment horizontal="center" vertical="center"/>
    </xf>
    <xf borderId="34" fillId="13" fontId="35" numFmtId="0" xfId="0" applyAlignment="1" applyBorder="1" applyFont="1">
      <alignment horizontal="center" shrinkToFit="0" vertical="center" wrapText="1"/>
    </xf>
    <xf borderId="34" fillId="13" fontId="35" numFmtId="17" xfId="0" applyAlignment="1" applyBorder="1" applyFont="1" applyNumberFormat="1">
      <alignment horizontal="center" vertical="center"/>
    </xf>
    <xf borderId="35" fillId="14" fontId="1" numFmtId="0" xfId="0" applyAlignment="1" applyBorder="1" applyFill="1" applyFont="1">
      <alignment horizontal="center" vertical="center"/>
    </xf>
    <xf borderId="34" fillId="14" fontId="1" numFmtId="0" xfId="0" applyAlignment="1" applyBorder="1" applyFont="1">
      <alignment horizontal="center" vertical="center"/>
    </xf>
    <xf borderId="34" fillId="14" fontId="1" numFmtId="0" xfId="0" applyAlignment="1" applyBorder="1" applyFont="1">
      <alignment horizontal="center" shrinkToFit="0" vertical="center" wrapText="1"/>
    </xf>
    <xf borderId="34" fillId="3" fontId="11" numFmtId="1" xfId="0" applyAlignment="1" applyBorder="1" applyFont="1" applyNumberFormat="1">
      <alignment horizontal="center" vertical="center"/>
    </xf>
    <xf borderId="34" fillId="15" fontId="1" numFmtId="1" xfId="0" applyAlignment="1" applyBorder="1" applyFill="1" applyFont="1" applyNumberFormat="1">
      <alignment horizontal="center" vertical="center"/>
    </xf>
    <xf borderId="0" fillId="15" fontId="38" numFmtId="1" xfId="0" applyFont="1" applyNumberFormat="1"/>
    <xf borderId="34" fillId="5" fontId="1" numFmtId="1" xfId="0" applyAlignment="1" applyBorder="1" applyFont="1" applyNumberFormat="1">
      <alignment horizontal="center" vertical="center"/>
    </xf>
    <xf borderId="0" fillId="0" fontId="38" numFmtId="1" xfId="0" applyFont="1" applyNumberFormat="1"/>
    <xf borderId="33" fillId="2" fontId="1" numFmtId="0" xfId="0" applyAlignment="1" applyBorder="1" applyFont="1">
      <alignment horizontal="center" vertical="center"/>
    </xf>
    <xf borderId="34" fillId="2" fontId="1" numFmtId="0" xfId="0" applyAlignment="1" applyBorder="1" applyFont="1">
      <alignment vertical="center"/>
    </xf>
    <xf borderId="34" fillId="2" fontId="1" numFmtId="0" xfId="0" applyAlignment="1" applyBorder="1" applyFont="1">
      <alignment horizontal="center" shrinkToFit="0" vertical="center" wrapText="1"/>
    </xf>
    <xf borderId="1" fillId="2" fontId="1" numFmtId="167" xfId="0" applyAlignment="1" applyBorder="1" applyFont="1" applyNumberFormat="1">
      <alignment horizontal="center" vertical="center"/>
    </xf>
    <xf borderId="39" fillId="5" fontId="1" numFmtId="1" xfId="0" applyAlignment="1" applyBorder="1" applyFont="1" applyNumberFormat="1">
      <alignment horizontal="center" vertical="center"/>
    </xf>
    <xf borderId="34" fillId="3" fontId="11" numFmtId="167" xfId="0" applyAlignment="1" applyBorder="1" applyFont="1" applyNumberFormat="1">
      <alignment horizontal="center" vertical="center"/>
    </xf>
    <xf borderId="34" fillId="5" fontId="1" numFmtId="4" xfId="0" applyAlignment="1" applyBorder="1" applyFont="1" applyNumberFormat="1">
      <alignment horizontal="center" vertical="center"/>
    </xf>
    <xf borderId="34" fillId="15" fontId="1" numFmtId="4" xfId="0" applyAlignment="1" applyBorder="1" applyFont="1" applyNumberFormat="1">
      <alignment horizontal="center" vertical="center"/>
    </xf>
    <xf borderId="34" fillId="5" fontId="1" numFmtId="167" xfId="0" applyAlignment="1" applyBorder="1" applyFont="1" applyNumberFormat="1">
      <alignment horizontal="center" vertical="center"/>
    </xf>
    <xf borderId="33" fillId="2" fontId="1" numFmtId="0" xfId="0" applyAlignment="1" applyBorder="1" applyFont="1">
      <alignment vertical="center"/>
    </xf>
    <xf borderId="1" fillId="2" fontId="11" numFmtId="165" xfId="0" applyAlignment="1" applyBorder="1" applyFont="1" applyNumberFormat="1">
      <alignment horizontal="center" vertical="center"/>
    </xf>
    <xf borderId="1" fillId="2" fontId="11" numFmtId="9" xfId="0" applyAlignment="1" applyBorder="1" applyFont="1" applyNumberFormat="1">
      <alignment horizontal="center" vertical="center"/>
    </xf>
    <xf borderId="10" fillId="2" fontId="8" numFmtId="0" xfId="0" applyAlignment="1" applyBorder="1" applyFont="1">
      <alignment horizontal="center" vertical="center"/>
    </xf>
    <xf borderId="40" fillId="13" fontId="1" numFmtId="0" xfId="0" applyAlignment="1" applyBorder="1" applyFont="1">
      <alignment horizontal="center"/>
    </xf>
    <xf borderId="41" fillId="0" fontId="3" numFmtId="0" xfId="0" applyBorder="1" applyFont="1"/>
    <xf borderId="33" fillId="16" fontId="1" numFmtId="17" xfId="0" applyAlignment="1" applyBorder="1" applyFill="1" applyFont="1" applyNumberFormat="1">
      <alignment horizontal="center" vertical="center"/>
    </xf>
    <xf borderId="40" fillId="13" fontId="35" numFmtId="0" xfId="0" applyAlignment="1" applyBorder="1" applyFont="1">
      <alignment horizontal="center" vertical="center"/>
    </xf>
    <xf borderId="42" fillId="0" fontId="3" numFmtId="0" xfId="0" applyBorder="1" applyFont="1"/>
    <xf borderId="1" fillId="2" fontId="1" numFmtId="165" xfId="0" applyAlignment="1" applyBorder="1" applyFont="1" applyNumberFormat="1">
      <alignment horizontal="center" vertical="center"/>
    </xf>
    <xf borderId="1" fillId="2" fontId="1" numFmtId="9" xfId="0" applyAlignment="1" applyBorder="1" applyFont="1" applyNumberFormat="1">
      <alignment horizontal="center" vertical="center"/>
    </xf>
    <xf borderId="43" fillId="17" fontId="35" numFmtId="0" xfId="0" applyAlignment="1" applyBorder="1" applyFill="1" applyFont="1">
      <alignment horizontal="center" vertical="center"/>
    </xf>
    <xf borderId="34" fillId="17" fontId="35" numFmtId="0" xfId="0" applyAlignment="1" applyBorder="1" applyFont="1">
      <alignment horizontal="center" vertical="center"/>
    </xf>
    <xf borderId="34" fillId="18" fontId="35" numFmtId="0" xfId="0" applyAlignment="1" applyBorder="1" applyFill="1" applyFont="1">
      <alignment horizontal="center" vertical="center"/>
    </xf>
    <xf borderId="34" fillId="18" fontId="35" numFmtId="165" xfId="0" applyAlignment="1" applyBorder="1" applyFont="1" applyNumberFormat="1">
      <alignment horizontal="center" vertical="center"/>
    </xf>
    <xf borderId="34" fillId="17" fontId="35" numFmtId="9" xfId="0" applyAlignment="1" applyBorder="1" applyFont="1" applyNumberFormat="1">
      <alignment horizontal="center" vertical="center"/>
    </xf>
    <xf borderId="0" fillId="0" fontId="1" numFmtId="165" xfId="0" applyFont="1" applyNumberFormat="1"/>
    <xf borderId="0" fillId="0" fontId="1" numFmtId="9" xfId="0" applyFont="1" applyNumberFormat="1"/>
    <xf borderId="44" fillId="0" fontId="1" numFmtId="0" xfId="0" applyAlignment="1" applyBorder="1" applyFont="1">
      <alignment horizontal="center" vertical="center"/>
    </xf>
    <xf borderId="34" fillId="0" fontId="1" numFmtId="0" xfId="0" applyAlignment="1" applyBorder="1" applyFont="1">
      <alignment horizontal="center" vertical="center"/>
    </xf>
    <xf borderId="34" fillId="0" fontId="1" numFmtId="166" xfId="0" applyAlignment="1" applyBorder="1" applyFont="1" applyNumberFormat="1">
      <alignment horizontal="center" vertical="center"/>
    </xf>
    <xf borderId="34" fillId="0" fontId="1" numFmtId="165" xfId="0" applyAlignment="1" applyBorder="1" applyFont="1" applyNumberFormat="1">
      <alignment horizontal="center" vertical="center"/>
    </xf>
    <xf borderId="34" fillId="0" fontId="1" numFmtId="9" xfId="0" applyAlignment="1" applyBorder="1" applyFont="1" applyNumberFormat="1">
      <alignment horizontal="center" vertical="center"/>
    </xf>
    <xf borderId="1" fillId="2" fontId="1" numFmtId="0" xfId="0" applyAlignment="1" applyBorder="1" applyFont="1">
      <alignment horizontal="center" textRotation="90" vertical="center"/>
    </xf>
    <xf borderId="34" fillId="2" fontId="1" numFmtId="9" xfId="0" applyAlignment="1" applyBorder="1" applyFont="1" applyNumberFormat="1">
      <alignment horizontal="center" vertical="center"/>
    </xf>
    <xf borderId="34" fillId="16" fontId="1" numFmtId="0" xfId="0" applyAlignment="1" applyBorder="1" applyFont="1">
      <alignment horizontal="center" vertical="center"/>
    </xf>
    <xf borderId="43" fillId="16" fontId="1" numFmtId="3" xfId="0" applyAlignment="1" applyBorder="1" applyFont="1" applyNumberFormat="1">
      <alignment horizontal="center" vertical="center"/>
    </xf>
    <xf borderId="34" fillId="16" fontId="1" numFmtId="9" xfId="0" applyAlignment="1" applyBorder="1" applyFont="1" applyNumberFormat="1">
      <alignment horizontal="center" vertical="center"/>
    </xf>
    <xf borderId="43" fillId="16" fontId="1" numFmtId="0" xfId="0" applyAlignment="1" applyBorder="1" applyFont="1">
      <alignment horizontal="center" vertical="center"/>
    </xf>
    <xf borderId="1" fillId="2" fontId="1" numFmtId="165" xfId="0" applyBorder="1" applyFont="1" applyNumberFormat="1"/>
    <xf borderId="44" fillId="0" fontId="1" numFmtId="165" xfId="0" applyAlignment="1" applyBorder="1" applyFont="1" applyNumberFormat="1">
      <alignment horizontal="center" vertical="center"/>
    </xf>
    <xf borderId="1" fillId="2" fontId="1" numFmtId="0" xfId="0" applyAlignment="1" applyBorder="1" applyFont="1">
      <alignment horizontal="center" shrinkToFit="0" textRotation="90" vertical="center" wrapText="1"/>
    </xf>
    <xf borderId="43" fillId="16" fontId="1" numFmtId="165" xfId="0" applyAlignment="1" applyBorder="1" applyFont="1" applyNumberFormat="1">
      <alignment horizontal="center" vertical="center"/>
    </xf>
    <xf borderId="45" fillId="0" fontId="39" numFmtId="0" xfId="0" applyBorder="1" applyFont="1"/>
    <xf borderId="45" fillId="0" fontId="38" numFmtId="0" xfId="0" applyBorder="1" applyFont="1"/>
    <xf borderId="45" fillId="0" fontId="38" numFmtId="0" xfId="0" applyAlignment="1" applyBorder="1" applyFont="1">
      <alignment vertical="top"/>
    </xf>
    <xf borderId="45" fillId="0" fontId="40" numFmtId="0" xfId="0" applyBorder="1" applyFont="1"/>
    <xf borderId="45" fillId="0" fontId="41" numFmtId="0" xfId="0" applyBorder="1" applyFont="1"/>
    <xf borderId="46" fillId="0" fontId="38" numFmtId="0" xfId="0" applyAlignment="1" applyBorder="1" applyFont="1">
      <alignment shrinkToFit="0" vertical="top" wrapText="1"/>
    </xf>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51" fillId="0" fontId="3" numFmtId="0" xfId="0" applyBorder="1" applyFont="1"/>
    <xf borderId="52" fillId="0" fontId="3" numFmtId="0" xfId="0" applyBorder="1" applyFont="1"/>
    <xf borderId="53" fillId="0" fontId="3" numFmtId="0" xfId="0" applyBorder="1" applyFont="1"/>
    <xf borderId="45" fillId="19" fontId="42" numFmtId="0" xfId="0" applyBorder="1" applyFill="1" applyFont="1"/>
    <xf borderId="0" fillId="0" fontId="38" numFmtId="0" xfId="0" applyFont="1"/>
    <xf borderId="0" fillId="0" fontId="43" numFmtId="0" xfId="0" applyAlignment="1" applyFont="1">
      <alignment horizontal="left" shrinkToFit="0" wrapText="1"/>
    </xf>
    <xf borderId="0" fillId="0" fontId="44" numFmtId="0" xfId="0" applyFont="1"/>
    <xf borderId="0" fillId="0" fontId="24" numFmtId="0" xfId="0" applyFont="1"/>
    <xf borderId="18" fillId="4" fontId="23" numFmtId="9" xfId="0" applyAlignment="1" applyBorder="1" applyFont="1" applyNumberFormat="1">
      <alignment horizontal="left" shrinkToFit="0" vertical="center" wrapText="1"/>
    </xf>
    <xf borderId="54" fillId="5" fontId="24" numFmtId="164" xfId="0" applyAlignment="1" applyBorder="1" applyFont="1" applyNumberFormat="1">
      <alignment horizontal="left" shrinkToFit="0" vertical="center" wrapText="1"/>
    </xf>
    <xf borderId="55" fillId="0" fontId="24" numFmtId="0" xfId="0" applyAlignment="1" applyBorder="1" applyFont="1">
      <alignment horizontal="left" shrinkToFit="0" vertical="center" wrapText="1"/>
    </xf>
    <xf borderId="16" fillId="4" fontId="24" numFmtId="0" xfId="0" applyAlignment="1" applyBorder="1" applyFont="1">
      <alignment horizontal="left" vertical="center"/>
    </xf>
    <xf borderId="56" fillId="5" fontId="24" numFmtId="164" xfId="0" applyAlignment="1" applyBorder="1" applyFont="1" applyNumberFormat="1">
      <alignment horizontal="left" shrinkToFit="0" vertical="center" wrapText="1"/>
    </xf>
    <xf borderId="16" fillId="4" fontId="24" numFmtId="0" xfId="0" applyAlignment="1" applyBorder="1" applyFont="1">
      <alignment horizontal="left" shrinkToFit="0" vertical="center" wrapText="1"/>
    </xf>
    <xf borderId="19" fillId="5" fontId="24" numFmtId="14" xfId="0" applyAlignment="1" applyBorder="1" applyFont="1" applyNumberFormat="1">
      <alignment horizontal="center" shrinkToFit="0" vertical="center" wrapText="1"/>
    </xf>
    <xf borderId="20" fillId="5" fontId="24" numFmtId="14" xfId="0" applyAlignment="1" applyBorder="1" applyFont="1" applyNumberFormat="1">
      <alignment horizontal="center" shrinkToFit="0" vertical="center" wrapText="1"/>
    </xf>
    <xf borderId="57" fillId="5" fontId="24" numFmtId="0" xfId="0" applyAlignment="1" applyBorder="1" applyFont="1">
      <alignment horizontal="center" shrinkToFit="0" vertical="center" wrapText="1"/>
    </xf>
    <xf borderId="0" fillId="0" fontId="44" numFmtId="164" xfId="0" applyFont="1" applyNumberFormat="1"/>
    <xf borderId="58" fillId="5" fontId="24" numFmtId="164" xfId="0" applyAlignment="1" applyBorder="1" applyFont="1" applyNumberFormat="1">
      <alignment horizontal="left" shrinkToFit="0" vertical="center" wrapText="1"/>
    </xf>
    <xf borderId="59" fillId="0" fontId="24" numFmtId="0" xfId="0" applyAlignment="1" applyBorder="1" applyFont="1">
      <alignment horizontal="left" shrinkToFit="0" vertical="center" wrapText="1"/>
    </xf>
    <xf borderId="2" fillId="2" fontId="9" numFmtId="0" xfId="0" applyAlignment="1" applyBorder="1" applyFont="1">
      <alignment horizontal="left" vertical="center"/>
    </xf>
    <xf borderId="5" fillId="0" fontId="45" numFmtId="0" xfId="0" applyAlignment="1" applyBorder="1" applyFont="1">
      <alignment horizontal="left" vertical="center"/>
    </xf>
    <xf borderId="6" fillId="0" fontId="46" numFmtId="0" xfId="0" applyAlignment="1" applyBorder="1" applyFont="1">
      <alignment vertical="center"/>
    </xf>
    <xf borderId="6" fillId="0" fontId="11" numFmtId="0" xfId="0" applyBorder="1" applyFont="1"/>
    <xf borderId="6" fillId="0" fontId="1" numFmtId="0" xfId="0" applyBorder="1" applyFont="1"/>
    <xf borderId="7" fillId="0" fontId="1" numFmtId="0" xfId="0" applyBorder="1" applyFont="1"/>
    <xf borderId="60" fillId="0" fontId="25" numFmtId="0" xfId="0" applyAlignment="1" applyBorder="1" applyFont="1">
      <alignment horizontal="left" vertical="center"/>
    </xf>
    <xf borderId="8" fillId="0" fontId="1" numFmtId="0" xfId="0" applyBorder="1" applyFont="1"/>
    <xf borderId="9" fillId="0" fontId="1" numFmtId="0" xfId="0" applyBorder="1" applyFont="1"/>
    <xf borderId="61" fillId="0" fontId="20" numFmtId="0" xfId="0" applyAlignment="1" applyBorder="1" applyFont="1">
      <alignment horizontal="center"/>
    </xf>
    <xf borderId="62" fillId="6" fontId="24" numFmtId="0" xfId="0" applyAlignment="1" applyBorder="1" applyFont="1">
      <alignment horizontal="center" shrinkToFit="0" vertical="center" wrapText="1"/>
    </xf>
    <xf borderId="27" fillId="0" fontId="3" numFmtId="0" xfId="0" applyBorder="1" applyFont="1"/>
    <xf borderId="63" fillId="0" fontId="3" numFmtId="0" xfId="0" applyBorder="1" applyFont="1"/>
    <xf borderId="64" fillId="5" fontId="47" numFmtId="9" xfId="0" applyAlignment="1" applyBorder="1" applyFont="1" applyNumberFormat="1">
      <alignment horizontal="center" vertical="center"/>
    </xf>
    <xf borderId="65" fillId="0" fontId="3" numFmtId="0" xfId="0" applyBorder="1" applyFont="1"/>
    <xf borderId="9" fillId="0" fontId="3" numFmtId="0" xfId="0" applyBorder="1" applyFont="1"/>
    <xf borderId="66" fillId="0" fontId="3" numFmtId="0" xfId="0" applyBorder="1" applyFont="1"/>
    <xf borderId="60" fillId="0" fontId="3" numFmtId="0" xfId="0" applyBorder="1" applyFont="1"/>
    <xf borderId="67" fillId="0" fontId="3" numFmtId="0" xfId="0" applyBorder="1" applyFont="1"/>
    <xf borderId="68" fillId="0" fontId="3" numFmtId="0" xfId="0" applyBorder="1" applyFont="1"/>
    <xf borderId="69" fillId="0" fontId="48" numFmtId="0" xfId="0" applyAlignment="1" applyBorder="1" applyFont="1">
      <alignment horizontal="left" shrinkToFit="0" vertical="center" wrapText="1"/>
    </xf>
    <xf borderId="70" fillId="0" fontId="3" numFmtId="0" xfId="0" applyBorder="1" applyFont="1"/>
    <xf borderId="8" fillId="0" fontId="45" numFmtId="0" xfId="0" applyAlignment="1" applyBorder="1" applyFont="1">
      <alignment horizontal="left" vertical="center"/>
    </xf>
    <xf borderId="0" fillId="0" fontId="46" numFmtId="0" xfId="0" applyAlignment="1" applyFont="1">
      <alignment vertical="center"/>
    </xf>
    <xf borderId="9" fillId="0" fontId="11" numFmtId="0" xfId="0" applyBorder="1" applyFont="1"/>
    <xf borderId="0" fillId="0" fontId="11" numFmtId="0" xfId="0" applyAlignment="1" applyFont="1">
      <alignment horizontal="center" vertical="center"/>
    </xf>
    <xf borderId="71" fillId="20" fontId="49" numFmtId="0" xfId="0" applyAlignment="1" applyBorder="1" applyFill="1" applyFont="1">
      <alignment horizontal="left" shrinkToFit="0" vertical="center" wrapText="1"/>
    </xf>
    <xf borderId="31" fillId="21" fontId="49" numFmtId="9" xfId="0" applyAlignment="1" applyBorder="1" applyFill="1" applyFont="1" applyNumberFormat="1">
      <alignment horizontal="center" shrinkToFit="0" vertical="center" wrapText="1"/>
    </xf>
    <xf borderId="22" fillId="4" fontId="50" numFmtId="0" xfId="0" applyAlignment="1" applyBorder="1" applyFont="1">
      <alignment horizontal="left" shrinkToFit="0" vertical="center" wrapText="1"/>
    </xf>
    <xf borderId="60" fillId="0" fontId="45" numFmtId="0" xfId="0" applyAlignment="1" applyBorder="1" applyFont="1">
      <alignment horizontal="left" vertical="center"/>
    </xf>
    <xf borderId="72" fillId="0" fontId="3" numFmtId="0" xfId="0" applyBorder="1" applyFont="1"/>
    <xf borderId="22" fillId="0" fontId="46" numFmtId="0" xfId="0" applyAlignment="1" applyBorder="1" applyFont="1">
      <alignment horizontal="left" vertical="center"/>
    </xf>
    <xf borderId="67" fillId="0" fontId="25" numFmtId="0" xfId="0" applyAlignment="1" applyBorder="1" applyFont="1">
      <alignment horizontal="left" vertical="center"/>
    </xf>
    <xf borderId="73" fillId="4" fontId="51" numFmtId="1" xfId="0" applyAlignment="1" applyBorder="1" applyFont="1" applyNumberFormat="1">
      <alignment horizontal="left" shrinkToFit="0" vertical="center" wrapText="1"/>
    </xf>
    <xf borderId="8" fillId="0" fontId="52" numFmtId="0" xfId="0" applyAlignment="1" applyBorder="1" applyFont="1">
      <alignment horizontal="left" vertical="center"/>
    </xf>
    <xf borderId="65" fillId="0" fontId="52" numFmtId="0" xfId="0" applyAlignment="1" applyBorder="1" applyFont="1">
      <alignment horizontal="left" vertical="center"/>
    </xf>
    <xf borderId="74" fillId="4" fontId="43" numFmtId="164" xfId="0" applyAlignment="1" applyBorder="1" applyFont="1" applyNumberFormat="1">
      <alignment horizontal="left" shrinkToFit="0" vertical="center" wrapText="1"/>
    </xf>
    <xf borderId="75" fillId="0" fontId="3" numFmtId="0" xfId="0" applyBorder="1" applyFont="1"/>
    <xf borderId="76" fillId="4" fontId="53" numFmtId="1" xfId="0" applyAlignment="1" applyBorder="1" applyFont="1" applyNumberFormat="1">
      <alignment horizontal="left" shrinkToFit="0" vertical="center" wrapText="1"/>
    </xf>
    <xf borderId="76" fillId="4" fontId="43" numFmtId="164" xfId="0" applyAlignment="1" applyBorder="1" applyFont="1" applyNumberFormat="1">
      <alignment horizontal="left" shrinkToFit="0" vertical="center" wrapText="1"/>
    </xf>
    <xf borderId="76" fillId="4" fontId="54" numFmtId="1" xfId="0" applyAlignment="1" applyBorder="1" applyFont="1" applyNumberFormat="1">
      <alignment horizontal="left" shrinkToFit="0" vertical="center" wrapText="1"/>
    </xf>
    <xf borderId="77" fillId="0" fontId="3" numFmtId="0" xfId="0" applyBorder="1" applyFont="1"/>
    <xf borderId="74" fillId="4" fontId="43" numFmtId="0" xfId="0" applyAlignment="1" applyBorder="1" applyFont="1">
      <alignment horizontal="left" shrinkToFit="0" vertical="center" wrapText="1"/>
    </xf>
    <xf borderId="76" fillId="4" fontId="53" numFmtId="0" xfId="0" applyAlignment="1" applyBorder="1" applyFont="1">
      <alignment horizontal="left" shrinkToFit="0" vertical="center" wrapText="1"/>
    </xf>
    <xf borderId="65" fillId="0" fontId="45" numFmtId="0" xfId="0" applyAlignment="1" applyBorder="1" applyFont="1">
      <alignment horizontal="left" vertical="center"/>
    </xf>
    <xf borderId="76" fillId="4" fontId="43" numFmtId="0" xfId="0" applyAlignment="1" applyBorder="1" applyFont="1">
      <alignment horizontal="left" shrinkToFit="0" vertical="center" wrapText="1"/>
    </xf>
    <xf borderId="76" fillId="4" fontId="54" numFmtId="0" xfId="0" applyAlignment="1" applyBorder="1" applyFont="1">
      <alignment horizontal="left" shrinkToFit="0" vertical="center" wrapText="1"/>
    </xf>
    <xf borderId="78" fillId="4" fontId="43" numFmtId="164" xfId="0" applyAlignment="1" applyBorder="1" applyFont="1" applyNumberFormat="1">
      <alignment horizontal="left" shrinkToFit="0" vertical="center" wrapText="1"/>
    </xf>
    <xf borderId="79" fillId="0" fontId="3" numFmtId="0" xfId="0" applyBorder="1" applyFont="1"/>
    <xf borderId="80" fillId="4" fontId="53" numFmtId="1" xfId="0" applyAlignment="1" applyBorder="1" applyFont="1" applyNumberFormat="1">
      <alignment horizontal="left" shrinkToFit="0" vertical="center" wrapText="1"/>
    </xf>
    <xf borderId="13" fillId="0" fontId="1" numFmtId="0" xfId="0" applyBorder="1" applyFont="1"/>
    <xf borderId="80" fillId="4" fontId="43" numFmtId="0" xfId="0" applyAlignment="1" applyBorder="1" applyFont="1">
      <alignment horizontal="left" shrinkToFit="0" vertical="center" wrapText="1"/>
    </xf>
    <xf borderId="80" fillId="4" fontId="54" numFmtId="0" xfId="0" applyAlignment="1" applyBorder="1" applyFont="1">
      <alignment horizontal="left" shrinkToFit="0" vertical="center" wrapText="1"/>
    </xf>
    <xf borderId="81" fillId="0" fontId="3" numFmtId="0" xfId="0" applyBorder="1" applyFont="1"/>
    <xf borderId="22" fillId="20" fontId="21" numFmtId="0" xfId="0" applyAlignment="1" applyBorder="1" applyFont="1">
      <alignment horizontal="left" shrinkToFit="0" vertical="center" wrapText="1"/>
    </xf>
    <xf borderId="16" fillId="5" fontId="47" numFmtId="9" xfId="0" applyAlignment="1" applyBorder="1" applyFont="1" applyNumberFormat="1">
      <alignment horizontal="center" vertical="top"/>
    </xf>
    <xf borderId="22" fillId="6" fontId="24" numFmtId="0" xfId="0" applyAlignment="1" applyBorder="1" applyFont="1">
      <alignment horizontal="left" shrinkToFit="0" vertical="center" wrapText="1"/>
    </xf>
    <xf borderId="18" fillId="5" fontId="55" numFmtId="9" xfId="0" applyAlignment="1" applyBorder="1" applyFont="1" applyNumberFormat="1">
      <alignment vertical="center"/>
    </xf>
    <xf borderId="1" fillId="2" fontId="45" numFmtId="0" xfId="0" applyAlignment="1" applyBorder="1" applyFont="1">
      <alignment vertical="center"/>
    </xf>
    <xf borderId="62" fillId="0" fontId="45" numFmtId="0" xfId="0" applyAlignment="1" applyBorder="1" applyFont="1">
      <alignment horizontal="left" vertical="center"/>
    </xf>
    <xf borderId="27" fillId="0" fontId="46" numFmtId="0" xfId="0" applyAlignment="1" applyBorder="1" applyFont="1">
      <alignment vertical="center"/>
    </xf>
    <xf borderId="82" fillId="2" fontId="46" numFmtId="0" xfId="0" applyAlignment="1" applyBorder="1" applyFont="1">
      <alignment vertical="center"/>
    </xf>
    <xf borderId="1" fillId="2" fontId="46" numFmtId="0" xfId="0" applyAlignment="1" applyBorder="1" applyFont="1">
      <alignment vertical="center"/>
    </xf>
    <xf borderId="1" fillId="2" fontId="35" numFmtId="0" xfId="0" applyBorder="1" applyFont="1"/>
    <xf borderId="16" fillId="0" fontId="1" numFmtId="0" xfId="0" applyAlignment="1" applyBorder="1" applyFont="1">
      <alignment horizontal="center" vertical="center"/>
    </xf>
    <xf borderId="0" fillId="0" fontId="1" numFmtId="0" xfId="0" applyAlignment="1" applyFont="1">
      <alignment horizontal="center" shrinkToFit="0" vertical="center" wrapText="1"/>
    </xf>
    <xf borderId="0" fillId="0" fontId="13" numFmtId="0" xfId="0" applyFont="1"/>
    <xf borderId="0" fillId="0" fontId="56" numFmtId="0" xfId="0" applyFont="1"/>
    <xf borderId="0" fillId="0" fontId="57" numFmtId="0" xfId="0" applyFont="1"/>
    <xf borderId="0" fillId="0" fontId="58" numFmtId="0" xfId="0" applyFont="1"/>
    <xf borderId="0" fillId="0" fontId="1" numFmtId="0" xfId="0" applyAlignment="1" applyFont="1">
      <alignment shrinkToFit="0" wrapText="1"/>
    </xf>
    <xf borderId="0" fillId="0" fontId="59" numFmtId="0" xfId="0" applyFont="1"/>
  </cellXfs>
  <cellStyles count="1">
    <cellStyle xfId="0" name="Normal" builtinId="0"/>
  </cellStyles>
  <dxfs count="12">
    <dxf>
      <font>
        <color rgb="FF663300"/>
      </font>
      <fill>
        <patternFill patternType="solid">
          <fgColor rgb="FFFF9966"/>
          <bgColor rgb="FFFF9966"/>
        </patternFill>
      </fill>
      <border/>
    </dxf>
    <dxf>
      <font>
        <color rgb="FF330000"/>
      </font>
      <fill>
        <patternFill patternType="solid">
          <fgColor rgb="FFFF6666"/>
          <bgColor rgb="FFFF6666"/>
        </patternFill>
      </fill>
      <border/>
    </dxf>
    <dxf>
      <font>
        <color rgb="FF003333"/>
      </font>
      <fill>
        <patternFill patternType="solid">
          <fgColor rgb="FF99CCCC"/>
          <bgColor rgb="FF99CCCC"/>
        </patternFill>
      </fill>
      <border/>
    </dxf>
    <dxf>
      <font>
        <color rgb="FF003300"/>
      </font>
      <fill>
        <patternFill patternType="solid">
          <fgColor rgb="FF99CC99"/>
          <bgColor rgb="FF99CC99"/>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color theme="0"/>
      </font>
      <fill>
        <patternFill patternType="solid">
          <fgColor rgb="FF339933"/>
          <bgColor rgb="FF339933"/>
        </patternFill>
      </fill>
      <border/>
    </dxf>
    <dxf>
      <font>
        <b/>
        <color theme="0"/>
      </font>
      <fill>
        <patternFill patternType="solid">
          <fgColor rgb="FF66CC99"/>
          <bgColor rgb="FF66CC99"/>
        </patternFill>
      </fill>
      <border/>
    </dxf>
    <dxf>
      <font>
        <b/>
        <color rgb="FF595959"/>
      </font>
      <fill>
        <patternFill patternType="solid">
          <fgColor rgb="FFFFCC00"/>
          <bgColor rgb="FFFFCC00"/>
        </patternFill>
      </fill>
      <border/>
    </dxf>
    <dxf>
      <font>
        <b/>
        <color theme="0"/>
      </font>
      <fill>
        <patternFill patternType="solid">
          <fgColor rgb="FFFF3333"/>
          <bgColor rgb="FFFF3333"/>
        </patternFill>
      </fill>
      <border/>
    </dxf>
    <dxf>
      <font>
        <b/>
        <color theme="0"/>
      </font>
      <fill>
        <patternFill patternType="solid">
          <fgColor rgb="FFFF9999"/>
          <bgColor rgb="FFFF9999"/>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a:solidFill>
                <a:srgbClr val="5B9BD5"/>
              </a:solidFill>
            </a:ln>
          </c:spPr>
          <c:marker>
            <c:symbol val="none"/>
          </c:marker>
          <c:cat>
            <c:strRef>
              <c:f>'Resultados SWOT Gráficos'!$C$19:$C$22</c:f>
            </c:strRef>
          </c:cat>
          <c:val>
            <c:numRef>
              <c:f>'Resultados SWOT Gráficos'!$D$19:$D$22</c:f>
              <c:numCache/>
            </c:numRef>
          </c:val>
          <c:smooth val="1"/>
        </c:ser>
        <c:axId val="771601974"/>
        <c:axId val="1176042883"/>
      </c:radarChart>
      <c:catAx>
        <c:axId val="771601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76042883"/>
      </c:catAx>
      <c:valAx>
        <c:axId val="1176042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1601974"/>
      </c:valAx>
    </c:plotArea>
    <c:plotVisOnly val="1"/>
  </c:chart>
  <c:spPr>
    <a:solidFill>
      <a:srgbClr val="ECF0F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006100"/>
            </a:solidFill>
            <a:ln cmpd="sng">
              <a:solidFill>
                <a:srgbClr val="000000"/>
              </a:solidFill>
            </a:ln>
          </c:spPr>
          <c:dPt>
            <c:idx val="4"/>
            <c:spPr>
              <a:solidFill>
                <a:srgbClr val="9C0006"/>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GPA!$R$7:$R$11</c:f>
            </c:strRef>
          </c:cat>
          <c:val>
            <c:numRef>
              <c:f>GPA!$S$7:$S$11</c:f>
              <c:numCache/>
            </c:numRef>
          </c:val>
        </c:ser>
        <c:axId val="402053355"/>
        <c:axId val="486117587"/>
      </c:barChart>
      <c:catAx>
        <c:axId val="402053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486117587"/>
      </c:catAx>
      <c:valAx>
        <c:axId val="48611758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402053355"/>
      </c:valAx>
      <c:spPr>
        <a:solidFill>
          <a:srgbClr val="EAEAEA"/>
        </a:solidFill>
      </c:spPr>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No prazo</c:v>
          </c:tx>
          <c:spPr>
            <a:solidFill>
              <a:srgbClr val="0061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val>
            <c:numRef>
              <c:f>GPA!$S$3</c:f>
              <c:numCache/>
            </c:numRef>
          </c:val>
        </c:ser>
        <c:ser>
          <c:idx val="1"/>
          <c:order val="1"/>
          <c:tx>
            <c:v>Atrasado</c:v>
          </c:tx>
          <c:spPr>
            <a:solidFill>
              <a:srgbClr val="9C0006"/>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val>
            <c:numRef>
              <c:f>GPA!$S$4</c:f>
              <c:numCache/>
            </c:numRef>
          </c:val>
        </c:ser>
        <c:axId val="1903130895"/>
        <c:axId val="453913815"/>
      </c:barChart>
      <c:catAx>
        <c:axId val="1903130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453913815"/>
      </c:catAx>
      <c:valAx>
        <c:axId val="45391381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903130895"/>
      </c:valAx>
      <c:spPr>
        <a:solidFill>
          <a:srgbClr val="EAEAEA"/>
        </a:solidFill>
      </c:spPr>
    </c:plotArea>
    <c:legend>
      <c:legendPos val="t"/>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GPA!$K$7:$K$11</c:f>
            </c:strRef>
          </c:cat>
          <c:val>
            <c:numRef>
              <c:f>GPA!$L$7:$L$11</c:f>
              <c:numCache/>
            </c:numRef>
          </c:val>
        </c:ser>
        <c:ser>
          <c:idx val="1"/>
          <c:order val="1"/>
          <c:cat>
            <c:strRef>
              <c:f>GPA!$K$7:$K$11</c:f>
            </c:strRef>
          </c:cat>
          <c:val>
            <c:numRef>
              <c:f>GPA!$M$7:$M$11</c:f>
              <c:numCache/>
            </c:numRef>
          </c:val>
        </c:ser>
        <c:axId val="1812710628"/>
        <c:axId val="1558411281"/>
      </c:barChart>
      <c:catAx>
        <c:axId val="18127106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1000">
                <a:solidFill>
                  <a:srgbClr val="000000"/>
                </a:solidFill>
                <a:latin typeface="+mn-lt"/>
              </a:defRPr>
            </a:pPr>
          </a:p>
        </c:txPr>
        <c:crossAx val="1558411281"/>
      </c:catAx>
      <c:valAx>
        <c:axId val="1558411281"/>
        <c:scaling>
          <c:orientation val="minMax"/>
        </c:scaling>
        <c:delete val="0"/>
        <c:axPos val="l"/>
        <c:tickLblPos val="nextTo"/>
        <c:spPr>
          <a:ln>
            <a:noFill/>
          </a:ln>
        </c:spPr>
        <c:crossAx val="1812710628"/>
      </c:valAx>
      <c:spPr>
        <a:solidFill>
          <a:srgbClr val="EAEAEA"/>
        </a:solidFill>
      </c:spPr>
    </c:plotArea>
    <c:plotVisOnly val="1"/>
  </c:chart>
</c:chartSpace>
</file>

<file path=xl/drawings/_rels/drawing1.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image" Target="../media/image13.png"/><Relationship Id="rId12" Type="http://schemas.openxmlformats.org/officeDocument/2006/relationships/hyperlink" Target="#'Resultados%20SWOT%20Gr&#225;ficos'!C1" TargetMode="External"/><Relationship Id="rId1" Type="http://schemas.openxmlformats.org/officeDocument/2006/relationships/hyperlink" Target="#In&#237;cio!A1" TargetMode="External"/><Relationship Id="rId2" Type="http://schemas.openxmlformats.org/officeDocument/2006/relationships/hyperlink" Target="#'Planos%20de%20A&#231;&#227;o%20-%20FxO'!C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C1" TargetMode="External"/><Relationship Id="rId14" Type="http://schemas.openxmlformats.org/officeDocument/2006/relationships/image" Target="../media/image12.png"/><Relationship Id="rId5" Type="http://schemas.openxmlformats.org/officeDocument/2006/relationships/hyperlink" Target="#'Painel%20Estrat&#233;gico%20'!C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C1" TargetMode="External"/></Relationships>
</file>

<file path=xl/drawings/_rels/drawing2.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For&#231;as!A1" TargetMode="External"/><Relationship Id="rId2" Type="http://schemas.openxmlformats.org/officeDocument/2006/relationships/hyperlink" Target="#Fraquez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18.png"/><Relationship Id="rId16" Type="http://schemas.openxmlformats.org/officeDocument/2006/relationships/image" Target="../media/image14.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3.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For&#231;as!A1" TargetMode="External"/><Relationship Id="rId2" Type="http://schemas.openxmlformats.org/officeDocument/2006/relationships/hyperlink" Target="#Fraquez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16.png"/><Relationship Id="rId16" Type="http://schemas.openxmlformats.org/officeDocument/2006/relationships/image" Target="../media/image13.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4.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Oportunidades!A1" TargetMode="External"/><Relationship Id="rId2" Type="http://schemas.openxmlformats.org/officeDocument/2006/relationships/hyperlink" Target="#Amea&#231;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27.png"/><Relationship Id="rId16" Type="http://schemas.openxmlformats.org/officeDocument/2006/relationships/image" Target="../media/image26.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5.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Oportunidades!A1" TargetMode="External"/><Relationship Id="rId2" Type="http://schemas.openxmlformats.org/officeDocument/2006/relationships/hyperlink" Target="#Amea&#231;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16.png"/><Relationship Id="rId16" Type="http://schemas.openxmlformats.org/officeDocument/2006/relationships/image" Target="../media/image13.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6.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32.png"/><Relationship Id="rId14" Type="http://schemas.openxmlformats.org/officeDocument/2006/relationships/image" Target="../media/image31.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7.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3.png"/><Relationship Id="rId14" Type="http://schemas.openxmlformats.org/officeDocument/2006/relationships/image" Target="../media/image22.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8.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0.png"/><Relationship Id="rId14" Type="http://schemas.openxmlformats.org/officeDocument/2006/relationships/image" Target="../media/image21.png"/><Relationship Id="rId16" Type="http://schemas.openxmlformats.org/officeDocument/2006/relationships/image" Target="../media/image1.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9.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5.png"/><Relationship Id="rId14" Type="http://schemas.openxmlformats.org/officeDocument/2006/relationships/image" Target="../media/image24.png"/><Relationship Id="rId17" Type="http://schemas.openxmlformats.org/officeDocument/2006/relationships/image" Target="../media/image2.jpg"/><Relationship Id="rId16" Type="http://schemas.openxmlformats.org/officeDocument/2006/relationships/image" Target="../media/image1.png"/><Relationship Id="rId5" Type="http://schemas.openxmlformats.org/officeDocument/2006/relationships/hyperlink" Target="#'Painel%20Estrat&#233;gico%20'!A1" TargetMode="External"/><Relationship Id="rId19" Type="http://schemas.openxmlformats.org/officeDocument/2006/relationships/image" Target="../media/image4.png"/><Relationship Id="rId6" Type="http://schemas.openxmlformats.org/officeDocument/2006/relationships/hyperlink" Target="#For&#231;as!A1" TargetMode="External"/><Relationship Id="rId18" Type="http://schemas.openxmlformats.org/officeDocument/2006/relationships/image" Target="../media/image3.jpg"/><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5.png"/><Relationship Id="rId5"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9.png"/><Relationship Id="rId14" Type="http://schemas.openxmlformats.org/officeDocument/2006/relationships/image" Target="../media/image28.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12.xml.rels><?xml version="1.0" encoding="UTF-8" standalone="yes"?><Relationships xmlns="http://schemas.openxmlformats.org/package/2006/relationships"><Relationship Id="rId11" Type="http://schemas.openxmlformats.org/officeDocument/2006/relationships/hyperlink" Target="#Cruzamento!A1" TargetMode="External"/><Relationship Id="rId10" Type="http://schemas.openxmlformats.org/officeDocument/2006/relationships/hyperlink" Target="#'Objetivos%20Estrat&#233;gicos%20'!A1" TargetMode="External"/><Relationship Id="rId13" Type="http://schemas.openxmlformats.org/officeDocument/2006/relationships/hyperlink" Target="#'Resultados%20SWOT%20Gr&#225;ficos'!A1" TargetMode="External"/><Relationship Id="rId12" Type="http://schemas.openxmlformats.org/officeDocument/2006/relationships/hyperlink" Target="#Desdobramentos!A1" TargetMode="External"/><Relationship Id="rId1" Type="http://schemas.openxmlformats.org/officeDocument/2006/relationships/chart" Target="../charts/chart1.xml"/><Relationship Id="rId2" Type="http://schemas.openxmlformats.org/officeDocument/2006/relationships/hyperlink" Target="#In&#237;cio!A1" TargetMode="External"/><Relationship Id="rId3" Type="http://schemas.openxmlformats.org/officeDocument/2006/relationships/hyperlink" Target="#'Planos%20de%20A&#231;&#227;o%20-%20FxO'!A1" TargetMode="External"/><Relationship Id="rId4" Type="http://schemas.openxmlformats.org/officeDocument/2006/relationships/hyperlink" Target="#GPA!A1" TargetMode="External"/><Relationship Id="rId9" Type="http://schemas.openxmlformats.org/officeDocument/2006/relationships/hyperlink" Target="#'Matriz%20SWOT'!A1" TargetMode="External"/><Relationship Id="rId15" Type="http://schemas.openxmlformats.org/officeDocument/2006/relationships/image" Target="../media/image22.png"/><Relationship Id="rId14" Type="http://schemas.openxmlformats.org/officeDocument/2006/relationships/hyperlink" Target="#Imprimir!A1" TargetMode="External"/><Relationship Id="rId17" Type="http://schemas.openxmlformats.org/officeDocument/2006/relationships/image" Target="../media/image10.png"/><Relationship Id="rId16" Type="http://schemas.openxmlformats.org/officeDocument/2006/relationships/image" Target="../media/image33.png"/><Relationship Id="rId5" Type="http://schemas.openxmlformats.org/officeDocument/2006/relationships/hyperlink" Target="#In&#237;cio!A1" TargetMode="External"/><Relationship Id="rId6" Type="http://schemas.openxmlformats.org/officeDocument/2006/relationships/hyperlink" Target="#'Painel%20Estrat&#233;gico%20'!A1" TargetMode="External"/><Relationship Id="rId7" Type="http://schemas.openxmlformats.org/officeDocument/2006/relationships/hyperlink" Target="#For&#231;as!A1" TargetMode="External"/><Relationship Id="rId8" Type="http://schemas.openxmlformats.org/officeDocument/2006/relationships/hyperlink" Target="#Oportunidades!A1" TargetMode="External"/></Relationships>
</file>

<file path=xl/drawings/_rels/drawing13.xml.rels><?xml version="1.0" encoding="UTF-8" standalone="yes"?><Relationships xmlns="http://schemas.openxmlformats.org/package/2006/relationships"><Relationship Id="rId20" Type="http://schemas.openxmlformats.org/officeDocument/2006/relationships/image" Target="../media/image11.png"/><Relationship Id="rId11" Type="http://schemas.openxmlformats.org/officeDocument/2006/relationships/hyperlink" Target="#Oportunidades!A1" TargetMode="External"/><Relationship Id="rId10" Type="http://schemas.openxmlformats.org/officeDocument/2006/relationships/hyperlink" Target="#For&#231;as!A1" TargetMode="External"/><Relationship Id="rId13" Type="http://schemas.openxmlformats.org/officeDocument/2006/relationships/hyperlink" Target="#'Objetivos%20Estrat&#233;gicos%20'!A1" TargetMode="External"/><Relationship Id="rId12" Type="http://schemas.openxmlformats.org/officeDocument/2006/relationships/hyperlink" Target="#'Matriz%20SWOT'!A1" TargetMode="External"/><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hyperlink" Target="#GPA!A1" TargetMode="External"/><Relationship Id="rId9" Type="http://schemas.openxmlformats.org/officeDocument/2006/relationships/hyperlink" Target="#'Painel%20Estrat&#233;gico%20'!A1" TargetMode="External"/><Relationship Id="rId15" Type="http://schemas.openxmlformats.org/officeDocument/2006/relationships/hyperlink" Target="#Desdobramentos!A1" TargetMode="External"/><Relationship Id="rId14" Type="http://schemas.openxmlformats.org/officeDocument/2006/relationships/hyperlink" Target="#Cruzamento!A1" TargetMode="External"/><Relationship Id="rId17" Type="http://schemas.openxmlformats.org/officeDocument/2006/relationships/hyperlink" Target="#Imprimir!A1" TargetMode="External"/><Relationship Id="rId16" Type="http://schemas.openxmlformats.org/officeDocument/2006/relationships/hyperlink" Target="#'Resultados%20SWOT%20Gr&#225;ficos'!A1" TargetMode="External"/><Relationship Id="rId5" Type="http://schemas.openxmlformats.org/officeDocument/2006/relationships/hyperlink" Target="#In&#237;cio!A1" TargetMode="External"/><Relationship Id="rId19" Type="http://schemas.openxmlformats.org/officeDocument/2006/relationships/image" Target="../media/image34.png"/><Relationship Id="rId6" Type="http://schemas.openxmlformats.org/officeDocument/2006/relationships/hyperlink" Target="#'Planos%20de%20A&#231;&#227;o%20-%20FxO'!A1" TargetMode="External"/><Relationship Id="rId18" Type="http://schemas.openxmlformats.org/officeDocument/2006/relationships/image" Target="../media/image35.png"/><Relationship Id="rId7" Type="http://schemas.openxmlformats.org/officeDocument/2006/relationships/hyperlink" Target="#GPA!A1" TargetMode="External"/><Relationship Id="rId8" Type="http://schemas.openxmlformats.org/officeDocument/2006/relationships/hyperlink" Target="#In&#237;cio!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573250" cy="1466850"/>
    <xdr:sp>
      <xdr:nvSpPr>
        <xdr:cNvPr id="3" name="Shape 3"/>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PLANEJAMENTO ESTRATÉGICO</a:t>
          </a:r>
          <a:endParaRPr b="1" sz="1400">
            <a:solidFill>
              <a:schemeClr val="lt1"/>
            </a:solidFill>
            <a:latin typeface="Arial"/>
            <a:ea typeface="Arial"/>
            <a:cs typeface="Arial"/>
            <a:sym typeface="Arial"/>
          </a:endParaRPr>
        </a:p>
      </xdr:txBody>
    </xdr:sp>
    <xdr:clientData fLocksWithSheet="0"/>
  </xdr:oneCellAnchor>
  <xdr:oneCellAnchor>
    <xdr:from>
      <xdr:col>0</xdr:col>
      <xdr:colOff>0</xdr:colOff>
      <xdr:row>2</xdr:row>
      <xdr:rowOff>361950</xdr:rowOff>
    </xdr:from>
    <xdr:ext cx="2085975" cy="314325"/>
    <xdr:sp>
      <xdr:nvSpPr>
        <xdr:cNvPr id="4" name="Shape 4">
          <a:hlinkClick r:id="rId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10</xdr:row>
      <xdr:rowOff>190500</xdr:rowOff>
    </xdr:from>
    <xdr:ext cx="2085975" cy="304800"/>
    <xdr:sp>
      <xdr:nvSpPr>
        <xdr:cNvPr id="5" name="Shape 5">
          <a:hlinkClick r:id="rId2"/>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238125</xdr:rowOff>
    </xdr:from>
    <xdr:ext cx="2085975" cy="323850"/>
    <xdr:sp>
      <xdr:nvSpPr>
        <xdr:cNvPr id="6" name="Shape 6">
          <a:hlinkClick r:id="rId3"/>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0</xdr:rowOff>
    </xdr:from>
    <xdr:ext cx="2152650" cy="304800"/>
    <xdr:sp>
      <xdr:nvSpPr>
        <xdr:cNvPr id="7" name="Shape 7">
          <a:hlinkClick r:id="rId4"/>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266700</xdr:rowOff>
    </xdr:from>
    <xdr:ext cx="2085975" cy="342900"/>
    <xdr:sp>
      <xdr:nvSpPr>
        <xdr:cNvPr id="8" name="Shape 8">
          <a:hlinkClick r:id="rId5"/>
        </xdr:cNvPr>
        <xdr:cNvSpPr/>
      </xdr:nvSpPr>
      <xdr:spPr>
        <a:xfrm>
          <a:off x="4307775" y="3613313"/>
          <a:ext cx="2076450" cy="3333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3</xdr:row>
      <xdr:rowOff>304800</xdr:rowOff>
    </xdr:from>
    <xdr:ext cx="2085975" cy="314325"/>
    <xdr:sp>
      <xdr:nvSpPr>
        <xdr:cNvPr id="9" name="Shape 9">
          <a:hlinkClick r:id="rId6"/>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5</xdr:row>
      <xdr:rowOff>104775</xdr:rowOff>
    </xdr:from>
    <xdr:ext cx="2085975" cy="314325"/>
    <xdr:sp>
      <xdr:nvSpPr>
        <xdr:cNvPr id="10" name="Shape 10">
          <a:hlinkClick r:id="rId7"/>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6</xdr:row>
      <xdr:rowOff>123825</xdr:rowOff>
    </xdr:from>
    <xdr:ext cx="2085975" cy="314325"/>
    <xdr:sp>
      <xdr:nvSpPr>
        <xdr:cNvPr id="11" name="Shape 11">
          <a:hlinkClick r:id="rId8"/>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9525</xdr:rowOff>
    </xdr:from>
    <xdr:ext cx="2085975" cy="304800"/>
    <xdr:sp>
      <xdr:nvSpPr>
        <xdr:cNvPr id="12" name="Shape 12">
          <a:hlinkClick r:id="rId9"/>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57150</xdr:rowOff>
    </xdr:from>
    <xdr:ext cx="2085975" cy="304800"/>
    <xdr:sp>
      <xdr:nvSpPr>
        <xdr:cNvPr id="13" name="Shape 13">
          <a:hlinkClick r:id="rId10"/>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66675</xdr:rowOff>
    </xdr:from>
    <xdr:ext cx="1285875" cy="533400"/>
    <xdr:sp>
      <xdr:nvSpPr>
        <xdr:cNvPr id="14" name="Shape 14"/>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9</xdr:row>
      <xdr:rowOff>409575</xdr:rowOff>
    </xdr:from>
    <xdr:ext cx="2085975" cy="314325"/>
    <xdr:sp>
      <xdr:nvSpPr>
        <xdr:cNvPr id="15" name="Shape 15">
          <a:hlinkClick r:id="rId1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47625</xdr:rowOff>
    </xdr:from>
    <xdr:ext cx="2085975" cy="295275"/>
    <xdr:sp>
      <xdr:nvSpPr>
        <xdr:cNvPr id="16" name="Shape 16">
          <a:hlinkClick r:id="rId12"/>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1666875</xdr:colOff>
      <xdr:row>0</xdr:row>
      <xdr:rowOff>323850</xdr:rowOff>
    </xdr:from>
    <xdr:ext cx="11963400" cy="600075"/>
    <xdr:grpSp>
      <xdr:nvGrpSpPr>
        <xdr:cNvPr id="2" name="Shape 2"/>
        <xdr:cNvGrpSpPr/>
      </xdr:nvGrpSpPr>
      <xdr:grpSpPr>
        <a:xfrm>
          <a:off x="0" y="3479963"/>
          <a:ext cx="10692000" cy="600075"/>
          <a:chOff x="0" y="3479963"/>
          <a:chExt cx="10692000" cy="600075"/>
        </a:xfrm>
      </xdr:grpSpPr>
      <xdr:grpSp>
        <xdr:nvGrpSpPr>
          <xdr:cNvPr id="17" name="Shape 17"/>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0" y="3479963"/>
              <a:ext cx="10692000" cy="600075"/>
              <a:chOff x="0" y="3479963"/>
              <a:chExt cx="10692000" cy="600075"/>
            </a:xfrm>
          </xdr:grpSpPr>
          <xdr:sp>
            <xdr:nvSpPr>
              <xdr:cNvPr id="20" name="Shape 2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0" y="3479963"/>
                <a:ext cx="10692000" cy="600075"/>
                <a:chOff x="1615439" y="49532"/>
                <a:chExt cx="12302193" cy="607558"/>
              </a:xfrm>
            </xdr:grpSpPr>
            <xdr:sp>
              <xdr:nvSpPr>
                <xdr:cNvPr id="22" name="Shape 22"/>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3" name="Shape 23"/>
                <xdr:cNvPicPr preferRelativeResize="0"/>
              </xdr:nvPicPr>
              <xdr:blipFill rotWithShape="1">
                <a:blip r:embed="rId13">
                  <a:alphaModFix/>
                </a:blip>
                <a:srcRect b="17430" l="20640" r="16971" t="19725"/>
                <a:stretch/>
              </xdr:blipFill>
              <xdr:spPr>
                <a:xfrm flipH="1">
                  <a:off x="1615439" y="128088"/>
                  <a:ext cx="525141" cy="529002"/>
                </a:xfrm>
                <a:prstGeom prst="rect">
                  <a:avLst/>
                </a:prstGeom>
                <a:noFill/>
                <a:ln>
                  <a:noFill/>
                </a:ln>
              </xdr:spPr>
            </xdr:pic>
            <xdr:pic>
              <xdr:nvPicPr>
                <xdr:cNvPr id="24" name="Shape 24"/>
                <xdr:cNvPicPr preferRelativeResize="0"/>
              </xdr:nvPicPr>
              <xdr:blipFill rotWithShape="1">
                <a:blip r:embed="rId14">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525625" cy="1466850"/>
    <xdr:sp>
      <xdr:nvSpPr>
        <xdr:cNvPr id="25" name="Shape 25"/>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1. FATORES INTERNOS </a:t>
          </a:r>
          <a:endParaRPr b="1" sz="1400">
            <a:solidFill>
              <a:schemeClr val="lt1"/>
            </a:solidFill>
            <a:latin typeface="Arial"/>
            <a:ea typeface="Arial"/>
            <a:cs typeface="Arial"/>
            <a:sym typeface="Arial"/>
          </a:endParaRPr>
        </a:p>
      </xdr:txBody>
    </xdr:sp>
    <xdr:clientData fLocksWithSheet="0"/>
  </xdr:oneCellAnchor>
  <xdr:oneCellAnchor>
    <xdr:from>
      <xdr:col>2</xdr:col>
      <xdr:colOff>4162425</xdr:colOff>
      <xdr:row>1</xdr:row>
      <xdr:rowOff>95250</xdr:rowOff>
    </xdr:from>
    <xdr:ext cx="5619750" cy="619125"/>
    <xdr:sp>
      <xdr:nvSpPr>
        <xdr:cNvPr id="26" name="Shape 26"/>
        <xdr:cNvSpPr txBox="1"/>
      </xdr:nvSpPr>
      <xdr:spPr>
        <a:xfrm>
          <a:off x="2540888" y="3475200"/>
          <a:ext cx="5610225" cy="6096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internos de seu negócio ou projeto em desenvolvimento.</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Suas fraquezas e suas forças devem ser descritas e pontuadas nesta etapa.</a:t>
          </a:r>
          <a:endParaRPr b="0" sz="1050">
            <a:solidFill>
              <a:schemeClr val="lt1"/>
            </a:solidFill>
          </a:endParaRPr>
        </a:p>
      </xdr:txBody>
    </xdr:sp>
    <xdr:clientData fLocksWithSheet="0"/>
  </xdr:oneCellAnchor>
  <xdr:oneCellAnchor>
    <xdr:from>
      <xdr:col>2</xdr:col>
      <xdr:colOff>0</xdr:colOff>
      <xdr:row>1</xdr:row>
      <xdr:rowOff>238125</xdr:rowOff>
    </xdr:from>
    <xdr:ext cx="1952625" cy="371475"/>
    <xdr:sp>
      <xdr:nvSpPr>
        <xdr:cNvPr id="27" name="Shape 27">
          <a:hlinkClick r:id="rId1"/>
        </xdr:cNvPr>
        <xdr:cNvSpPr/>
      </xdr:nvSpPr>
      <xdr:spPr>
        <a:xfrm>
          <a:off x="4374450" y="3599025"/>
          <a:ext cx="1943100" cy="36195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Forças</a:t>
          </a:r>
          <a:endParaRPr sz="1400"/>
        </a:p>
      </xdr:txBody>
    </xdr:sp>
    <xdr:clientData fLocksWithSheet="0"/>
  </xdr:oneCellAnchor>
  <xdr:oneCellAnchor>
    <xdr:from>
      <xdr:col>2</xdr:col>
      <xdr:colOff>1924050</xdr:colOff>
      <xdr:row>1</xdr:row>
      <xdr:rowOff>238125</xdr:rowOff>
    </xdr:from>
    <xdr:ext cx="1962150" cy="371475"/>
    <xdr:sp>
      <xdr:nvSpPr>
        <xdr:cNvPr id="28" name="Shape 28">
          <a:hlinkClick r:id="rId2"/>
        </xdr:cNvPr>
        <xdr:cNvSpPr/>
      </xdr:nvSpPr>
      <xdr:spPr>
        <a:xfrm>
          <a:off x="4369688" y="3599025"/>
          <a:ext cx="1952625" cy="36195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Fraquezas</a:t>
          </a:r>
          <a:endParaRPr sz="1400"/>
        </a:p>
      </xdr:txBody>
    </xdr:sp>
    <xdr:clientData fLocksWithSheet="0"/>
  </xdr:oneCellAnchor>
  <xdr:oneCellAnchor>
    <xdr:from>
      <xdr:col>0</xdr:col>
      <xdr:colOff>0</xdr:colOff>
      <xdr:row>4</xdr:row>
      <xdr:rowOff>66675</xdr:rowOff>
    </xdr:from>
    <xdr:ext cx="2085975" cy="314325"/>
    <xdr:sp>
      <xdr:nvSpPr>
        <xdr:cNvPr id="29" name="Shape 29">
          <a:hlinkClick r:id="rId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14</xdr:row>
      <xdr:rowOff>104775</xdr:rowOff>
    </xdr:from>
    <xdr:ext cx="2085975" cy="295275"/>
    <xdr:sp>
      <xdr:nvSpPr>
        <xdr:cNvPr id="30" name="Shape 30">
          <a:hlinkClick r:id="rId4"/>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17</xdr:row>
      <xdr:rowOff>95250</xdr:rowOff>
    </xdr:from>
    <xdr:ext cx="2085975" cy="314325"/>
    <xdr:sp>
      <xdr:nvSpPr>
        <xdr:cNvPr id="31" name="Shape 31">
          <a:hlinkClick r:id="rId5"/>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657225</xdr:rowOff>
    </xdr:from>
    <xdr:ext cx="2152650" cy="304800"/>
    <xdr:sp>
      <xdr:nvSpPr>
        <xdr:cNvPr id="32" name="Shape 32">
          <a:hlinkClick r:id="rId6"/>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19</xdr:row>
      <xdr:rowOff>0</xdr:rowOff>
    </xdr:from>
    <xdr:ext cx="2085975" cy="314325"/>
    <xdr:sp>
      <xdr:nvSpPr>
        <xdr:cNvPr id="33" name="Shape 33">
          <a:hlinkClick r:id="rId7"/>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85725</xdr:rowOff>
    </xdr:from>
    <xdr:ext cx="2085975" cy="295275"/>
    <xdr:sp>
      <xdr:nvSpPr>
        <xdr:cNvPr id="34" name="Shape 34">
          <a:hlinkClick r:id="rId8"/>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209550</xdr:rowOff>
    </xdr:from>
    <xdr:ext cx="2085975" cy="295275"/>
    <xdr:sp>
      <xdr:nvSpPr>
        <xdr:cNvPr id="35" name="Shape 35">
          <a:hlinkClick r:id="rId9"/>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8</xdr:row>
      <xdr:rowOff>76200</xdr:rowOff>
    </xdr:from>
    <xdr:ext cx="2085975" cy="304800"/>
    <xdr:sp>
      <xdr:nvSpPr>
        <xdr:cNvPr id="36" name="Shape 36">
          <a:hlinkClick r:id="rId10"/>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11</xdr:row>
      <xdr:rowOff>95250</xdr:rowOff>
    </xdr:from>
    <xdr:ext cx="2085975" cy="304800"/>
    <xdr:sp>
      <xdr:nvSpPr>
        <xdr:cNvPr id="37" name="Shape 37">
          <a:hlinkClick r:id="rId11"/>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9</xdr:row>
      <xdr:rowOff>219075</xdr:rowOff>
    </xdr:from>
    <xdr:ext cx="2085975" cy="314325"/>
    <xdr:sp>
      <xdr:nvSpPr>
        <xdr:cNvPr id="38" name="Shape 38">
          <a:hlinkClick r:id="rId12"/>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39" name="Shape 39"/>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12</xdr:row>
      <xdr:rowOff>228600</xdr:rowOff>
    </xdr:from>
    <xdr:ext cx="2085975" cy="314325"/>
    <xdr:sp>
      <xdr:nvSpPr>
        <xdr:cNvPr id="40" name="Shape 40">
          <a:hlinkClick r:id="rId1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16</xdr:row>
      <xdr:rowOff>0</xdr:rowOff>
    </xdr:from>
    <xdr:ext cx="2085975" cy="295275"/>
    <xdr:sp>
      <xdr:nvSpPr>
        <xdr:cNvPr id="41" name="Shape 41">
          <a:hlinkClick r:id="rId14"/>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19</xdr:row>
      <xdr:rowOff>133350</xdr:rowOff>
    </xdr:from>
    <xdr:ext cx="2152650" cy="323850"/>
    <xdr:sp>
      <xdr:nvSpPr>
        <xdr:cNvPr id="42" name="Shape 42">
          <a:hlinkClick r:id="rId15"/>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1514475</xdr:colOff>
      <xdr:row>0</xdr:row>
      <xdr:rowOff>209550</xdr:rowOff>
    </xdr:from>
    <xdr:ext cx="11563350" cy="742950"/>
    <xdr:grpSp>
      <xdr:nvGrpSpPr>
        <xdr:cNvPr id="2" name="Shape 2"/>
        <xdr:cNvGrpSpPr/>
      </xdr:nvGrpSpPr>
      <xdr:grpSpPr>
        <a:xfrm>
          <a:off x="0" y="3408525"/>
          <a:ext cx="10692000" cy="742950"/>
          <a:chOff x="0" y="3408525"/>
          <a:chExt cx="10692000" cy="742950"/>
        </a:xfrm>
      </xdr:grpSpPr>
      <xdr:grpSp>
        <xdr:nvGrpSpPr>
          <xdr:cNvPr id="43" name="Shape 43"/>
          <xdr:cNvGrpSpPr/>
        </xdr:nvGrpSpPr>
        <xdr:grpSpPr>
          <a:xfrm>
            <a:off x="0" y="3408525"/>
            <a:ext cx="10692000" cy="742950"/>
            <a:chOff x="0" y="3408525"/>
            <a:chExt cx="10692000" cy="742950"/>
          </a:xfrm>
        </xdr:grpSpPr>
        <xdr:sp>
          <xdr:nvSpPr>
            <xdr:cNvPr id="18" name="Shape 18"/>
            <xdr:cNvSpPr/>
          </xdr:nvSpPr>
          <xdr:spPr>
            <a:xfrm>
              <a:off x="0" y="3408525"/>
              <a:ext cx="106920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 name="Shape 44"/>
            <xdr:cNvGrpSpPr/>
          </xdr:nvGrpSpPr>
          <xdr:grpSpPr>
            <a:xfrm>
              <a:off x="0" y="3408525"/>
              <a:ext cx="10692000" cy="742950"/>
              <a:chOff x="0" y="3408525"/>
              <a:chExt cx="10692000" cy="742950"/>
            </a:xfrm>
          </xdr:grpSpPr>
          <xdr:sp>
            <xdr:nvSpPr>
              <xdr:cNvPr id="45" name="Shape 45"/>
              <xdr:cNvSpPr/>
            </xdr:nvSpPr>
            <xdr:spPr>
              <a:xfrm>
                <a:off x="0" y="3408525"/>
                <a:ext cx="106920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 name="Shape 46"/>
              <xdr:cNvGrpSpPr/>
            </xdr:nvGrpSpPr>
            <xdr:grpSpPr>
              <a:xfrm>
                <a:off x="0" y="3408525"/>
                <a:ext cx="10692000" cy="742950"/>
                <a:chOff x="1615439" y="128088"/>
                <a:chExt cx="10746748" cy="749982"/>
              </a:xfrm>
            </xdr:grpSpPr>
            <xdr:sp>
              <xdr:nvSpPr>
                <xdr:cNvPr id="47" name="Shape 47"/>
                <xdr:cNvSpPr/>
              </xdr:nvSpPr>
              <xdr:spPr>
                <a:xfrm>
                  <a:off x="1615439" y="128088"/>
                  <a:ext cx="10746725" cy="749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48" name="Shape 48"/>
                <xdr:cNvPicPr preferRelativeResize="0"/>
              </xdr:nvPicPr>
              <xdr:blipFill rotWithShape="1">
                <a:blip r:embed="rId16">
                  <a:alphaModFix/>
                </a:blip>
                <a:srcRect b="17430" l="20640" r="16971" t="19725"/>
                <a:stretch/>
              </xdr:blipFill>
              <xdr:spPr>
                <a:xfrm flipH="1">
                  <a:off x="1615439" y="128088"/>
                  <a:ext cx="525141" cy="529002"/>
                </a:xfrm>
                <a:prstGeom prst="rect">
                  <a:avLst/>
                </a:prstGeom>
                <a:noFill/>
                <a:ln>
                  <a:noFill/>
                </a:ln>
              </xdr:spPr>
            </xdr:pic>
            <xdr:pic>
              <xdr:nvPicPr>
                <xdr:cNvPr id="49" name="Shape 49"/>
                <xdr:cNvPicPr preferRelativeResize="0"/>
              </xdr:nvPicPr>
              <xdr:blipFill rotWithShape="1">
                <a:blip r:embed="rId17">
                  <a:alphaModFix/>
                </a:blip>
                <a:srcRect b="25354" l="21805" r="22052" t="28383"/>
                <a:stretch/>
              </xdr:blipFill>
              <xdr:spPr>
                <a:xfrm>
                  <a:off x="11053601" y="270512"/>
                  <a:ext cx="1308586" cy="607558"/>
                </a:xfrm>
                <a:prstGeom prst="rect">
                  <a:avLst/>
                </a:prstGeom>
                <a:noFill/>
                <a:ln>
                  <a:noFill/>
                </a:ln>
              </xdr:spPr>
            </xdr:pic>
          </xdr:grp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8822650" cy="1466850"/>
    <xdr:sp>
      <xdr:nvSpPr>
        <xdr:cNvPr id="50" name="Shape 50"/>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1. FATORES INTERNOS  </a:t>
          </a:r>
          <a:endParaRPr b="1" sz="1400">
            <a:solidFill>
              <a:schemeClr val="lt1"/>
            </a:solidFill>
            <a:latin typeface="Arial"/>
            <a:ea typeface="Arial"/>
            <a:cs typeface="Arial"/>
            <a:sym typeface="Arial"/>
          </a:endParaRPr>
        </a:p>
      </xdr:txBody>
    </xdr:sp>
    <xdr:clientData fLocksWithSheet="0"/>
  </xdr:oneCellAnchor>
  <xdr:oneCellAnchor>
    <xdr:from>
      <xdr:col>2</xdr:col>
      <xdr:colOff>0</xdr:colOff>
      <xdr:row>1</xdr:row>
      <xdr:rowOff>238125</xdr:rowOff>
    </xdr:from>
    <xdr:ext cx="1952625" cy="371475"/>
    <xdr:sp>
      <xdr:nvSpPr>
        <xdr:cNvPr id="51" name="Shape 51">
          <a:hlinkClick r:id="rId1"/>
        </xdr:cNvPr>
        <xdr:cNvSpPr/>
      </xdr:nvSpPr>
      <xdr:spPr>
        <a:xfrm>
          <a:off x="4374450" y="3599025"/>
          <a:ext cx="1943100" cy="36195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Forças</a:t>
          </a:r>
          <a:endParaRPr sz="1400"/>
        </a:p>
      </xdr:txBody>
    </xdr:sp>
    <xdr:clientData fLocksWithSheet="0"/>
  </xdr:oneCellAnchor>
  <xdr:oneCellAnchor>
    <xdr:from>
      <xdr:col>2</xdr:col>
      <xdr:colOff>1924050</xdr:colOff>
      <xdr:row>1</xdr:row>
      <xdr:rowOff>238125</xdr:rowOff>
    </xdr:from>
    <xdr:ext cx="1962150" cy="371475"/>
    <xdr:sp>
      <xdr:nvSpPr>
        <xdr:cNvPr id="52" name="Shape 52">
          <a:hlinkClick r:id="rId2"/>
        </xdr:cNvPr>
        <xdr:cNvSpPr/>
      </xdr:nvSpPr>
      <xdr:spPr>
        <a:xfrm>
          <a:off x="4369688" y="3599025"/>
          <a:ext cx="1952625" cy="36195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Fraquezas</a:t>
          </a:r>
          <a:endParaRPr sz="1400"/>
        </a:p>
      </xdr:txBody>
    </xdr:sp>
    <xdr:clientData fLocksWithSheet="0"/>
  </xdr:oneCellAnchor>
  <xdr:oneCellAnchor>
    <xdr:from>
      <xdr:col>3</xdr:col>
      <xdr:colOff>676275</xdr:colOff>
      <xdr:row>1</xdr:row>
      <xdr:rowOff>123825</xdr:rowOff>
    </xdr:from>
    <xdr:ext cx="5619750" cy="619125"/>
    <xdr:sp>
      <xdr:nvSpPr>
        <xdr:cNvPr id="53" name="Shape 53"/>
        <xdr:cNvSpPr txBox="1"/>
      </xdr:nvSpPr>
      <xdr:spPr>
        <a:xfrm>
          <a:off x="2540888" y="3475200"/>
          <a:ext cx="5610225" cy="6096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internos de seu negócio ou projeto em </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desenvolvimento. </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Suas fraquezas e suas forças devem ser descritas e pontuadas nesta etapa.</a:t>
          </a:r>
          <a:endParaRPr b="0" sz="1050">
            <a:solidFill>
              <a:schemeClr val="lt1"/>
            </a:solidFill>
          </a:endParaRPr>
        </a:p>
      </xdr:txBody>
    </xdr:sp>
    <xdr:clientData fLocksWithSheet="0"/>
  </xdr:oneCellAnchor>
  <xdr:oneCellAnchor>
    <xdr:from>
      <xdr:col>0</xdr:col>
      <xdr:colOff>0</xdr:colOff>
      <xdr:row>4</xdr:row>
      <xdr:rowOff>104775</xdr:rowOff>
    </xdr:from>
    <xdr:ext cx="2085975" cy="314325"/>
    <xdr:sp>
      <xdr:nvSpPr>
        <xdr:cNvPr id="54" name="Shape 54">
          <a:hlinkClick r:id="rId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12</xdr:row>
      <xdr:rowOff>161925</xdr:rowOff>
    </xdr:from>
    <xdr:ext cx="2085975" cy="304800"/>
    <xdr:sp>
      <xdr:nvSpPr>
        <xdr:cNvPr id="55" name="Shape 55">
          <a:hlinkClick r:id="rId4"/>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15</xdr:row>
      <xdr:rowOff>0</xdr:rowOff>
    </xdr:from>
    <xdr:ext cx="2085975" cy="314325"/>
    <xdr:sp>
      <xdr:nvSpPr>
        <xdr:cNvPr id="56" name="Shape 56">
          <a:hlinkClick r:id="rId5"/>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85725</xdr:rowOff>
    </xdr:from>
    <xdr:ext cx="2152650" cy="304800"/>
    <xdr:sp>
      <xdr:nvSpPr>
        <xdr:cNvPr id="57" name="Shape 57">
          <a:hlinkClick r:id="rId6"/>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16</xdr:row>
      <xdr:rowOff>0</xdr:rowOff>
    </xdr:from>
    <xdr:ext cx="2085975" cy="314325"/>
    <xdr:sp>
      <xdr:nvSpPr>
        <xdr:cNvPr id="58" name="Shape 58">
          <a:hlinkClick r:id="rId7"/>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114300</xdr:rowOff>
    </xdr:from>
    <xdr:ext cx="2085975" cy="304800"/>
    <xdr:sp>
      <xdr:nvSpPr>
        <xdr:cNvPr id="59" name="Shape 59">
          <a:hlinkClick r:id="rId8"/>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123825</xdr:rowOff>
    </xdr:from>
    <xdr:ext cx="2085975" cy="304800"/>
    <xdr:sp>
      <xdr:nvSpPr>
        <xdr:cNvPr id="60" name="Shape 60">
          <a:hlinkClick r:id="rId9"/>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123825</xdr:rowOff>
    </xdr:from>
    <xdr:ext cx="2085975" cy="314325"/>
    <xdr:sp>
      <xdr:nvSpPr>
        <xdr:cNvPr id="61" name="Shape 61">
          <a:hlinkClick r:id="rId10"/>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10</xdr:row>
      <xdr:rowOff>133350</xdr:rowOff>
    </xdr:from>
    <xdr:ext cx="2085975" cy="314325"/>
    <xdr:sp>
      <xdr:nvSpPr>
        <xdr:cNvPr id="62" name="Shape 62">
          <a:hlinkClick r:id="rId1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142875</xdr:rowOff>
    </xdr:from>
    <xdr:ext cx="2085975" cy="323850"/>
    <xdr:sp>
      <xdr:nvSpPr>
        <xdr:cNvPr id="63" name="Shape 63">
          <a:hlinkClick r:id="rId12"/>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64" name="Shape 64"/>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11</xdr:row>
      <xdr:rowOff>152400</xdr:rowOff>
    </xdr:from>
    <xdr:ext cx="2085975" cy="314325"/>
    <xdr:sp>
      <xdr:nvSpPr>
        <xdr:cNvPr id="65" name="Shape 65">
          <a:hlinkClick r:id="rId1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13</xdr:row>
      <xdr:rowOff>171450</xdr:rowOff>
    </xdr:from>
    <xdr:ext cx="2085975" cy="304800"/>
    <xdr:sp>
      <xdr:nvSpPr>
        <xdr:cNvPr id="66" name="Shape 66">
          <a:hlinkClick r:id="rId14"/>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17</xdr:row>
      <xdr:rowOff>19050</xdr:rowOff>
    </xdr:from>
    <xdr:ext cx="2152650" cy="323850"/>
    <xdr:sp>
      <xdr:nvSpPr>
        <xdr:cNvPr id="67" name="Shape 67">
          <a:hlinkClick r:id="rId15"/>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1504950</xdr:colOff>
      <xdr:row>0</xdr:row>
      <xdr:rowOff>266700</xdr:rowOff>
    </xdr:from>
    <xdr:ext cx="11953875" cy="600075"/>
    <xdr:grpSp>
      <xdr:nvGrpSpPr>
        <xdr:cNvPr id="2" name="Shape 2"/>
        <xdr:cNvGrpSpPr/>
      </xdr:nvGrpSpPr>
      <xdr:grpSpPr>
        <a:xfrm>
          <a:off x="0" y="3479963"/>
          <a:ext cx="10692000" cy="600075"/>
          <a:chOff x="0" y="3479963"/>
          <a:chExt cx="10692000" cy="600075"/>
        </a:xfrm>
      </xdr:grpSpPr>
      <xdr:grpSp>
        <xdr:nvGrpSpPr>
          <xdr:cNvPr id="68" name="Shape 68"/>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 name="Shape 69"/>
            <xdr:cNvGrpSpPr/>
          </xdr:nvGrpSpPr>
          <xdr:grpSpPr>
            <a:xfrm>
              <a:off x="0" y="3479963"/>
              <a:ext cx="10692000" cy="600075"/>
              <a:chOff x="0" y="3479963"/>
              <a:chExt cx="10692000" cy="600075"/>
            </a:xfrm>
          </xdr:grpSpPr>
          <xdr:sp>
            <xdr:nvSpPr>
              <xdr:cNvPr id="70" name="Shape 7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 name="Shape 71"/>
              <xdr:cNvGrpSpPr/>
            </xdr:nvGrpSpPr>
            <xdr:grpSpPr>
              <a:xfrm>
                <a:off x="0" y="3479963"/>
                <a:ext cx="10692000" cy="600075"/>
                <a:chOff x="1615439" y="49532"/>
                <a:chExt cx="12302193" cy="607558"/>
              </a:xfrm>
            </xdr:grpSpPr>
            <xdr:sp>
              <xdr:nvSpPr>
                <xdr:cNvPr id="72" name="Shape 72"/>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3" name="Shape 73"/>
                <xdr:cNvPicPr preferRelativeResize="0"/>
              </xdr:nvPicPr>
              <xdr:blipFill rotWithShape="1">
                <a:blip r:embed="rId16">
                  <a:alphaModFix/>
                </a:blip>
                <a:srcRect b="17430" l="20640" r="16971" t="19725"/>
                <a:stretch/>
              </xdr:blipFill>
              <xdr:spPr>
                <a:xfrm flipH="1">
                  <a:off x="1615439" y="128088"/>
                  <a:ext cx="525141" cy="529002"/>
                </a:xfrm>
                <a:prstGeom prst="rect">
                  <a:avLst/>
                </a:prstGeom>
                <a:noFill/>
                <a:ln>
                  <a:noFill/>
                </a:ln>
              </xdr:spPr>
            </xdr:pic>
            <xdr:pic>
              <xdr:nvPicPr>
                <xdr:cNvPr id="74" name="Shape 74"/>
                <xdr:cNvPicPr preferRelativeResize="0"/>
              </xdr:nvPicPr>
              <xdr:blipFill rotWithShape="1">
                <a:blip r:embed="rId17">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420850" cy="1466850"/>
    <xdr:sp>
      <xdr:nvSpPr>
        <xdr:cNvPr id="75" name="Shape 75"/>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2. FATORES EXTERNOS  </a:t>
          </a:r>
          <a:endParaRPr b="1" sz="1400">
            <a:solidFill>
              <a:schemeClr val="lt1"/>
            </a:solidFill>
            <a:latin typeface="Arial"/>
            <a:ea typeface="Arial"/>
            <a:cs typeface="Arial"/>
            <a:sym typeface="Arial"/>
          </a:endParaRPr>
        </a:p>
      </xdr:txBody>
    </xdr:sp>
    <xdr:clientData fLocksWithSheet="0"/>
  </xdr:oneCellAnchor>
  <xdr:oneCellAnchor>
    <xdr:from>
      <xdr:col>2</xdr:col>
      <xdr:colOff>0</xdr:colOff>
      <xdr:row>1</xdr:row>
      <xdr:rowOff>123825</xdr:rowOff>
    </xdr:from>
    <xdr:ext cx="1952625" cy="371475"/>
    <xdr:sp>
      <xdr:nvSpPr>
        <xdr:cNvPr id="76" name="Shape 76">
          <a:hlinkClick r:id="rId1"/>
        </xdr:cNvPr>
        <xdr:cNvSpPr/>
      </xdr:nvSpPr>
      <xdr:spPr>
        <a:xfrm>
          <a:off x="4374450" y="3599025"/>
          <a:ext cx="1943100" cy="36195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Oportunidades</a:t>
          </a:r>
          <a:endParaRPr sz="1400"/>
        </a:p>
      </xdr:txBody>
    </xdr:sp>
    <xdr:clientData fLocksWithSheet="0"/>
  </xdr:oneCellAnchor>
  <xdr:oneCellAnchor>
    <xdr:from>
      <xdr:col>2</xdr:col>
      <xdr:colOff>1924050</xdr:colOff>
      <xdr:row>1</xdr:row>
      <xdr:rowOff>123825</xdr:rowOff>
    </xdr:from>
    <xdr:ext cx="1962150" cy="371475"/>
    <xdr:sp>
      <xdr:nvSpPr>
        <xdr:cNvPr id="77" name="Shape 77">
          <a:hlinkClick r:id="rId2"/>
        </xdr:cNvPr>
        <xdr:cNvSpPr/>
      </xdr:nvSpPr>
      <xdr:spPr>
        <a:xfrm>
          <a:off x="4369688" y="3599025"/>
          <a:ext cx="1952625" cy="36195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Ameaças</a:t>
          </a:r>
          <a:endParaRPr sz="1400"/>
        </a:p>
      </xdr:txBody>
    </xdr:sp>
    <xdr:clientData fLocksWithSheet="0"/>
  </xdr:oneCellAnchor>
  <xdr:oneCellAnchor>
    <xdr:from>
      <xdr:col>2</xdr:col>
      <xdr:colOff>4314825</xdr:colOff>
      <xdr:row>0</xdr:row>
      <xdr:rowOff>381000</xdr:rowOff>
    </xdr:from>
    <xdr:ext cx="5619750" cy="609600"/>
    <xdr:sp>
      <xdr:nvSpPr>
        <xdr:cNvPr id="78" name="Shape 78"/>
        <xdr:cNvSpPr txBox="1"/>
      </xdr:nvSpPr>
      <xdr:spPr>
        <a:xfrm>
          <a:off x="2540888" y="3479963"/>
          <a:ext cx="5610225" cy="6000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externos de seu negócio ou projeto em  desenvolvimento.</a:t>
          </a:r>
          <a:br>
            <a:rPr b="0" lang="en-US" sz="1400">
              <a:solidFill>
                <a:schemeClr val="lt1"/>
              </a:solidFill>
              <a:latin typeface="Calibri"/>
              <a:ea typeface="Calibri"/>
              <a:cs typeface="Calibri"/>
              <a:sym typeface="Calibri"/>
            </a:rPr>
          </a:br>
          <a:r>
            <a:rPr b="0" lang="en-US" sz="1050">
              <a:solidFill>
                <a:schemeClr val="lt1"/>
              </a:solidFill>
              <a:latin typeface="Calibri"/>
              <a:ea typeface="Calibri"/>
              <a:cs typeface="Calibri"/>
              <a:sym typeface="Calibri"/>
            </a:rPr>
            <a:t>Suas oportunidades e suas ameaças devem ser descritas e pontuadas nesta etapa.</a:t>
          </a:r>
          <a:endParaRPr b="0" sz="1050">
            <a:solidFill>
              <a:schemeClr val="lt1"/>
            </a:solidFill>
          </a:endParaRPr>
        </a:p>
      </xdr:txBody>
    </xdr:sp>
    <xdr:clientData fLocksWithSheet="0"/>
  </xdr:oneCellAnchor>
  <xdr:oneCellAnchor>
    <xdr:from>
      <xdr:col>0</xdr:col>
      <xdr:colOff>0</xdr:colOff>
      <xdr:row>3</xdr:row>
      <xdr:rowOff>342900</xdr:rowOff>
    </xdr:from>
    <xdr:ext cx="2085975" cy="314325"/>
    <xdr:sp>
      <xdr:nvSpPr>
        <xdr:cNvPr id="79" name="Shape 79">
          <a:hlinkClick r:id="rId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11</xdr:row>
      <xdr:rowOff>0</xdr:rowOff>
    </xdr:from>
    <xdr:ext cx="2085975" cy="295275"/>
    <xdr:sp>
      <xdr:nvSpPr>
        <xdr:cNvPr id="80" name="Shape 80">
          <a:hlinkClick r:id="rId4"/>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0</xdr:rowOff>
    </xdr:from>
    <xdr:ext cx="2085975" cy="314325"/>
    <xdr:sp>
      <xdr:nvSpPr>
        <xdr:cNvPr id="81" name="Shape 81">
          <a:hlinkClick r:id="rId5"/>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581025</xdr:rowOff>
    </xdr:from>
    <xdr:ext cx="2152650" cy="304800"/>
    <xdr:sp>
      <xdr:nvSpPr>
        <xdr:cNvPr id="82" name="Shape 82">
          <a:hlinkClick r:id="rId6"/>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19050</xdr:rowOff>
    </xdr:from>
    <xdr:ext cx="2085975" cy="314325"/>
    <xdr:sp>
      <xdr:nvSpPr>
        <xdr:cNvPr id="83" name="Shape 83">
          <a:hlinkClick r:id="rId7"/>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0</xdr:rowOff>
    </xdr:from>
    <xdr:ext cx="2085975" cy="295275"/>
    <xdr:sp>
      <xdr:nvSpPr>
        <xdr:cNvPr id="84" name="Shape 84">
          <a:hlinkClick r:id="rId8"/>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5</xdr:row>
      <xdr:rowOff>361950</xdr:rowOff>
    </xdr:from>
    <xdr:ext cx="2085975" cy="304800"/>
    <xdr:sp>
      <xdr:nvSpPr>
        <xdr:cNvPr id="85" name="Shape 85">
          <a:hlinkClick r:id="rId9"/>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6</xdr:row>
      <xdr:rowOff>314325</xdr:rowOff>
    </xdr:from>
    <xdr:ext cx="2085975" cy="314325"/>
    <xdr:sp>
      <xdr:nvSpPr>
        <xdr:cNvPr id="86" name="Shape 86">
          <a:hlinkClick r:id="rId10"/>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8</xdr:row>
      <xdr:rowOff>342900</xdr:rowOff>
    </xdr:from>
    <xdr:ext cx="2085975" cy="314325"/>
    <xdr:sp>
      <xdr:nvSpPr>
        <xdr:cNvPr id="87" name="Shape 87">
          <a:hlinkClick r:id="rId1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7</xdr:row>
      <xdr:rowOff>333375</xdr:rowOff>
    </xdr:from>
    <xdr:ext cx="2085975" cy="314325"/>
    <xdr:sp>
      <xdr:nvSpPr>
        <xdr:cNvPr id="88" name="Shape 88">
          <a:hlinkClick r:id="rId12"/>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89" name="Shape 89"/>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10</xdr:row>
      <xdr:rowOff>0</xdr:rowOff>
    </xdr:from>
    <xdr:ext cx="2085975" cy="304800"/>
    <xdr:sp>
      <xdr:nvSpPr>
        <xdr:cNvPr id="90" name="Shape 90">
          <a:hlinkClick r:id="rId13"/>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0</xdr:rowOff>
    </xdr:from>
    <xdr:ext cx="2085975" cy="295275"/>
    <xdr:sp>
      <xdr:nvSpPr>
        <xdr:cNvPr id="91" name="Shape 91">
          <a:hlinkClick r:id="rId14"/>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15</xdr:row>
      <xdr:rowOff>47625</xdr:rowOff>
    </xdr:from>
    <xdr:ext cx="2152650" cy="323850"/>
    <xdr:sp>
      <xdr:nvSpPr>
        <xdr:cNvPr id="92" name="Shape 92">
          <a:hlinkClick r:id="rId15"/>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1476375</xdr:colOff>
      <xdr:row>0</xdr:row>
      <xdr:rowOff>228600</xdr:rowOff>
    </xdr:from>
    <xdr:ext cx="12153900" cy="714375"/>
    <xdr:grpSp>
      <xdr:nvGrpSpPr>
        <xdr:cNvPr id="2" name="Shape 2"/>
        <xdr:cNvGrpSpPr/>
      </xdr:nvGrpSpPr>
      <xdr:grpSpPr>
        <a:xfrm>
          <a:off x="0" y="3422813"/>
          <a:ext cx="10692000" cy="714375"/>
          <a:chOff x="0" y="3422813"/>
          <a:chExt cx="10692000" cy="714375"/>
        </a:xfrm>
      </xdr:grpSpPr>
      <xdr:grpSp>
        <xdr:nvGrpSpPr>
          <xdr:cNvPr id="93" name="Shape 93"/>
          <xdr:cNvGrpSpPr/>
        </xdr:nvGrpSpPr>
        <xdr:grpSpPr>
          <a:xfrm>
            <a:off x="0" y="3422813"/>
            <a:ext cx="10692000" cy="714375"/>
            <a:chOff x="0" y="3422813"/>
            <a:chExt cx="10692000" cy="714375"/>
          </a:xfrm>
        </xdr:grpSpPr>
        <xdr:sp>
          <xdr:nvSpPr>
            <xdr:cNvPr id="18" name="Shape 18"/>
            <xdr:cNvSpPr/>
          </xdr:nvSpPr>
          <xdr:spPr>
            <a:xfrm>
              <a:off x="0" y="3422813"/>
              <a:ext cx="10692000"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 name="Shape 94"/>
            <xdr:cNvGrpSpPr/>
          </xdr:nvGrpSpPr>
          <xdr:grpSpPr>
            <a:xfrm>
              <a:off x="0" y="3422813"/>
              <a:ext cx="10692000" cy="714375"/>
              <a:chOff x="0" y="3422813"/>
              <a:chExt cx="10692000" cy="714375"/>
            </a:xfrm>
          </xdr:grpSpPr>
          <xdr:sp>
            <xdr:nvSpPr>
              <xdr:cNvPr id="95" name="Shape 95"/>
              <xdr:cNvSpPr/>
            </xdr:nvSpPr>
            <xdr:spPr>
              <a:xfrm>
                <a:off x="0" y="3422813"/>
                <a:ext cx="10692000"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 name="Shape 96"/>
              <xdr:cNvGrpSpPr/>
            </xdr:nvGrpSpPr>
            <xdr:grpSpPr>
              <a:xfrm>
                <a:off x="0" y="3422813"/>
                <a:ext cx="10692000" cy="714375"/>
                <a:chOff x="2898253" y="34292"/>
                <a:chExt cx="10834231" cy="721858"/>
              </a:xfrm>
            </xdr:grpSpPr>
            <xdr:sp>
              <xdr:nvSpPr>
                <xdr:cNvPr id="97" name="Shape 97"/>
                <xdr:cNvSpPr/>
              </xdr:nvSpPr>
              <xdr:spPr>
                <a:xfrm>
                  <a:off x="2898253" y="34292"/>
                  <a:ext cx="10834225" cy="721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98" name="Shape 98"/>
                <xdr:cNvPicPr preferRelativeResize="0"/>
              </xdr:nvPicPr>
              <xdr:blipFill rotWithShape="1">
                <a:blip r:embed="rId16">
                  <a:alphaModFix/>
                </a:blip>
                <a:srcRect b="17430" l="20640" r="16971" t="19725"/>
                <a:stretch/>
              </xdr:blipFill>
              <xdr:spPr>
                <a:xfrm flipH="1">
                  <a:off x="2898253" y="227148"/>
                  <a:ext cx="525141" cy="529002"/>
                </a:xfrm>
                <a:prstGeom prst="rect">
                  <a:avLst/>
                </a:prstGeom>
                <a:noFill/>
                <a:ln>
                  <a:noFill/>
                </a:ln>
              </xdr:spPr>
            </xdr:pic>
            <xdr:pic>
              <xdr:nvPicPr>
                <xdr:cNvPr id="99" name="Shape 99"/>
                <xdr:cNvPicPr preferRelativeResize="0"/>
              </xdr:nvPicPr>
              <xdr:blipFill rotWithShape="1">
                <a:blip r:embed="rId17">
                  <a:alphaModFix/>
                </a:blip>
                <a:srcRect b="25354" l="21805" r="22052" t="28383"/>
                <a:stretch/>
              </xdr:blipFill>
              <xdr:spPr>
                <a:xfrm>
                  <a:off x="12423898" y="34292"/>
                  <a:ext cx="1308586" cy="607558"/>
                </a:xfrm>
                <a:prstGeom prst="rect">
                  <a:avLst/>
                </a:prstGeom>
                <a:noFill/>
                <a:ln>
                  <a:noFill/>
                </a:ln>
              </xdr:spPr>
            </xdr:pic>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8822650" cy="1466850"/>
    <xdr:sp>
      <xdr:nvSpPr>
        <xdr:cNvPr id="100" name="Shape 100"/>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2. FATORES EXTERNOS  </a:t>
          </a:r>
          <a:endParaRPr b="1" sz="1400">
            <a:solidFill>
              <a:schemeClr val="lt1"/>
            </a:solidFill>
            <a:latin typeface="Arial"/>
            <a:ea typeface="Arial"/>
            <a:cs typeface="Arial"/>
            <a:sym typeface="Arial"/>
          </a:endParaRPr>
        </a:p>
      </xdr:txBody>
    </xdr:sp>
    <xdr:clientData fLocksWithSheet="0"/>
  </xdr:oneCellAnchor>
  <xdr:oneCellAnchor>
    <xdr:from>
      <xdr:col>2</xdr:col>
      <xdr:colOff>0</xdr:colOff>
      <xdr:row>1</xdr:row>
      <xdr:rowOff>257175</xdr:rowOff>
    </xdr:from>
    <xdr:ext cx="1952625" cy="371475"/>
    <xdr:sp>
      <xdr:nvSpPr>
        <xdr:cNvPr id="101" name="Shape 101">
          <a:hlinkClick r:id="rId1"/>
        </xdr:cNvPr>
        <xdr:cNvSpPr/>
      </xdr:nvSpPr>
      <xdr:spPr>
        <a:xfrm>
          <a:off x="4374450" y="3599025"/>
          <a:ext cx="1943100" cy="36195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Oportunidades</a:t>
          </a:r>
          <a:endParaRPr sz="1400"/>
        </a:p>
      </xdr:txBody>
    </xdr:sp>
    <xdr:clientData fLocksWithSheet="0"/>
  </xdr:oneCellAnchor>
  <xdr:oneCellAnchor>
    <xdr:from>
      <xdr:col>2</xdr:col>
      <xdr:colOff>1924050</xdr:colOff>
      <xdr:row>1</xdr:row>
      <xdr:rowOff>257175</xdr:rowOff>
    </xdr:from>
    <xdr:ext cx="1962150" cy="371475"/>
    <xdr:sp>
      <xdr:nvSpPr>
        <xdr:cNvPr id="102" name="Shape 102">
          <a:hlinkClick r:id="rId2"/>
        </xdr:cNvPr>
        <xdr:cNvSpPr/>
      </xdr:nvSpPr>
      <xdr:spPr>
        <a:xfrm>
          <a:off x="4369688" y="3599025"/>
          <a:ext cx="1952625" cy="36195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Ameaças</a:t>
          </a:r>
          <a:endParaRPr sz="1400"/>
        </a:p>
      </xdr:txBody>
    </xdr:sp>
    <xdr:clientData fLocksWithSheet="0"/>
  </xdr:oneCellAnchor>
  <xdr:oneCellAnchor>
    <xdr:from>
      <xdr:col>3</xdr:col>
      <xdr:colOff>657225</xdr:colOff>
      <xdr:row>1</xdr:row>
      <xdr:rowOff>104775</xdr:rowOff>
    </xdr:from>
    <xdr:ext cx="5619750" cy="619125"/>
    <xdr:sp>
      <xdr:nvSpPr>
        <xdr:cNvPr id="103" name="Shape 103"/>
        <xdr:cNvSpPr txBox="1"/>
      </xdr:nvSpPr>
      <xdr:spPr>
        <a:xfrm>
          <a:off x="2540888" y="3475200"/>
          <a:ext cx="5610225" cy="6096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externos de seu negócio ou projeto em </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 desenvolvimento.</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Suas oportunidades e suas ameaças devem ser descritas e pontuadas nesta etapa.</a:t>
          </a:r>
          <a:endParaRPr b="0" sz="1050">
            <a:solidFill>
              <a:schemeClr val="lt1"/>
            </a:solidFill>
          </a:endParaRPr>
        </a:p>
      </xdr:txBody>
    </xdr:sp>
    <xdr:clientData fLocksWithSheet="0"/>
  </xdr:oneCellAnchor>
  <xdr:oneCellAnchor>
    <xdr:from>
      <xdr:col>0</xdr:col>
      <xdr:colOff>0</xdr:colOff>
      <xdr:row>4</xdr:row>
      <xdr:rowOff>57150</xdr:rowOff>
    </xdr:from>
    <xdr:ext cx="2085975" cy="304800"/>
    <xdr:sp>
      <xdr:nvSpPr>
        <xdr:cNvPr id="104" name="Shape 104">
          <a:hlinkClick r:id="rId3"/>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11</xdr:row>
      <xdr:rowOff>133350</xdr:rowOff>
    </xdr:from>
    <xdr:ext cx="2085975" cy="304800"/>
    <xdr:sp>
      <xdr:nvSpPr>
        <xdr:cNvPr id="105" name="Shape 105">
          <a:hlinkClick r:id="rId4"/>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142875</xdr:rowOff>
    </xdr:from>
    <xdr:ext cx="2085975" cy="323850"/>
    <xdr:sp>
      <xdr:nvSpPr>
        <xdr:cNvPr id="106" name="Shape 106">
          <a:hlinkClick r:id="rId5"/>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47625</xdr:rowOff>
    </xdr:from>
    <xdr:ext cx="2152650" cy="304800"/>
    <xdr:sp>
      <xdr:nvSpPr>
        <xdr:cNvPr id="107" name="Shape 107">
          <a:hlinkClick r:id="rId6"/>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171450</xdr:rowOff>
    </xdr:from>
    <xdr:ext cx="2085975" cy="323850"/>
    <xdr:sp>
      <xdr:nvSpPr>
        <xdr:cNvPr id="108" name="Shape 108">
          <a:hlinkClick r:id="rId7"/>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66675</xdr:rowOff>
    </xdr:from>
    <xdr:ext cx="2085975" cy="295275"/>
    <xdr:sp>
      <xdr:nvSpPr>
        <xdr:cNvPr id="109" name="Shape 109">
          <a:hlinkClick r:id="rId8"/>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76200</xdr:rowOff>
    </xdr:from>
    <xdr:ext cx="2085975" cy="295275"/>
    <xdr:sp>
      <xdr:nvSpPr>
        <xdr:cNvPr id="110" name="Shape 110">
          <a:hlinkClick r:id="rId9"/>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76200</xdr:rowOff>
    </xdr:from>
    <xdr:ext cx="2085975" cy="314325"/>
    <xdr:sp>
      <xdr:nvSpPr>
        <xdr:cNvPr id="111" name="Shape 111">
          <a:hlinkClick r:id="rId10"/>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104775</xdr:rowOff>
    </xdr:from>
    <xdr:ext cx="2085975" cy="314325"/>
    <xdr:sp>
      <xdr:nvSpPr>
        <xdr:cNvPr id="112" name="Shape 112">
          <a:hlinkClick r:id="rId1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95250</xdr:rowOff>
    </xdr:from>
    <xdr:ext cx="2085975" cy="314325"/>
    <xdr:sp>
      <xdr:nvSpPr>
        <xdr:cNvPr id="113" name="Shape 113">
          <a:hlinkClick r:id="rId12"/>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114" name="Shape 114"/>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10</xdr:row>
      <xdr:rowOff>123825</xdr:rowOff>
    </xdr:from>
    <xdr:ext cx="2085975" cy="314325"/>
    <xdr:sp>
      <xdr:nvSpPr>
        <xdr:cNvPr id="115" name="Shape 115">
          <a:hlinkClick r:id="rId1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142875</xdr:rowOff>
    </xdr:from>
    <xdr:ext cx="2085975" cy="304800"/>
    <xdr:sp>
      <xdr:nvSpPr>
        <xdr:cNvPr id="116" name="Shape 116">
          <a:hlinkClick r:id="rId14"/>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15</xdr:row>
      <xdr:rowOff>190500</xdr:rowOff>
    </xdr:from>
    <xdr:ext cx="2152650" cy="323850"/>
    <xdr:sp>
      <xdr:nvSpPr>
        <xdr:cNvPr id="117" name="Shape 117">
          <a:hlinkClick r:id="rId15"/>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1524000</xdr:colOff>
      <xdr:row>1</xdr:row>
      <xdr:rowOff>28575</xdr:rowOff>
    </xdr:from>
    <xdr:ext cx="11953875" cy="600075"/>
    <xdr:grpSp>
      <xdr:nvGrpSpPr>
        <xdr:cNvPr id="2" name="Shape 2"/>
        <xdr:cNvGrpSpPr/>
      </xdr:nvGrpSpPr>
      <xdr:grpSpPr>
        <a:xfrm>
          <a:off x="0" y="3479963"/>
          <a:ext cx="10692000" cy="600075"/>
          <a:chOff x="0" y="3479963"/>
          <a:chExt cx="10692000" cy="600075"/>
        </a:xfrm>
      </xdr:grpSpPr>
      <xdr:grpSp>
        <xdr:nvGrpSpPr>
          <xdr:cNvPr id="118" name="Shape 118"/>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 name="Shape 119"/>
            <xdr:cNvGrpSpPr/>
          </xdr:nvGrpSpPr>
          <xdr:grpSpPr>
            <a:xfrm>
              <a:off x="0" y="3479963"/>
              <a:ext cx="10692000" cy="600075"/>
              <a:chOff x="0" y="3479963"/>
              <a:chExt cx="10692000" cy="600075"/>
            </a:xfrm>
          </xdr:grpSpPr>
          <xdr:sp>
            <xdr:nvSpPr>
              <xdr:cNvPr id="120" name="Shape 12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 name="Shape 121"/>
              <xdr:cNvGrpSpPr/>
            </xdr:nvGrpSpPr>
            <xdr:grpSpPr>
              <a:xfrm>
                <a:off x="0" y="3479963"/>
                <a:ext cx="10692000" cy="600075"/>
                <a:chOff x="1615439" y="49532"/>
                <a:chExt cx="12302193" cy="607558"/>
              </a:xfrm>
            </xdr:grpSpPr>
            <xdr:sp>
              <xdr:nvSpPr>
                <xdr:cNvPr id="122" name="Shape 122"/>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23" name="Shape 123"/>
                <xdr:cNvPicPr preferRelativeResize="0"/>
              </xdr:nvPicPr>
              <xdr:blipFill rotWithShape="1">
                <a:blip r:embed="rId16">
                  <a:alphaModFix/>
                </a:blip>
                <a:srcRect b="17430" l="20640" r="16971" t="19725"/>
                <a:stretch/>
              </xdr:blipFill>
              <xdr:spPr>
                <a:xfrm flipH="1">
                  <a:off x="1615439" y="128088"/>
                  <a:ext cx="525141" cy="529002"/>
                </a:xfrm>
                <a:prstGeom prst="rect">
                  <a:avLst/>
                </a:prstGeom>
                <a:noFill/>
                <a:ln>
                  <a:noFill/>
                </a:ln>
              </xdr:spPr>
            </xdr:pic>
            <xdr:pic>
              <xdr:nvPicPr>
                <xdr:cNvPr id="124" name="Shape 124"/>
                <xdr:cNvPicPr preferRelativeResize="0"/>
              </xdr:nvPicPr>
              <xdr:blipFill rotWithShape="1">
                <a:blip r:embed="rId17">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582775" cy="1466850"/>
    <xdr:sp>
      <xdr:nvSpPr>
        <xdr:cNvPr id="125" name="Shape 125"/>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3. MATRIZ SWOT</a:t>
          </a:r>
          <a:endParaRPr b="1" sz="1400">
            <a:solidFill>
              <a:schemeClr val="lt1"/>
            </a:solidFill>
            <a:latin typeface="Arial"/>
            <a:ea typeface="Arial"/>
            <a:cs typeface="Arial"/>
            <a:sym typeface="Arial"/>
          </a:endParaRPr>
        </a:p>
      </xdr:txBody>
    </xdr:sp>
    <xdr:clientData fLocksWithSheet="0"/>
  </xdr:oneCellAnchor>
  <xdr:oneCellAnchor>
    <xdr:from>
      <xdr:col>2</xdr:col>
      <xdr:colOff>3781425</xdr:colOff>
      <xdr:row>1</xdr:row>
      <xdr:rowOff>38100</xdr:rowOff>
    </xdr:from>
    <xdr:ext cx="5143500" cy="457200"/>
    <xdr:sp>
      <xdr:nvSpPr>
        <xdr:cNvPr id="126" name="Shape 126"/>
        <xdr:cNvSpPr txBox="1"/>
      </xdr:nvSpPr>
      <xdr:spPr>
        <a:xfrm>
          <a:off x="2779013" y="3556163"/>
          <a:ext cx="5133975" cy="4476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Veja a sua Matriz SWOT hierarquizada de acordo com a sua pontuação. </a:t>
          </a:r>
          <a:endParaRPr sz="1400">
            <a:solidFill>
              <a:schemeClr val="lt1"/>
            </a:solidFill>
          </a:endParaRPr>
        </a:p>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Na aba de "Gráficos" e "Alertas e dicas" haverá mais possibilidades de análise dos dados.</a:t>
          </a:r>
          <a:endParaRPr sz="1050">
            <a:solidFill>
              <a:schemeClr val="lt1"/>
            </a:solidFill>
          </a:endParaRPr>
        </a:p>
      </xdr:txBody>
    </xdr:sp>
    <xdr:clientData fLocksWithSheet="0"/>
  </xdr:oneCellAnchor>
  <xdr:oneCellAnchor>
    <xdr:from>
      <xdr:col>0</xdr:col>
      <xdr:colOff>0</xdr:colOff>
      <xdr:row>4</xdr:row>
      <xdr:rowOff>57150</xdr:rowOff>
    </xdr:from>
    <xdr:ext cx="2085975" cy="304800"/>
    <xdr:sp>
      <xdr:nvSpPr>
        <xdr:cNvPr id="127" name="Shape 127">
          <a:hlinkClick r:id="rId1"/>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12</xdr:row>
      <xdr:rowOff>85725</xdr:rowOff>
    </xdr:from>
    <xdr:ext cx="2085975" cy="304800"/>
    <xdr:sp>
      <xdr:nvSpPr>
        <xdr:cNvPr id="128" name="Shape 128">
          <a:hlinkClick r:id="rId2"/>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14</xdr:row>
      <xdr:rowOff>161925</xdr:rowOff>
    </xdr:from>
    <xdr:ext cx="2085975" cy="333375"/>
    <xdr:sp>
      <xdr:nvSpPr>
        <xdr:cNvPr id="129" name="Shape 129">
          <a:hlinkClick r:id="rId3"/>
        </xdr:cNvPr>
        <xdr:cNvSpPr/>
      </xdr:nvSpPr>
      <xdr:spPr>
        <a:xfrm>
          <a:off x="4307775" y="3618075"/>
          <a:ext cx="207645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47625</xdr:rowOff>
    </xdr:from>
    <xdr:ext cx="2152650" cy="304800"/>
    <xdr:sp>
      <xdr:nvSpPr>
        <xdr:cNvPr id="130" name="Shape 130">
          <a:hlinkClick r:id="rId4"/>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15</xdr:row>
      <xdr:rowOff>247650</xdr:rowOff>
    </xdr:from>
    <xdr:ext cx="2085975" cy="333375"/>
    <xdr:sp>
      <xdr:nvSpPr>
        <xdr:cNvPr id="131" name="Shape 131">
          <a:hlinkClick r:id="rId5"/>
        </xdr:cNvPr>
        <xdr:cNvSpPr/>
      </xdr:nvSpPr>
      <xdr:spPr>
        <a:xfrm>
          <a:off x="4307775" y="3618075"/>
          <a:ext cx="207645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66675</xdr:rowOff>
    </xdr:from>
    <xdr:ext cx="2085975" cy="295275"/>
    <xdr:sp>
      <xdr:nvSpPr>
        <xdr:cNvPr id="132" name="Shape 132">
          <a:hlinkClick r:id="rId6"/>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0</xdr:rowOff>
    </xdr:from>
    <xdr:ext cx="2085975" cy="295275"/>
    <xdr:sp>
      <xdr:nvSpPr>
        <xdr:cNvPr id="133" name="Shape 133">
          <a:hlinkClick r:id="rId7"/>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38100</xdr:rowOff>
    </xdr:from>
    <xdr:ext cx="2085975" cy="323850"/>
    <xdr:sp>
      <xdr:nvSpPr>
        <xdr:cNvPr id="134" name="Shape 134">
          <a:hlinkClick r:id="rId8"/>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190500</xdr:rowOff>
    </xdr:from>
    <xdr:ext cx="2085975" cy="323850"/>
    <xdr:sp>
      <xdr:nvSpPr>
        <xdr:cNvPr id="135" name="Shape 135">
          <a:hlinkClick r:id="rId9"/>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114300</xdr:rowOff>
    </xdr:from>
    <xdr:ext cx="2085975" cy="323850"/>
    <xdr:sp>
      <xdr:nvSpPr>
        <xdr:cNvPr id="136" name="Shape 136">
          <a:hlinkClick r:id="rId10"/>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11</xdr:row>
      <xdr:rowOff>76200</xdr:rowOff>
    </xdr:from>
    <xdr:ext cx="2085975" cy="314325"/>
    <xdr:sp>
      <xdr:nvSpPr>
        <xdr:cNvPr id="137" name="Shape 137">
          <a:hlinkClick r:id="rId1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13</xdr:row>
      <xdr:rowOff>95250</xdr:rowOff>
    </xdr:from>
    <xdr:ext cx="2085975" cy="314325"/>
    <xdr:sp>
      <xdr:nvSpPr>
        <xdr:cNvPr id="138" name="Shape 138">
          <a:hlinkClick r:id="rId12"/>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17</xdr:row>
      <xdr:rowOff>9525</xdr:rowOff>
    </xdr:from>
    <xdr:ext cx="2152650" cy="323850"/>
    <xdr:sp>
      <xdr:nvSpPr>
        <xdr:cNvPr id="139" name="Shape 139">
          <a:hlinkClick r:id="rId13"/>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1419225</xdr:colOff>
      <xdr:row>1</xdr:row>
      <xdr:rowOff>0</xdr:rowOff>
    </xdr:from>
    <xdr:ext cx="12153900" cy="609600"/>
    <xdr:grpSp>
      <xdr:nvGrpSpPr>
        <xdr:cNvPr id="2" name="Shape 2"/>
        <xdr:cNvGrpSpPr/>
      </xdr:nvGrpSpPr>
      <xdr:grpSpPr>
        <a:xfrm>
          <a:off x="0" y="3475200"/>
          <a:ext cx="10692000" cy="609600"/>
          <a:chOff x="0" y="3475200"/>
          <a:chExt cx="10692000" cy="609600"/>
        </a:xfrm>
      </xdr:grpSpPr>
      <xdr:grpSp>
        <xdr:nvGrpSpPr>
          <xdr:cNvPr id="140" name="Shape 140"/>
          <xdr:cNvGrpSpPr/>
        </xdr:nvGrpSpPr>
        <xdr:grpSpPr>
          <a:xfrm>
            <a:off x="0" y="3475200"/>
            <a:ext cx="10692000" cy="609600"/>
            <a:chOff x="0" y="3475200"/>
            <a:chExt cx="10692000" cy="609600"/>
          </a:xfrm>
        </xdr:grpSpPr>
        <xdr:sp>
          <xdr:nvSpPr>
            <xdr:cNvPr id="18" name="Shape 18"/>
            <xdr:cNvSpPr/>
          </xdr:nvSpPr>
          <xdr:spPr>
            <a:xfrm>
              <a:off x="0" y="3475200"/>
              <a:ext cx="10692000" cy="60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 name="Shape 141"/>
            <xdr:cNvGrpSpPr/>
          </xdr:nvGrpSpPr>
          <xdr:grpSpPr>
            <a:xfrm>
              <a:off x="0" y="3475200"/>
              <a:ext cx="10692000" cy="609600"/>
              <a:chOff x="0" y="3475200"/>
              <a:chExt cx="10692000" cy="609600"/>
            </a:xfrm>
          </xdr:grpSpPr>
          <xdr:sp>
            <xdr:nvSpPr>
              <xdr:cNvPr id="142" name="Shape 142"/>
              <xdr:cNvSpPr/>
            </xdr:nvSpPr>
            <xdr:spPr>
              <a:xfrm>
                <a:off x="0" y="3475200"/>
                <a:ext cx="10692000" cy="60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 name="Shape 143"/>
              <xdr:cNvGrpSpPr/>
            </xdr:nvGrpSpPr>
            <xdr:grpSpPr>
              <a:xfrm>
                <a:off x="0" y="3475200"/>
                <a:ext cx="10692000" cy="609600"/>
                <a:chOff x="1615439" y="49532"/>
                <a:chExt cx="12302193" cy="607558"/>
              </a:xfrm>
            </xdr:grpSpPr>
            <xdr:sp>
              <xdr:nvSpPr>
                <xdr:cNvPr id="144" name="Shape 144"/>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45" name="Shape 145"/>
                <xdr:cNvPicPr preferRelativeResize="0"/>
              </xdr:nvPicPr>
              <xdr:blipFill rotWithShape="1">
                <a:blip r:embed="rId14">
                  <a:alphaModFix/>
                </a:blip>
                <a:srcRect b="17430" l="20640" r="16971" t="19725"/>
                <a:stretch/>
              </xdr:blipFill>
              <xdr:spPr>
                <a:xfrm flipH="1">
                  <a:off x="1615439" y="128088"/>
                  <a:ext cx="525141" cy="529002"/>
                </a:xfrm>
                <a:prstGeom prst="rect">
                  <a:avLst/>
                </a:prstGeom>
                <a:noFill/>
                <a:ln>
                  <a:noFill/>
                </a:ln>
              </xdr:spPr>
            </xdr:pic>
            <xdr:pic>
              <xdr:nvPicPr>
                <xdr:cNvPr id="146" name="Shape 146"/>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288500" cy="1495425"/>
    <xdr:sp>
      <xdr:nvSpPr>
        <xdr:cNvPr id="147" name="Shape 147"/>
        <xdr:cNvSpPr/>
      </xdr:nvSpPr>
      <xdr:spPr>
        <a:xfrm>
          <a:off x="0" y="3037050"/>
          <a:ext cx="10692000" cy="14859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rgbClr val="FFFFFF"/>
              </a:solidFill>
            </a:rPr>
            <a:t>5. </a:t>
          </a:r>
          <a:r>
            <a:rPr b="1" lang="en-US" sz="2800">
              <a:solidFill>
                <a:srgbClr val="FFFFFF"/>
              </a:solidFill>
              <a:latin typeface="Arial"/>
              <a:ea typeface="Arial"/>
              <a:cs typeface="Arial"/>
              <a:sym typeface="Arial"/>
            </a:rPr>
            <a:t>OBJETIVOS STRATÉGICOS</a:t>
          </a:r>
          <a:endParaRPr b="1" sz="1400">
            <a:solidFill>
              <a:srgbClr val="FFFFFF"/>
            </a:solidFill>
            <a:latin typeface="Arial"/>
            <a:ea typeface="Arial"/>
            <a:cs typeface="Arial"/>
            <a:sym typeface="Arial"/>
          </a:endParaRPr>
        </a:p>
      </xdr:txBody>
    </xdr:sp>
    <xdr:clientData fLocksWithSheet="0"/>
  </xdr:oneCellAnchor>
  <xdr:oneCellAnchor>
    <xdr:from>
      <xdr:col>0</xdr:col>
      <xdr:colOff>0</xdr:colOff>
      <xdr:row>6</xdr:row>
      <xdr:rowOff>0</xdr:rowOff>
    </xdr:from>
    <xdr:ext cx="2152650" cy="304800"/>
    <xdr:sp>
      <xdr:nvSpPr>
        <xdr:cNvPr id="148" name="Shape 148">
          <a:hlinkClick r:id="rId1"/>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15</xdr:row>
      <xdr:rowOff>190500</xdr:rowOff>
    </xdr:from>
    <xdr:ext cx="2152650" cy="314325"/>
    <xdr:sp>
      <xdr:nvSpPr>
        <xdr:cNvPr id="149" name="Shape 149">
          <a:hlinkClick r:id="rId2"/>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18</xdr:row>
      <xdr:rowOff>142875</xdr:rowOff>
    </xdr:from>
    <xdr:ext cx="2152650" cy="333375"/>
    <xdr:sp>
      <xdr:nvSpPr>
        <xdr:cNvPr id="150" name="Shape 150">
          <a:hlinkClick r:id="rId3"/>
        </xdr:cNvPr>
        <xdr:cNvSpPr/>
      </xdr:nvSpPr>
      <xdr:spPr>
        <a:xfrm>
          <a:off x="4274438" y="3618075"/>
          <a:ext cx="2143125"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4</xdr:row>
      <xdr:rowOff>38100</xdr:rowOff>
    </xdr:from>
    <xdr:ext cx="2152650" cy="304800"/>
    <xdr:sp>
      <xdr:nvSpPr>
        <xdr:cNvPr id="151" name="Shape 151">
          <a:hlinkClick r:id="rId4"/>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19</xdr:row>
      <xdr:rowOff>180975</xdr:rowOff>
    </xdr:from>
    <xdr:ext cx="2152650" cy="333375"/>
    <xdr:sp>
      <xdr:nvSpPr>
        <xdr:cNvPr id="152" name="Shape 152">
          <a:hlinkClick r:id="rId5"/>
        </xdr:cNvPr>
        <xdr:cNvSpPr/>
      </xdr:nvSpPr>
      <xdr:spPr>
        <a:xfrm>
          <a:off x="4274438" y="3618075"/>
          <a:ext cx="2143125"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7</xdr:row>
      <xdr:rowOff>38100</xdr:rowOff>
    </xdr:from>
    <xdr:ext cx="2152650" cy="304800"/>
    <xdr:sp>
      <xdr:nvSpPr>
        <xdr:cNvPr id="153" name="Shape 153">
          <a:hlinkClick r:id="rId6"/>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8</xdr:row>
      <xdr:rowOff>133350</xdr:rowOff>
    </xdr:from>
    <xdr:ext cx="2152650" cy="295275"/>
    <xdr:sp>
      <xdr:nvSpPr>
        <xdr:cNvPr id="154" name="Shape 154">
          <a:hlinkClick r:id="rId7"/>
        </xdr:cNvPr>
        <xdr:cNvSpPr/>
      </xdr:nvSpPr>
      <xdr:spPr>
        <a:xfrm>
          <a:off x="4274438" y="3637125"/>
          <a:ext cx="2143125"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10</xdr:row>
      <xdr:rowOff>0</xdr:rowOff>
    </xdr:from>
    <xdr:ext cx="2152650" cy="295275"/>
    <xdr:sp>
      <xdr:nvSpPr>
        <xdr:cNvPr id="155" name="Shape 155">
          <a:hlinkClick r:id="rId8"/>
        </xdr:cNvPr>
        <xdr:cNvSpPr/>
      </xdr:nvSpPr>
      <xdr:spPr>
        <a:xfrm>
          <a:off x="4274438" y="3637125"/>
          <a:ext cx="2143125"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13</xdr:row>
      <xdr:rowOff>104775</xdr:rowOff>
    </xdr:from>
    <xdr:ext cx="2152650" cy="314325"/>
    <xdr:sp>
      <xdr:nvSpPr>
        <xdr:cNvPr id="156" name="Shape 156">
          <a:hlinkClick r:id="rId9"/>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12</xdr:row>
      <xdr:rowOff>38100</xdr:rowOff>
    </xdr:from>
    <xdr:ext cx="2152650" cy="314325"/>
    <xdr:sp>
      <xdr:nvSpPr>
        <xdr:cNvPr id="157" name="Shape 157">
          <a:hlinkClick r:id="rId10"/>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158" name="Shape 158"/>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14</xdr:row>
      <xdr:rowOff>161925</xdr:rowOff>
    </xdr:from>
    <xdr:ext cx="2152650" cy="323850"/>
    <xdr:sp>
      <xdr:nvSpPr>
        <xdr:cNvPr id="159" name="Shape 159">
          <a:hlinkClick r:id="rId11"/>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16</xdr:row>
      <xdr:rowOff>209550</xdr:rowOff>
    </xdr:from>
    <xdr:ext cx="2152650" cy="314325"/>
    <xdr:sp>
      <xdr:nvSpPr>
        <xdr:cNvPr id="160" name="Shape 160">
          <a:hlinkClick r:id="rId12"/>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20</xdr:row>
      <xdr:rowOff>219075</xdr:rowOff>
    </xdr:from>
    <xdr:ext cx="2152650" cy="323850"/>
    <xdr:sp>
      <xdr:nvSpPr>
        <xdr:cNvPr id="161" name="Shape 161">
          <a:hlinkClick r:id="rId13"/>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2209800</xdr:colOff>
      <xdr:row>1</xdr:row>
      <xdr:rowOff>276225</xdr:rowOff>
    </xdr:from>
    <xdr:ext cx="19440525" cy="962025"/>
    <xdr:grpSp>
      <xdr:nvGrpSpPr>
        <xdr:cNvPr id="2" name="Shape 2"/>
        <xdr:cNvGrpSpPr/>
      </xdr:nvGrpSpPr>
      <xdr:grpSpPr>
        <a:xfrm>
          <a:off x="0" y="3298988"/>
          <a:ext cx="10692000" cy="962025"/>
          <a:chOff x="0" y="3298988"/>
          <a:chExt cx="10692000" cy="962025"/>
        </a:xfrm>
      </xdr:grpSpPr>
      <xdr:grpSp>
        <xdr:nvGrpSpPr>
          <xdr:cNvPr id="162" name="Shape 162" title="Desenho"/>
          <xdr:cNvGrpSpPr/>
        </xdr:nvGrpSpPr>
        <xdr:grpSpPr>
          <a:xfrm>
            <a:off x="0" y="3298988"/>
            <a:ext cx="10692000" cy="96202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3" name="Shape 163"/>
            <xdr:cNvGrpSpPr/>
          </xdr:nvGrpSpPr>
          <xdr:grpSpPr>
            <a:xfrm>
              <a:off x="0" y="3479963"/>
              <a:ext cx="10692000" cy="600075"/>
              <a:chOff x="0" y="3479963"/>
              <a:chExt cx="10692000" cy="600075"/>
            </a:xfrm>
          </xdr:grpSpPr>
          <xdr:sp>
            <xdr:nvSpPr>
              <xdr:cNvPr id="164" name="Shape 164"/>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5" name="Shape 165"/>
              <xdr:cNvGrpSpPr/>
            </xdr:nvGrpSpPr>
            <xdr:grpSpPr>
              <a:xfrm>
                <a:off x="0" y="3479963"/>
                <a:ext cx="10692000" cy="600075"/>
                <a:chOff x="1615439" y="49532"/>
                <a:chExt cx="12302193" cy="607558"/>
              </a:xfrm>
            </xdr:grpSpPr>
            <xdr:sp>
              <xdr:nvSpPr>
                <xdr:cNvPr id="166" name="Shape 166"/>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67" name="Shape 167"/>
                <xdr:cNvPicPr preferRelativeResize="0"/>
              </xdr:nvPicPr>
              <xdr:blipFill rotWithShape="1">
                <a:blip r:embed="rId14">
                  <a:alphaModFix/>
                </a:blip>
                <a:srcRect b="17430" l="20640" r="16971" t="19725"/>
                <a:stretch/>
              </xdr:blipFill>
              <xdr:spPr>
                <a:xfrm flipH="1">
                  <a:off x="1615439" y="128088"/>
                  <a:ext cx="525141" cy="529002"/>
                </a:xfrm>
                <a:prstGeom prst="rect">
                  <a:avLst/>
                </a:prstGeom>
                <a:noFill/>
                <a:ln>
                  <a:noFill/>
                </a:ln>
              </xdr:spPr>
            </xdr:pic>
            <xdr:pic>
              <xdr:nvPicPr>
                <xdr:cNvPr id="168" name="Shape 168"/>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-38100</xdr:rowOff>
    </xdr:from>
    <xdr:ext cx="20354925" cy="1323975"/>
    <xdr:sp>
      <xdr:nvSpPr>
        <xdr:cNvPr id="169" name="Shape 169"/>
        <xdr:cNvSpPr/>
      </xdr:nvSpPr>
      <xdr:spPr>
        <a:xfrm>
          <a:off x="0" y="3122775"/>
          <a:ext cx="10692000" cy="13144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6. DESDOBRAMENTOS </a:t>
          </a:r>
          <a:endParaRPr b="1" sz="1400">
            <a:solidFill>
              <a:schemeClr val="lt1"/>
            </a:solidFill>
            <a:latin typeface="Arial"/>
            <a:ea typeface="Arial"/>
            <a:cs typeface="Arial"/>
            <a:sym typeface="Arial"/>
          </a:endParaRPr>
        </a:p>
      </xdr:txBody>
    </xdr:sp>
    <xdr:clientData fLocksWithSheet="0"/>
  </xdr:oneCellAnchor>
  <xdr:oneCellAnchor>
    <xdr:from>
      <xdr:col>0</xdr:col>
      <xdr:colOff>0</xdr:colOff>
      <xdr:row>7</xdr:row>
      <xdr:rowOff>38100</xdr:rowOff>
    </xdr:from>
    <xdr:ext cx="1876425" cy="333375"/>
    <xdr:sp>
      <xdr:nvSpPr>
        <xdr:cNvPr id="170" name="Shape 170">
          <a:hlinkClick r:id="rId1"/>
        </xdr:cNvPr>
        <xdr:cNvSpPr/>
      </xdr:nvSpPr>
      <xdr:spPr>
        <a:xfrm>
          <a:off x="4412550" y="3618075"/>
          <a:ext cx="186690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23</xdr:row>
      <xdr:rowOff>95250</xdr:rowOff>
    </xdr:from>
    <xdr:ext cx="1876425" cy="323850"/>
    <xdr:sp>
      <xdr:nvSpPr>
        <xdr:cNvPr id="171" name="Shape 171">
          <a:hlinkClick r:id="rId2"/>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28</xdr:row>
      <xdr:rowOff>133350</xdr:rowOff>
    </xdr:from>
    <xdr:ext cx="1876425" cy="342900"/>
    <xdr:sp>
      <xdr:nvSpPr>
        <xdr:cNvPr id="172" name="Shape 172">
          <a:hlinkClick r:id="rId3"/>
        </xdr:cNvPr>
        <xdr:cNvSpPr/>
      </xdr:nvSpPr>
      <xdr:spPr>
        <a:xfrm>
          <a:off x="4412550" y="3613313"/>
          <a:ext cx="1866900" cy="3333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4</xdr:row>
      <xdr:rowOff>47625</xdr:rowOff>
    </xdr:from>
    <xdr:ext cx="1876425" cy="304800"/>
    <xdr:sp>
      <xdr:nvSpPr>
        <xdr:cNvPr id="173" name="Shape 173">
          <a:hlinkClick r:id="rId4"/>
        </xdr:cNvPr>
        <xdr:cNvSpPr/>
      </xdr:nvSpPr>
      <xdr:spPr>
        <a:xfrm>
          <a:off x="4412550" y="3632363"/>
          <a:ext cx="186690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31</xdr:row>
      <xdr:rowOff>9525</xdr:rowOff>
    </xdr:from>
    <xdr:ext cx="1876425" cy="323850"/>
    <xdr:sp>
      <xdr:nvSpPr>
        <xdr:cNvPr id="174" name="Shape 174">
          <a:hlinkClick r:id="rId5"/>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9</xdr:row>
      <xdr:rowOff>85725</xdr:rowOff>
    </xdr:from>
    <xdr:ext cx="1876425" cy="323850"/>
    <xdr:sp>
      <xdr:nvSpPr>
        <xdr:cNvPr id="175" name="Shape 175">
          <a:hlinkClick r:id="rId6"/>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11</xdr:row>
      <xdr:rowOff>123825</xdr:rowOff>
    </xdr:from>
    <xdr:ext cx="1876425" cy="323850"/>
    <xdr:sp>
      <xdr:nvSpPr>
        <xdr:cNvPr id="176" name="Shape 176">
          <a:hlinkClick r:id="rId7"/>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13</xdr:row>
      <xdr:rowOff>171450</xdr:rowOff>
    </xdr:from>
    <xdr:ext cx="1876425" cy="314325"/>
    <xdr:sp>
      <xdr:nvSpPr>
        <xdr:cNvPr id="177" name="Shape 177">
          <a:hlinkClick r:id="rId8"/>
        </xdr:cNvPr>
        <xdr:cNvSpPr/>
      </xdr:nvSpPr>
      <xdr:spPr>
        <a:xfrm>
          <a:off x="4412550" y="3627600"/>
          <a:ext cx="186690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19</xdr:row>
      <xdr:rowOff>9525</xdr:rowOff>
    </xdr:from>
    <xdr:ext cx="1876425" cy="314325"/>
    <xdr:sp>
      <xdr:nvSpPr>
        <xdr:cNvPr id="178" name="Shape 178">
          <a:hlinkClick r:id="rId9"/>
        </xdr:cNvPr>
        <xdr:cNvSpPr/>
      </xdr:nvSpPr>
      <xdr:spPr>
        <a:xfrm>
          <a:off x="4412550" y="3627600"/>
          <a:ext cx="186690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16</xdr:row>
      <xdr:rowOff>28575</xdr:rowOff>
    </xdr:from>
    <xdr:ext cx="1876425" cy="323850"/>
    <xdr:sp>
      <xdr:nvSpPr>
        <xdr:cNvPr id="179" name="Shape 179">
          <a:hlinkClick r:id="rId10"/>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180" name="Shape 180"/>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21</xdr:row>
      <xdr:rowOff>47625</xdr:rowOff>
    </xdr:from>
    <xdr:ext cx="1876425" cy="333375"/>
    <xdr:sp>
      <xdr:nvSpPr>
        <xdr:cNvPr id="181" name="Shape 181">
          <a:hlinkClick r:id="rId11"/>
        </xdr:cNvPr>
        <xdr:cNvSpPr/>
      </xdr:nvSpPr>
      <xdr:spPr>
        <a:xfrm>
          <a:off x="4412550" y="3618075"/>
          <a:ext cx="186690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25</xdr:row>
      <xdr:rowOff>133350</xdr:rowOff>
    </xdr:from>
    <xdr:ext cx="1876425" cy="323850"/>
    <xdr:sp>
      <xdr:nvSpPr>
        <xdr:cNvPr id="182" name="Shape 182">
          <a:hlinkClick r:id="rId12"/>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33</xdr:row>
      <xdr:rowOff>57150</xdr:rowOff>
    </xdr:from>
    <xdr:ext cx="1876425" cy="323850"/>
    <xdr:sp>
      <xdr:nvSpPr>
        <xdr:cNvPr id="183" name="Shape 183">
          <a:hlinkClick r:id="rId13"/>
        </xdr:cNvPr>
        <xdr:cNvSpPr/>
      </xdr:nvSpPr>
      <xdr:spPr>
        <a:xfrm>
          <a:off x="4412550" y="3622838"/>
          <a:ext cx="186690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1866900</xdr:colOff>
      <xdr:row>1</xdr:row>
      <xdr:rowOff>95250</xdr:rowOff>
    </xdr:from>
    <xdr:ext cx="17887950" cy="981075"/>
    <xdr:grpSp>
      <xdr:nvGrpSpPr>
        <xdr:cNvPr id="2" name="Shape 2"/>
        <xdr:cNvGrpSpPr/>
      </xdr:nvGrpSpPr>
      <xdr:grpSpPr>
        <a:xfrm>
          <a:off x="0" y="3289463"/>
          <a:ext cx="10692000" cy="981075"/>
          <a:chOff x="0" y="3289463"/>
          <a:chExt cx="10692000" cy="981075"/>
        </a:xfrm>
      </xdr:grpSpPr>
      <xdr:grpSp>
        <xdr:nvGrpSpPr>
          <xdr:cNvPr id="184" name="Shape 184" title="Desenho"/>
          <xdr:cNvGrpSpPr/>
        </xdr:nvGrpSpPr>
        <xdr:grpSpPr>
          <a:xfrm>
            <a:off x="0" y="3289463"/>
            <a:ext cx="10692000" cy="981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5" name="Shape 185"/>
            <xdr:cNvGrpSpPr/>
          </xdr:nvGrpSpPr>
          <xdr:grpSpPr>
            <a:xfrm>
              <a:off x="0" y="3479963"/>
              <a:ext cx="10692000" cy="600075"/>
              <a:chOff x="0" y="3479963"/>
              <a:chExt cx="10692000" cy="600075"/>
            </a:xfrm>
          </xdr:grpSpPr>
          <xdr:sp>
            <xdr:nvSpPr>
              <xdr:cNvPr id="186" name="Shape 186"/>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 name="Shape 187"/>
              <xdr:cNvGrpSpPr/>
            </xdr:nvGrpSpPr>
            <xdr:grpSpPr>
              <a:xfrm>
                <a:off x="0" y="3479963"/>
                <a:ext cx="10692000" cy="600075"/>
                <a:chOff x="1615439" y="49532"/>
                <a:chExt cx="12302193" cy="607558"/>
              </a:xfrm>
            </xdr:grpSpPr>
            <xdr:sp>
              <xdr:nvSpPr>
                <xdr:cNvPr id="188" name="Shape 188"/>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89" name="Shape 189"/>
                <xdr:cNvPicPr preferRelativeResize="0"/>
              </xdr:nvPicPr>
              <xdr:blipFill rotWithShape="1">
                <a:blip r:embed="rId14">
                  <a:alphaModFix/>
                </a:blip>
                <a:srcRect b="17430" l="20640" r="16971" t="19725"/>
                <a:stretch/>
              </xdr:blipFill>
              <xdr:spPr>
                <a:xfrm flipH="1">
                  <a:off x="1615439" y="128088"/>
                  <a:ext cx="525141" cy="529002"/>
                </a:xfrm>
                <a:prstGeom prst="rect">
                  <a:avLst/>
                </a:prstGeom>
                <a:noFill/>
                <a:ln>
                  <a:noFill/>
                </a:ln>
              </xdr:spPr>
            </xdr:pic>
            <xdr:pic>
              <xdr:nvPicPr>
                <xdr:cNvPr id="190" name="Shape 190"/>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oneCellAnchor>
    <xdr:from>
      <xdr:col>1</xdr:col>
      <xdr:colOff>38100</xdr:colOff>
      <xdr:row>1</xdr:row>
      <xdr:rowOff>19050</xdr:rowOff>
    </xdr:from>
    <xdr:ext cx="0" cy="552450"/>
    <xdr:pic>
      <xdr:nvPicPr>
        <xdr:cNvPr id="0" name="image1.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87925" cy="1809750"/>
    <xdr:sp>
      <xdr:nvSpPr>
        <xdr:cNvPr id="191" name="Shape 191"/>
        <xdr:cNvSpPr/>
      </xdr:nvSpPr>
      <xdr:spPr>
        <a:xfrm>
          <a:off x="0" y="2879888"/>
          <a:ext cx="10692000" cy="18002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SzPts val="1400"/>
            <a:buFont typeface="Arial"/>
            <a:buNone/>
          </a:pPr>
          <a:r>
            <a:t/>
          </a:r>
          <a:endParaRPr b="1" sz="1400">
            <a:solidFill>
              <a:srgbClr val="000000"/>
            </a:solidFill>
            <a:latin typeface="Arial"/>
            <a:ea typeface="Arial"/>
            <a:cs typeface="Arial"/>
            <a:sym typeface="Arial"/>
          </a:endParaRPr>
        </a:p>
      </xdr:txBody>
    </xdr:sp>
    <xdr:clientData fLocksWithSheet="0"/>
  </xdr:oneCellAnchor>
  <xdr:oneCellAnchor>
    <xdr:from>
      <xdr:col>0</xdr:col>
      <xdr:colOff>0</xdr:colOff>
      <xdr:row>6</xdr:row>
      <xdr:rowOff>38100</xdr:rowOff>
    </xdr:from>
    <xdr:ext cx="2152650" cy="304800"/>
    <xdr:sp>
      <xdr:nvSpPr>
        <xdr:cNvPr id="192" name="Shape 192">
          <a:hlinkClick r:id="rId1"/>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16</xdr:row>
      <xdr:rowOff>47625</xdr:rowOff>
    </xdr:from>
    <xdr:ext cx="2152650" cy="314325"/>
    <xdr:sp>
      <xdr:nvSpPr>
        <xdr:cNvPr id="193" name="Shape 193">
          <a:hlinkClick r:id="rId2"/>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18</xdr:row>
      <xdr:rowOff>85725</xdr:rowOff>
    </xdr:from>
    <xdr:ext cx="2152650" cy="333375"/>
    <xdr:sp>
      <xdr:nvSpPr>
        <xdr:cNvPr id="194" name="Shape 194">
          <a:hlinkClick r:id="rId3"/>
        </xdr:cNvPr>
        <xdr:cNvSpPr/>
      </xdr:nvSpPr>
      <xdr:spPr>
        <a:xfrm>
          <a:off x="4274438" y="3618075"/>
          <a:ext cx="2143125"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1133475</xdr:rowOff>
    </xdr:from>
    <xdr:ext cx="2152650" cy="304800"/>
    <xdr:sp>
      <xdr:nvSpPr>
        <xdr:cNvPr id="195" name="Shape 195">
          <a:hlinkClick r:id="rId4"/>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19</xdr:row>
      <xdr:rowOff>114300</xdr:rowOff>
    </xdr:from>
    <xdr:ext cx="2152650" cy="333375"/>
    <xdr:sp>
      <xdr:nvSpPr>
        <xdr:cNvPr id="196" name="Shape 196">
          <a:hlinkClick r:id="rId5"/>
        </xdr:cNvPr>
        <xdr:cNvSpPr/>
      </xdr:nvSpPr>
      <xdr:spPr>
        <a:xfrm>
          <a:off x="4274438" y="3618075"/>
          <a:ext cx="2143125"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8</xdr:row>
      <xdr:rowOff>161925</xdr:rowOff>
    </xdr:from>
    <xdr:ext cx="2152650" cy="304800"/>
    <xdr:sp>
      <xdr:nvSpPr>
        <xdr:cNvPr id="197" name="Shape 197">
          <a:hlinkClick r:id="rId6"/>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9</xdr:row>
      <xdr:rowOff>180975</xdr:rowOff>
    </xdr:from>
    <xdr:ext cx="2152650" cy="314325"/>
    <xdr:sp>
      <xdr:nvSpPr>
        <xdr:cNvPr id="198" name="Shape 198">
          <a:hlinkClick r:id="rId7"/>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10</xdr:row>
      <xdr:rowOff>200025</xdr:rowOff>
    </xdr:from>
    <xdr:ext cx="2152650" cy="323850"/>
    <xdr:sp>
      <xdr:nvSpPr>
        <xdr:cNvPr id="199" name="Shape 199">
          <a:hlinkClick r:id="rId8"/>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12</xdr:row>
      <xdr:rowOff>266700</xdr:rowOff>
    </xdr:from>
    <xdr:ext cx="2152650" cy="323850"/>
    <xdr:sp>
      <xdr:nvSpPr>
        <xdr:cNvPr id="200" name="Shape 200">
          <a:hlinkClick r:id="rId9"/>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11</xdr:row>
      <xdr:rowOff>228600</xdr:rowOff>
    </xdr:from>
    <xdr:ext cx="2152650" cy="323850"/>
    <xdr:sp>
      <xdr:nvSpPr>
        <xdr:cNvPr id="201" name="Shape 201">
          <a:hlinkClick r:id="rId10"/>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15</xdr:row>
      <xdr:rowOff>38100</xdr:rowOff>
    </xdr:from>
    <xdr:ext cx="2152650" cy="314325"/>
    <xdr:sp>
      <xdr:nvSpPr>
        <xdr:cNvPr id="202" name="Shape 202">
          <a:hlinkClick r:id="rId11"/>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17</xdr:row>
      <xdr:rowOff>66675</xdr:rowOff>
    </xdr:from>
    <xdr:ext cx="2152650" cy="314325"/>
    <xdr:sp>
      <xdr:nvSpPr>
        <xdr:cNvPr id="203" name="Shape 203">
          <a:hlinkClick r:id="rId12"/>
        </xdr:cNvPr>
        <xdr:cNvSpPr/>
      </xdr:nvSpPr>
      <xdr:spPr>
        <a:xfrm>
          <a:off x="4274438" y="3627600"/>
          <a:ext cx="2143125"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22</xdr:row>
      <xdr:rowOff>76200</xdr:rowOff>
    </xdr:from>
    <xdr:ext cx="2152650" cy="323850"/>
    <xdr:sp>
      <xdr:nvSpPr>
        <xdr:cNvPr id="204" name="Shape 204">
          <a:hlinkClick r:id="rId13"/>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2247900</xdr:colOff>
      <xdr:row>1</xdr:row>
      <xdr:rowOff>57150</xdr:rowOff>
    </xdr:from>
    <xdr:ext cx="13182600" cy="866775"/>
    <xdr:grpSp>
      <xdr:nvGrpSpPr>
        <xdr:cNvPr id="2" name="Shape 2"/>
        <xdr:cNvGrpSpPr/>
      </xdr:nvGrpSpPr>
      <xdr:grpSpPr>
        <a:xfrm>
          <a:off x="0" y="3346613"/>
          <a:ext cx="10692000" cy="866775"/>
          <a:chOff x="0" y="3346613"/>
          <a:chExt cx="10692000" cy="866775"/>
        </a:xfrm>
      </xdr:grpSpPr>
      <xdr:grpSp>
        <xdr:nvGrpSpPr>
          <xdr:cNvPr id="205" name="Shape 205" title="Desenho"/>
          <xdr:cNvGrpSpPr/>
        </xdr:nvGrpSpPr>
        <xdr:grpSpPr>
          <a:xfrm>
            <a:off x="0" y="3346613"/>
            <a:ext cx="10692000" cy="866775"/>
            <a:chOff x="0" y="3346613"/>
            <a:chExt cx="10692000" cy="866775"/>
          </a:xfrm>
        </xdr:grpSpPr>
        <xdr:sp>
          <xdr:nvSpPr>
            <xdr:cNvPr id="18" name="Shape 18"/>
            <xdr:cNvSpPr/>
          </xdr:nvSpPr>
          <xdr:spPr>
            <a:xfrm>
              <a:off x="0" y="3346613"/>
              <a:ext cx="1069200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6" name="Shape 206"/>
            <xdr:cNvGrpSpPr/>
          </xdr:nvGrpSpPr>
          <xdr:grpSpPr>
            <a:xfrm>
              <a:off x="0" y="3346613"/>
              <a:ext cx="10692000" cy="866775"/>
              <a:chOff x="0" y="3346613"/>
              <a:chExt cx="10692000" cy="866775"/>
            </a:xfrm>
          </xdr:grpSpPr>
          <xdr:sp>
            <xdr:nvSpPr>
              <xdr:cNvPr id="207" name="Shape 207"/>
              <xdr:cNvSpPr/>
            </xdr:nvSpPr>
            <xdr:spPr>
              <a:xfrm>
                <a:off x="0" y="3346613"/>
                <a:ext cx="1069200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 name="Shape 208"/>
              <xdr:cNvGrpSpPr/>
            </xdr:nvGrpSpPr>
            <xdr:grpSpPr>
              <a:xfrm>
                <a:off x="0" y="3346613"/>
                <a:ext cx="10692000" cy="866775"/>
                <a:chOff x="1615439" y="49532"/>
                <a:chExt cx="12302193" cy="607558"/>
              </a:xfrm>
            </xdr:grpSpPr>
            <xdr:sp>
              <xdr:nvSpPr>
                <xdr:cNvPr id="209" name="Shape 209"/>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10" name="Shape 210"/>
                <xdr:cNvPicPr preferRelativeResize="0"/>
              </xdr:nvPicPr>
              <xdr:blipFill rotWithShape="1">
                <a:blip r:embed="rId14">
                  <a:alphaModFix/>
                </a:blip>
                <a:srcRect b="17430" l="20640" r="16971" t="19725"/>
                <a:stretch/>
              </xdr:blipFill>
              <xdr:spPr>
                <a:xfrm flipH="1">
                  <a:off x="1615439" y="128088"/>
                  <a:ext cx="525141" cy="529002"/>
                </a:xfrm>
                <a:prstGeom prst="rect">
                  <a:avLst/>
                </a:prstGeom>
                <a:noFill/>
                <a:ln>
                  <a:noFill/>
                </a:ln>
              </xdr:spPr>
            </xdr:pic>
            <xdr:pic>
              <xdr:nvPicPr>
                <xdr:cNvPr id="211" name="Shape 211"/>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oneCellAnchor>
    <xdr:from>
      <xdr:col>1</xdr:col>
      <xdr:colOff>38100</xdr:colOff>
      <xdr:row>1</xdr:row>
      <xdr:rowOff>19050</xdr:rowOff>
    </xdr:from>
    <xdr:ext cx="0" cy="542925"/>
    <xdr:pic>
      <xdr:nvPicPr>
        <xdr:cNvPr id="0" name="image1.png"/>
        <xdr:cNvPicPr preferRelativeResize="0"/>
      </xdr:nvPicPr>
      <xdr:blipFill>
        <a:blip cstate="print" r:embed="rId16"/>
        <a:stretch>
          <a:fillRect/>
        </a:stretch>
      </xdr:blipFill>
      <xdr:spPr>
        <a:prstGeom prst="rect">
          <a:avLst/>
        </a:prstGeom>
        <a:noFill/>
      </xdr:spPr>
    </xdr:pic>
    <xdr:clientData fLocksWithSheet="0"/>
  </xdr:oneCellAnchor>
  <xdr:oneCellAnchor>
    <xdr:from>
      <xdr:col>15</xdr:col>
      <xdr:colOff>0</xdr:colOff>
      <xdr:row>8</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8</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9</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9</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10</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10</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11</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11</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12</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12</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15</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15</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16</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16</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17</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17</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18</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18</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19</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19</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22</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22</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23</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23</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24</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24</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25</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25</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26</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26</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29</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29</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30</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30</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31</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31</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32</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32</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33</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33</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200025</xdr:colOff>
      <xdr:row>1</xdr:row>
      <xdr:rowOff>57150</xdr:rowOff>
    </xdr:from>
    <xdr:ext cx="7353300" cy="1228725"/>
    <xdr:pic>
      <xdr:nvPicPr>
        <xdr:cNvPr id="0" name="image4.png" title="Imagem"/>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287875" cy="1466850"/>
    <xdr:sp>
      <xdr:nvSpPr>
        <xdr:cNvPr id="212" name="Shape 212"/>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7. PLANOS DE AÇÃO </a:t>
          </a:r>
          <a:endParaRPr b="1" sz="1400">
            <a:solidFill>
              <a:schemeClr val="lt1"/>
            </a:solidFill>
            <a:latin typeface="Arial"/>
            <a:ea typeface="Arial"/>
            <a:cs typeface="Arial"/>
            <a:sym typeface="Arial"/>
          </a:endParaRPr>
        </a:p>
      </xdr:txBody>
    </xdr:sp>
    <xdr:clientData fLocksWithSheet="0"/>
  </xdr:oneCellAnchor>
  <xdr:oneCellAnchor>
    <xdr:from>
      <xdr:col>3</xdr:col>
      <xdr:colOff>228600</xdr:colOff>
      <xdr:row>1</xdr:row>
      <xdr:rowOff>38100</xdr:rowOff>
    </xdr:from>
    <xdr:ext cx="6534150" cy="457200"/>
    <xdr:sp>
      <xdr:nvSpPr>
        <xdr:cNvPr id="213" name="Shape 213"/>
        <xdr:cNvSpPr txBox="1"/>
      </xdr:nvSpPr>
      <xdr:spPr>
        <a:xfrm>
          <a:off x="2083688" y="3556163"/>
          <a:ext cx="6524625" cy="4476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Esta é a parte mais importante da planilha. Aqui você definirá planos de ação para os principais itens da SWOT. Desta forma você agirá sempre no que é mais importante para a sua carreira.</a:t>
          </a:r>
          <a:endParaRPr sz="1050">
            <a:solidFill>
              <a:schemeClr val="lt1"/>
            </a:solidFill>
          </a:endParaRPr>
        </a:p>
      </xdr:txBody>
    </xdr:sp>
    <xdr:clientData fLocksWithSheet="0"/>
  </xdr:oneCellAnchor>
  <xdr:oneCellAnchor>
    <xdr:from>
      <xdr:col>0</xdr:col>
      <xdr:colOff>0</xdr:colOff>
      <xdr:row>4</xdr:row>
      <xdr:rowOff>66675</xdr:rowOff>
    </xdr:from>
    <xdr:ext cx="2085975" cy="314325"/>
    <xdr:sp>
      <xdr:nvSpPr>
        <xdr:cNvPr id="214" name="Shape 214">
          <a:hlinkClick r:id="rId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11</xdr:row>
      <xdr:rowOff>85725</xdr:rowOff>
    </xdr:from>
    <xdr:ext cx="2085975" cy="295275"/>
    <xdr:sp>
      <xdr:nvSpPr>
        <xdr:cNvPr id="215" name="Shape 215">
          <a:hlinkClick r:id="rId2"/>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0</xdr:rowOff>
    </xdr:from>
    <xdr:ext cx="2085975" cy="314325"/>
    <xdr:sp>
      <xdr:nvSpPr>
        <xdr:cNvPr id="216" name="Shape 216">
          <a:hlinkClick r:id="rId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38100</xdr:rowOff>
    </xdr:from>
    <xdr:ext cx="2152650" cy="304800"/>
    <xdr:sp>
      <xdr:nvSpPr>
        <xdr:cNvPr id="217" name="Shape 217">
          <a:hlinkClick r:id="rId4"/>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13</xdr:row>
      <xdr:rowOff>390525</xdr:rowOff>
    </xdr:from>
    <xdr:ext cx="2085975" cy="333375"/>
    <xdr:sp>
      <xdr:nvSpPr>
        <xdr:cNvPr id="218" name="Shape 218">
          <a:hlinkClick r:id="rId5"/>
        </xdr:cNvPr>
        <xdr:cNvSpPr/>
      </xdr:nvSpPr>
      <xdr:spPr>
        <a:xfrm>
          <a:off x="4307775" y="3618075"/>
          <a:ext cx="207645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228600</xdr:rowOff>
    </xdr:from>
    <xdr:ext cx="2085975" cy="304800"/>
    <xdr:sp>
      <xdr:nvSpPr>
        <xdr:cNvPr id="219" name="Shape 219">
          <a:hlinkClick r:id="rId6"/>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238125</xdr:rowOff>
    </xdr:from>
    <xdr:ext cx="2085975" cy="304800"/>
    <xdr:sp>
      <xdr:nvSpPr>
        <xdr:cNvPr id="220" name="Shape 220">
          <a:hlinkClick r:id="rId7"/>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238125</xdr:rowOff>
    </xdr:from>
    <xdr:ext cx="2085975" cy="323850"/>
    <xdr:sp>
      <xdr:nvSpPr>
        <xdr:cNvPr id="221" name="Shape 221">
          <a:hlinkClick r:id="rId8"/>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161925</xdr:rowOff>
    </xdr:from>
    <xdr:ext cx="2085975" cy="323850"/>
    <xdr:sp>
      <xdr:nvSpPr>
        <xdr:cNvPr id="222" name="Shape 222">
          <a:hlinkClick r:id="rId9"/>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200025</xdr:rowOff>
    </xdr:from>
    <xdr:ext cx="2085975" cy="323850"/>
    <xdr:sp>
      <xdr:nvSpPr>
        <xdr:cNvPr id="223" name="Shape 223">
          <a:hlinkClick r:id="rId10"/>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66675</xdr:colOff>
      <xdr:row>0</xdr:row>
      <xdr:rowOff>19050</xdr:rowOff>
    </xdr:from>
    <xdr:ext cx="1285875" cy="533400"/>
    <xdr:sp>
      <xdr:nvSpPr>
        <xdr:cNvPr id="224" name="Shape 224"/>
        <xdr:cNvSpPr txBox="1"/>
      </xdr:nvSpPr>
      <xdr:spPr>
        <a:xfrm>
          <a:off x="4707825" y="3518063"/>
          <a:ext cx="12763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10</xdr:row>
      <xdr:rowOff>123825</xdr:rowOff>
    </xdr:from>
    <xdr:ext cx="2085975" cy="323850"/>
    <xdr:sp>
      <xdr:nvSpPr>
        <xdr:cNvPr id="225" name="Shape 225">
          <a:hlinkClick r:id="rId11"/>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28575</xdr:rowOff>
    </xdr:from>
    <xdr:ext cx="2085975" cy="295275"/>
    <xdr:sp>
      <xdr:nvSpPr>
        <xdr:cNvPr id="226" name="Shape 226">
          <a:hlinkClick r:id="rId12"/>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14</xdr:row>
      <xdr:rowOff>361950</xdr:rowOff>
    </xdr:from>
    <xdr:ext cx="2152650" cy="323850"/>
    <xdr:sp>
      <xdr:nvSpPr>
        <xdr:cNvPr id="227" name="Shape 227">
          <a:hlinkClick r:id="rId13"/>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1657350</xdr:colOff>
      <xdr:row>0</xdr:row>
      <xdr:rowOff>266700</xdr:rowOff>
    </xdr:from>
    <xdr:ext cx="11839575" cy="600075"/>
    <xdr:grpSp>
      <xdr:nvGrpSpPr>
        <xdr:cNvPr id="2" name="Shape 2"/>
        <xdr:cNvGrpSpPr/>
      </xdr:nvGrpSpPr>
      <xdr:grpSpPr>
        <a:xfrm>
          <a:off x="0" y="3479963"/>
          <a:ext cx="10692000" cy="600075"/>
          <a:chOff x="0" y="3479963"/>
          <a:chExt cx="10692000" cy="600075"/>
        </a:xfrm>
      </xdr:grpSpPr>
      <xdr:grpSp>
        <xdr:nvGrpSpPr>
          <xdr:cNvPr id="228" name="Shape 228"/>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9" name="Shape 229"/>
            <xdr:cNvGrpSpPr/>
          </xdr:nvGrpSpPr>
          <xdr:grpSpPr>
            <a:xfrm>
              <a:off x="0" y="3479963"/>
              <a:ext cx="10692000" cy="600075"/>
              <a:chOff x="0" y="3479963"/>
              <a:chExt cx="10692000" cy="600075"/>
            </a:xfrm>
          </xdr:grpSpPr>
          <xdr:sp>
            <xdr:nvSpPr>
              <xdr:cNvPr id="230" name="Shape 23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 name="Shape 231"/>
              <xdr:cNvGrpSpPr/>
            </xdr:nvGrpSpPr>
            <xdr:grpSpPr>
              <a:xfrm>
                <a:off x="0" y="3479963"/>
                <a:ext cx="10692000" cy="600075"/>
                <a:chOff x="1615439" y="49532"/>
                <a:chExt cx="12302193" cy="607558"/>
              </a:xfrm>
            </xdr:grpSpPr>
            <xdr:sp>
              <xdr:nvSpPr>
                <xdr:cNvPr id="232" name="Shape 232"/>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33" name="Shape 233"/>
                <xdr:cNvPicPr preferRelativeResize="0"/>
              </xdr:nvPicPr>
              <xdr:blipFill rotWithShape="1">
                <a:blip r:embed="rId14">
                  <a:alphaModFix/>
                </a:blip>
                <a:srcRect b="17430" l="20640" r="16971" t="19725"/>
                <a:stretch/>
              </xdr:blipFill>
              <xdr:spPr>
                <a:xfrm flipH="1">
                  <a:off x="1615439" y="128088"/>
                  <a:ext cx="525141" cy="529002"/>
                </a:xfrm>
                <a:prstGeom prst="rect">
                  <a:avLst/>
                </a:prstGeom>
                <a:noFill/>
                <a:ln>
                  <a:noFill/>
                </a:ln>
              </xdr:spPr>
            </xdr:pic>
            <xdr:pic>
              <xdr:nvPicPr>
                <xdr:cNvPr id="234" name="Shape 234"/>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17</xdr:row>
      <xdr:rowOff>76200</xdr:rowOff>
    </xdr:from>
    <xdr:ext cx="5734050" cy="25622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4773275" cy="1466850"/>
    <xdr:sp>
      <xdr:nvSpPr>
        <xdr:cNvPr id="235" name="Shape 235"/>
        <xdr:cNvSpPr/>
      </xdr:nvSpPr>
      <xdr:spPr>
        <a:xfrm>
          <a:off x="0" y="3051338"/>
          <a:ext cx="10692000" cy="1457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8. RESULTADOS SWOT</a:t>
          </a:r>
          <a:endParaRPr b="1" sz="1400">
            <a:solidFill>
              <a:schemeClr val="lt1"/>
            </a:solidFill>
            <a:latin typeface="Arial"/>
            <a:ea typeface="Arial"/>
            <a:cs typeface="Arial"/>
            <a:sym typeface="Arial"/>
          </a:endParaRPr>
        </a:p>
      </xdr:txBody>
    </xdr:sp>
    <xdr:clientData fLocksWithSheet="0"/>
  </xdr:oneCellAnchor>
  <xdr:oneCellAnchor>
    <xdr:from>
      <xdr:col>4</xdr:col>
      <xdr:colOff>1181100</xdr:colOff>
      <xdr:row>1</xdr:row>
      <xdr:rowOff>38100</xdr:rowOff>
    </xdr:from>
    <xdr:ext cx="14011275" cy="457200"/>
    <xdr:sp>
      <xdr:nvSpPr>
        <xdr:cNvPr id="236" name="Shape 236"/>
        <xdr:cNvSpPr txBox="1"/>
      </xdr:nvSpPr>
      <xdr:spPr>
        <a:xfrm>
          <a:off x="0" y="3556163"/>
          <a:ext cx="10692000" cy="447675"/>
        </a:xfrm>
        <a:prstGeom prst="rect">
          <a:avLst/>
        </a:prstGeom>
        <a:noFill/>
        <a:ln>
          <a:noFill/>
        </a:ln>
      </xdr:spPr>
      <xdr:txBody>
        <a:bodyPr anchorCtr="0" anchor="ctr"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Faça uma comparação gráfica entre suas forças, fraquezas, oportunidades e ameaças. </a:t>
          </a:r>
          <a:endParaRPr sz="1400">
            <a:solidFill>
              <a:schemeClr val="lt1"/>
            </a:solidFill>
          </a:endParaRPr>
        </a:p>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Os gráficos são formas simples para exibir resultados visuais mais fáceis de serem interpretados.</a:t>
          </a:r>
          <a:endParaRPr sz="1050">
            <a:solidFill>
              <a:schemeClr val="lt1"/>
            </a:solidFill>
          </a:endParaRPr>
        </a:p>
      </xdr:txBody>
    </xdr:sp>
    <xdr:clientData fLocksWithSheet="0"/>
  </xdr:oneCellAnchor>
  <xdr:oneCellAnchor>
    <xdr:from>
      <xdr:col>0</xdr:col>
      <xdr:colOff>0</xdr:colOff>
      <xdr:row>4</xdr:row>
      <xdr:rowOff>38100</xdr:rowOff>
    </xdr:from>
    <xdr:ext cx="2085975" cy="314325"/>
    <xdr:sp>
      <xdr:nvSpPr>
        <xdr:cNvPr id="237" name="Shape 237">
          <a:hlinkClick r:id="rId2"/>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12</xdr:row>
      <xdr:rowOff>19050</xdr:rowOff>
    </xdr:from>
    <xdr:ext cx="2085975" cy="295275"/>
    <xdr:sp>
      <xdr:nvSpPr>
        <xdr:cNvPr id="238" name="Shape 238">
          <a:hlinkClick r:id="rId3"/>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285750</xdr:rowOff>
    </xdr:from>
    <xdr:ext cx="2085975" cy="333375"/>
    <xdr:sp>
      <xdr:nvSpPr>
        <xdr:cNvPr id="239" name="Shape 239">
          <a:hlinkClick r:id="rId4"/>
        </xdr:cNvPr>
        <xdr:cNvSpPr/>
      </xdr:nvSpPr>
      <xdr:spPr>
        <a:xfrm>
          <a:off x="4307775" y="3618075"/>
          <a:ext cx="207645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38100</xdr:rowOff>
    </xdr:from>
    <xdr:ext cx="2152650" cy="304800"/>
    <xdr:sp>
      <xdr:nvSpPr>
        <xdr:cNvPr id="240" name="Shape 240">
          <a:hlinkClick r:id="rId5"/>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190500</xdr:rowOff>
    </xdr:from>
    <xdr:ext cx="2085975" cy="333375"/>
    <xdr:sp>
      <xdr:nvSpPr>
        <xdr:cNvPr id="241" name="Shape 241">
          <a:hlinkClick r:id="rId6"/>
        </xdr:cNvPr>
        <xdr:cNvSpPr/>
      </xdr:nvSpPr>
      <xdr:spPr>
        <a:xfrm>
          <a:off x="4307775" y="3618075"/>
          <a:ext cx="2076450" cy="3238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342900</xdr:rowOff>
    </xdr:from>
    <xdr:ext cx="2085975" cy="314325"/>
    <xdr:sp>
      <xdr:nvSpPr>
        <xdr:cNvPr id="242" name="Shape 242">
          <a:hlinkClick r:id="rId7"/>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266700</xdr:rowOff>
    </xdr:from>
    <xdr:ext cx="2085975" cy="304800"/>
    <xdr:sp>
      <xdr:nvSpPr>
        <xdr:cNvPr id="243" name="Shape 243">
          <a:hlinkClick r:id="rId8"/>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266700</xdr:rowOff>
    </xdr:from>
    <xdr:ext cx="2085975" cy="304800"/>
    <xdr:sp>
      <xdr:nvSpPr>
        <xdr:cNvPr id="244" name="Shape 244">
          <a:hlinkClick r:id="rId9"/>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8</xdr:row>
      <xdr:rowOff>447675</xdr:rowOff>
    </xdr:from>
    <xdr:ext cx="2085975" cy="323850"/>
    <xdr:sp>
      <xdr:nvSpPr>
        <xdr:cNvPr id="245" name="Shape 245">
          <a:hlinkClick r:id="rId10"/>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57150</xdr:rowOff>
    </xdr:from>
    <xdr:ext cx="2085975" cy="304800"/>
    <xdr:sp>
      <xdr:nvSpPr>
        <xdr:cNvPr id="246" name="Shape 246">
          <a:hlinkClick r:id="rId11"/>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10</xdr:row>
      <xdr:rowOff>152400</xdr:rowOff>
    </xdr:from>
    <xdr:ext cx="2085975" cy="304800"/>
    <xdr:sp>
      <xdr:nvSpPr>
        <xdr:cNvPr id="247" name="Shape 247">
          <a:hlinkClick r:id="rId12"/>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409575</xdr:rowOff>
    </xdr:from>
    <xdr:ext cx="2085975" cy="314325"/>
    <xdr:sp>
      <xdr:nvSpPr>
        <xdr:cNvPr id="248" name="Shape 248">
          <a:hlinkClick r:id="rId13"/>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15</xdr:row>
      <xdr:rowOff>95250</xdr:rowOff>
    </xdr:from>
    <xdr:ext cx="2152650" cy="323850"/>
    <xdr:sp>
      <xdr:nvSpPr>
        <xdr:cNvPr id="249" name="Shape 249">
          <a:hlinkClick r:id="rId14"/>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1638300</xdr:colOff>
      <xdr:row>0</xdr:row>
      <xdr:rowOff>381000</xdr:rowOff>
    </xdr:from>
    <xdr:ext cx="12115800" cy="619125"/>
    <xdr:grpSp>
      <xdr:nvGrpSpPr>
        <xdr:cNvPr id="2" name="Shape 2"/>
        <xdr:cNvGrpSpPr/>
      </xdr:nvGrpSpPr>
      <xdr:grpSpPr>
        <a:xfrm>
          <a:off x="0" y="3470438"/>
          <a:ext cx="10692000" cy="619125"/>
          <a:chOff x="0" y="3470438"/>
          <a:chExt cx="10692000" cy="619125"/>
        </a:xfrm>
      </xdr:grpSpPr>
      <xdr:grpSp>
        <xdr:nvGrpSpPr>
          <xdr:cNvPr id="250" name="Shape 250"/>
          <xdr:cNvGrpSpPr/>
        </xdr:nvGrpSpPr>
        <xdr:grpSpPr>
          <a:xfrm>
            <a:off x="0" y="3470438"/>
            <a:ext cx="10692000" cy="619125"/>
            <a:chOff x="0" y="3470438"/>
            <a:chExt cx="10692000" cy="619125"/>
          </a:xfrm>
        </xdr:grpSpPr>
        <xdr:sp>
          <xdr:nvSpPr>
            <xdr:cNvPr id="18" name="Shape 18"/>
            <xdr:cNvSpPr/>
          </xdr:nvSpPr>
          <xdr:spPr>
            <a:xfrm>
              <a:off x="0" y="3470438"/>
              <a:ext cx="1069200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1" name="Shape 251"/>
            <xdr:cNvGrpSpPr/>
          </xdr:nvGrpSpPr>
          <xdr:grpSpPr>
            <a:xfrm>
              <a:off x="0" y="3470438"/>
              <a:ext cx="10692000" cy="619125"/>
              <a:chOff x="0" y="3470438"/>
              <a:chExt cx="10692000" cy="619125"/>
            </a:xfrm>
          </xdr:grpSpPr>
          <xdr:sp>
            <xdr:nvSpPr>
              <xdr:cNvPr id="252" name="Shape 252"/>
              <xdr:cNvSpPr/>
            </xdr:nvSpPr>
            <xdr:spPr>
              <a:xfrm>
                <a:off x="0" y="3470438"/>
                <a:ext cx="1069200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 name="Shape 253"/>
              <xdr:cNvGrpSpPr/>
            </xdr:nvGrpSpPr>
            <xdr:grpSpPr>
              <a:xfrm>
                <a:off x="0" y="3470438"/>
                <a:ext cx="10692000" cy="619125"/>
                <a:chOff x="1615439" y="49532"/>
                <a:chExt cx="12302193" cy="607558"/>
              </a:xfrm>
            </xdr:grpSpPr>
            <xdr:sp>
              <xdr:nvSpPr>
                <xdr:cNvPr id="254" name="Shape 254"/>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55" name="Shape 255"/>
                <xdr:cNvPicPr preferRelativeResize="0"/>
              </xdr:nvPicPr>
              <xdr:blipFill rotWithShape="1">
                <a:blip r:embed="rId15">
                  <a:alphaModFix/>
                </a:blip>
                <a:srcRect b="17430" l="20640" r="16971" t="19725"/>
                <a:stretch/>
              </xdr:blipFill>
              <xdr:spPr>
                <a:xfrm flipH="1">
                  <a:off x="1615439" y="128088"/>
                  <a:ext cx="525141" cy="529002"/>
                </a:xfrm>
                <a:prstGeom prst="rect">
                  <a:avLst/>
                </a:prstGeom>
                <a:noFill/>
                <a:ln>
                  <a:noFill/>
                </a:ln>
              </xdr:spPr>
            </xdr:pic>
            <xdr:pic>
              <xdr:nvPicPr>
                <xdr:cNvPr id="256" name="Shape 256"/>
                <xdr:cNvPicPr preferRelativeResize="0"/>
              </xdr:nvPicPr>
              <xdr:blipFill rotWithShape="1">
                <a:blip r:embed="rId16">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oneCellAnchor>
    <xdr:from>
      <xdr:col>3</xdr:col>
      <xdr:colOff>1057275</xdr:colOff>
      <xdr:row>4</xdr:row>
      <xdr:rowOff>19050</xdr:rowOff>
    </xdr:from>
    <xdr:ext cx="7600950" cy="1466850"/>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4676775" cy="29337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1676400</xdr:colOff>
      <xdr:row>7</xdr:row>
      <xdr:rowOff>0</xdr:rowOff>
    </xdr:from>
    <xdr:ext cx="4686300" cy="293370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0</xdr:colOff>
      <xdr:row>14</xdr:row>
      <xdr:rowOff>0</xdr:rowOff>
    </xdr:from>
    <xdr:ext cx="9801225" cy="2962275"/>
    <xdr:graphicFrame>
      <xdr:nvGraphicFramePr>
        <xdr:cNvPr id="4"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0</xdr:rowOff>
    </xdr:from>
    <xdr:ext cx="12820650" cy="1619250"/>
    <xdr:sp>
      <xdr:nvSpPr>
        <xdr:cNvPr id="257" name="Shape 257"/>
        <xdr:cNvSpPr/>
      </xdr:nvSpPr>
      <xdr:spPr>
        <a:xfrm>
          <a:off x="0" y="2975138"/>
          <a:ext cx="10692000" cy="16097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SzPts val="1400"/>
            <a:buFont typeface="Arial"/>
            <a:buNone/>
          </a:pPr>
          <a:r>
            <a:t/>
          </a:r>
          <a:endParaRPr b="1" sz="1400">
            <a:solidFill>
              <a:srgbClr val="000000"/>
            </a:solidFill>
            <a:latin typeface="Arial"/>
            <a:ea typeface="Arial"/>
            <a:cs typeface="Arial"/>
            <a:sym typeface="Arial"/>
          </a:endParaRPr>
        </a:p>
      </xdr:txBody>
    </xdr:sp>
    <xdr:clientData fLocksWithSheet="0"/>
  </xdr:oneCellAnchor>
  <xdr:oneCellAnchor>
    <xdr:from>
      <xdr:col>4</xdr:col>
      <xdr:colOff>381000</xdr:colOff>
      <xdr:row>1</xdr:row>
      <xdr:rowOff>85725</xdr:rowOff>
    </xdr:from>
    <xdr:ext cx="5562600" cy="457200"/>
    <xdr:sp>
      <xdr:nvSpPr>
        <xdr:cNvPr id="258" name="Shape 258"/>
        <xdr:cNvSpPr txBox="1"/>
      </xdr:nvSpPr>
      <xdr:spPr>
        <a:xfrm>
          <a:off x="2569463" y="3556163"/>
          <a:ext cx="5553075" cy="4476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Faça uma comparação gráfica entre suas forças, fraquezas, oportunidades e ameaças. </a:t>
          </a:r>
          <a:endParaRPr sz="1400">
            <a:solidFill>
              <a:schemeClr val="lt1"/>
            </a:solidFill>
          </a:endParaRPr>
        </a:p>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Os gráficos são formas simples para exibir resultados visuais mais fáceis de serem interpretados.</a:t>
          </a:r>
          <a:endParaRPr sz="1050">
            <a:solidFill>
              <a:schemeClr val="lt1"/>
            </a:solidFill>
          </a:endParaRPr>
        </a:p>
      </xdr:txBody>
    </xdr:sp>
    <xdr:clientData fLocksWithSheet="0"/>
  </xdr:oneCellAnchor>
  <xdr:oneCellAnchor>
    <xdr:from>
      <xdr:col>2</xdr:col>
      <xdr:colOff>0</xdr:colOff>
      <xdr:row>1</xdr:row>
      <xdr:rowOff>123825</xdr:rowOff>
    </xdr:from>
    <xdr:ext cx="1952625" cy="371475"/>
    <xdr:sp>
      <xdr:nvSpPr>
        <xdr:cNvPr id="259" name="Shape 259">
          <a:hlinkClick r:id="rId4"/>
        </xdr:cNvPr>
        <xdr:cNvSpPr/>
      </xdr:nvSpPr>
      <xdr:spPr>
        <a:xfrm>
          <a:off x="4374450" y="3599025"/>
          <a:ext cx="1943100" cy="36195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Gráficos</a:t>
          </a:r>
          <a:endParaRPr sz="1400"/>
        </a:p>
      </xdr:txBody>
    </xdr:sp>
    <xdr:clientData fLocksWithSheet="0"/>
  </xdr:oneCellAnchor>
  <xdr:oneCellAnchor>
    <xdr:from>
      <xdr:col>3</xdr:col>
      <xdr:colOff>209550</xdr:colOff>
      <xdr:row>1</xdr:row>
      <xdr:rowOff>123825</xdr:rowOff>
    </xdr:from>
    <xdr:ext cx="1952625" cy="371475"/>
    <xdr:sp>
      <xdr:nvSpPr>
        <xdr:cNvPr id="260" name="Shape 260"/>
        <xdr:cNvSpPr/>
      </xdr:nvSpPr>
      <xdr:spPr>
        <a:xfrm>
          <a:off x="4374450" y="3599025"/>
          <a:ext cx="1943100" cy="36195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Análise por Área</a:t>
          </a:r>
          <a:endParaRPr sz="1400"/>
        </a:p>
      </xdr:txBody>
    </xdr:sp>
    <xdr:clientData fLocksWithSheet="0"/>
  </xdr:oneCellAnchor>
  <xdr:oneCellAnchor>
    <xdr:from>
      <xdr:col>0</xdr:col>
      <xdr:colOff>0</xdr:colOff>
      <xdr:row>3</xdr:row>
      <xdr:rowOff>38100</xdr:rowOff>
    </xdr:from>
    <xdr:ext cx="2085975" cy="314325"/>
    <xdr:sp>
      <xdr:nvSpPr>
        <xdr:cNvPr id="261" name="Shape 261">
          <a:hlinkClick r:id="rId5"/>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9</xdr:row>
      <xdr:rowOff>428625</xdr:rowOff>
    </xdr:from>
    <xdr:ext cx="2085975" cy="295275"/>
    <xdr:sp>
      <xdr:nvSpPr>
        <xdr:cNvPr id="262" name="Shape 262">
          <a:hlinkClick r:id="rId6"/>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10</xdr:row>
      <xdr:rowOff>438150</xdr:rowOff>
    </xdr:from>
    <xdr:ext cx="2085975" cy="323850"/>
    <xdr:sp>
      <xdr:nvSpPr>
        <xdr:cNvPr id="263" name="Shape 263">
          <a:hlinkClick r:id="rId7"/>
        </xdr:cNvPr>
        <xdr:cNvSpPr/>
      </xdr:nvSpPr>
      <xdr:spPr>
        <a:xfrm>
          <a:off x="4307775" y="3622838"/>
          <a:ext cx="2076450"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657225</xdr:rowOff>
    </xdr:from>
    <xdr:ext cx="2152650" cy="304800"/>
    <xdr:sp>
      <xdr:nvSpPr>
        <xdr:cNvPr id="264" name="Shape 264">
          <a:hlinkClick r:id="rId8"/>
        </xdr:cNvPr>
        <xdr:cNvSpPr/>
      </xdr:nvSpPr>
      <xdr:spPr>
        <a:xfrm>
          <a:off x="4274438" y="3632363"/>
          <a:ext cx="2143125"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12</xdr:row>
      <xdr:rowOff>57150</xdr:rowOff>
    </xdr:from>
    <xdr:ext cx="2085975" cy="314325"/>
    <xdr:sp>
      <xdr:nvSpPr>
        <xdr:cNvPr id="265" name="Shape 265">
          <a:hlinkClick r:id="rId9"/>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4</xdr:row>
      <xdr:rowOff>104775</xdr:rowOff>
    </xdr:from>
    <xdr:ext cx="2085975" cy="295275"/>
    <xdr:sp>
      <xdr:nvSpPr>
        <xdr:cNvPr id="266" name="Shape 266">
          <a:hlinkClick r:id="rId10"/>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4</xdr:row>
      <xdr:rowOff>485775</xdr:rowOff>
    </xdr:from>
    <xdr:ext cx="2085975" cy="314325"/>
    <xdr:sp>
      <xdr:nvSpPr>
        <xdr:cNvPr id="267" name="Shape 267">
          <a:hlinkClick r:id="rId11"/>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6</xdr:row>
      <xdr:rowOff>85725</xdr:rowOff>
    </xdr:from>
    <xdr:ext cx="2085975" cy="314325"/>
    <xdr:sp>
      <xdr:nvSpPr>
        <xdr:cNvPr id="268" name="Shape 268">
          <a:hlinkClick r:id="rId12"/>
        </xdr:cNvPr>
        <xdr:cNvSpPr/>
      </xdr:nvSpPr>
      <xdr:spPr>
        <a:xfrm>
          <a:off x="4307775" y="3627600"/>
          <a:ext cx="2076450" cy="30480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8</xdr:row>
      <xdr:rowOff>400050</xdr:rowOff>
    </xdr:from>
    <xdr:ext cx="2085975" cy="304800"/>
    <xdr:sp>
      <xdr:nvSpPr>
        <xdr:cNvPr id="269" name="Shape 269">
          <a:hlinkClick r:id="rId13"/>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9525</xdr:rowOff>
    </xdr:from>
    <xdr:ext cx="2085975" cy="304800"/>
    <xdr:sp>
      <xdr:nvSpPr>
        <xdr:cNvPr id="270" name="Shape 270">
          <a:hlinkClick r:id="rId14"/>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9</xdr:row>
      <xdr:rowOff>38100</xdr:rowOff>
    </xdr:from>
    <xdr:ext cx="2085975" cy="304800"/>
    <xdr:sp>
      <xdr:nvSpPr>
        <xdr:cNvPr id="271" name="Shape 271">
          <a:hlinkClick r:id="rId15"/>
        </xdr:cNvPr>
        <xdr:cNvSpPr/>
      </xdr:nvSpPr>
      <xdr:spPr>
        <a:xfrm>
          <a:off x="4307775" y="3632363"/>
          <a:ext cx="2076450" cy="29527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10</xdr:row>
      <xdr:rowOff>57150</xdr:rowOff>
    </xdr:from>
    <xdr:ext cx="2085975" cy="295275"/>
    <xdr:sp>
      <xdr:nvSpPr>
        <xdr:cNvPr id="272" name="Shape 272">
          <a:hlinkClick r:id="rId16"/>
        </xdr:cNvPr>
        <xdr:cNvSpPr/>
      </xdr:nvSpPr>
      <xdr:spPr>
        <a:xfrm>
          <a:off x="4307775" y="3637125"/>
          <a:ext cx="2076450" cy="285750"/>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13</xdr:row>
      <xdr:rowOff>152400</xdr:rowOff>
    </xdr:from>
    <xdr:ext cx="2152650" cy="323850"/>
    <xdr:sp>
      <xdr:nvSpPr>
        <xdr:cNvPr id="273" name="Shape 273">
          <a:hlinkClick r:id="rId17"/>
        </xdr:cNvPr>
        <xdr:cNvSpPr/>
      </xdr:nvSpPr>
      <xdr:spPr>
        <a:xfrm>
          <a:off x="4274438" y="3622838"/>
          <a:ext cx="2143125" cy="314325"/>
        </a:xfrm>
        <a:prstGeom prst="rect">
          <a:avLst/>
        </a:prstGeom>
        <a:gradFill>
          <a:gsLst>
            <a:gs pos="0">
              <a:srgbClr val="0F44CA"/>
            </a:gs>
            <a:gs pos="85000">
              <a:srgbClr val="092879">
                <a:alpha val="10980"/>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619125</xdr:colOff>
      <xdr:row>0</xdr:row>
      <xdr:rowOff>133350</xdr:rowOff>
    </xdr:from>
    <xdr:ext cx="11487150" cy="704850"/>
    <xdr:grpSp>
      <xdr:nvGrpSpPr>
        <xdr:cNvPr id="2" name="Shape 2"/>
        <xdr:cNvGrpSpPr/>
      </xdr:nvGrpSpPr>
      <xdr:grpSpPr>
        <a:xfrm>
          <a:off x="0" y="3427575"/>
          <a:ext cx="10692000" cy="704850"/>
          <a:chOff x="0" y="3427575"/>
          <a:chExt cx="10692000" cy="704850"/>
        </a:xfrm>
      </xdr:grpSpPr>
      <xdr:grpSp>
        <xdr:nvGrpSpPr>
          <xdr:cNvPr id="274" name="Shape 274"/>
          <xdr:cNvGrpSpPr/>
        </xdr:nvGrpSpPr>
        <xdr:grpSpPr>
          <a:xfrm>
            <a:off x="0" y="3427575"/>
            <a:ext cx="10692000" cy="704850"/>
            <a:chOff x="0" y="3427575"/>
            <a:chExt cx="10692000" cy="704850"/>
          </a:xfrm>
        </xdr:grpSpPr>
        <xdr:sp>
          <xdr:nvSpPr>
            <xdr:cNvPr id="18" name="Shape 18"/>
            <xdr:cNvSpPr/>
          </xdr:nvSpPr>
          <xdr:spPr>
            <a:xfrm>
              <a:off x="0" y="3427575"/>
              <a:ext cx="10692000" cy="70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5" name="Shape 275"/>
            <xdr:cNvGrpSpPr/>
          </xdr:nvGrpSpPr>
          <xdr:grpSpPr>
            <a:xfrm>
              <a:off x="0" y="3427575"/>
              <a:ext cx="10692000" cy="704850"/>
              <a:chOff x="0" y="3427575"/>
              <a:chExt cx="10692000" cy="704850"/>
            </a:xfrm>
          </xdr:grpSpPr>
          <xdr:sp>
            <xdr:nvSpPr>
              <xdr:cNvPr id="276" name="Shape 276"/>
              <xdr:cNvSpPr/>
            </xdr:nvSpPr>
            <xdr:spPr>
              <a:xfrm>
                <a:off x="0" y="3427575"/>
                <a:ext cx="10692000" cy="70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 name="Shape 277"/>
              <xdr:cNvGrpSpPr/>
            </xdr:nvGrpSpPr>
            <xdr:grpSpPr>
              <a:xfrm>
                <a:off x="0" y="3427575"/>
                <a:ext cx="10692000" cy="704850"/>
                <a:chOff x="1615439" y="49532"/>
                <a:chExt cx="12302193" cy="607558"/>
              </a:xfrm>
            </xdr:grpSpPr>
            <xdr:sp>
              <xdr:nvSpPr>
                <xdr:cNvPr id="278" name="Shape 278"/>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79" name="Shape 279"/>
                <xdr:cNvPicPr preferRelativeResize="0"/>
              </xdr:nvPicPr>
              <xdr:blipFill rotWithShape="1">
                <a:blip r:embed="rId18">
                  <a:alphaModFix/>
                </a:blip>
                <a:srcRect b="17430" l="20640" r="16971" t="19725"/>
                <a:stretch/>
              </xdr:blipFill>
              <xdr:spPr>
                <a:xfrm flipH="1">
                  <a:off x="1615439" y="128088"/>
                  <a:ext cx="525141" cy="529002"/>
                </a:xfrm>
                <a:prstGeom prst="rect">
                  <a:avLst/>
                </a:prstGeom>
                <a:noFill/>
                <a:ln>
                  <a:noFill/>
                </a:ln>
              </xdr:spPr>
            </xdr:pic>
            <xdr:pic>
              <xdr:nvPicPr>
                <xdr:cNvPr id="280" name="Shape 280"/>
                <xdr:cNvPicPr preferRelativeResize="0"/>
              </xdr:nvPicPr>
              <xdr:blipFill rotWithShape="1">
                <a:blip r:embed="rId19">
                  <a:alphaModFix/>
                </a:blip>
                <a:srcRect b="25354" l="21805" r="22052" t="28383"/>
                <a:stretch/>
              </xdr:blipFill>
              <xdr:spPr>
                <a:xfrm>
                  <a:off x="12609046" y="49532"/>
                  <a:ext cx="1308586" cy="607558"/>
                </a:xfrm>
                <a:prstGeom prst="rect">
                  <a:avLst/>
                </a:prstGeom>
                <a:noFill/>
                <a:ln>
                  <a:noFill/>
                </a:ln>
              </xdr:spPr>
            </xdr:pic>
          </xdr:grpSp>
        </xdr:grpSp>
      </xdr:grpSp>
    </xdr:grpSp>
    <xdr:clientData fLocksWithSheet="0"/>
  </xdr:oneCellAnchor>
  <xdr:oneCellAnchor>
    <xdr:from>
      <xdr:col>0</xdr:col>
      <xdr:colOff>1771650</xdr:colOff>
      <xdr:row>0</xdr:row>
      <xdr:rowOff>104775</xdr:rowOff>
    </xdr:from>
    <xdr:ext cx="5486400" cy="781050"/>
    <xdr:pic>
      <xdr:nvPicPr>
        <xdr:cNvPr id="0" name="image11.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0"/>
    <col customWidth="1" min="2" max="2" width="3.71"/>
    <col customWidth="1" min="3" max="3" width="10.0"/>
    <col customWidth="1" min="4" max="4" width="3.29"/>
    <col customWidth="1" min="5" max="8" width="11.43"/>
    <col customWidth="1" min="9" max="12" width="8.71"/>
    <col customWidth="1" min="13" max="13" width="31.29"/>
    <col customWidth="1" min="14" max="15" width="8.71"/>
    <col customWidth="1" min="16" max="16" width="10.71"/>
    <col customWidth="1" min="17" max="17" width="6.86"/>
    <col customWidth="1" min="18" max="18" width="12.29"/>
    <col customWidth="1" min="19" max="25" width="8.71"/>
  </cols>
  <sheetData>
    <row r="1" ht="33.75" customHeight="1">
      <c r="A1" s="1"/>
      <c r="B1" s="1"/>
      <c r="C1" s="2"/>
      <c r="D1" s="3"/>
      <c r="E1" s="3"/>
      <c r="F1" s="3"/>
      <c r="G1" s="3"/>
      <c r="H1" s="3"/>
      <c r="I1" s="3"/>
      <c r="J1" s="3"/>
      <c r="K1" s="3"/>
      <c r="L1" s="3"/>
      <c r="M1" s="3"/>
      <c r="N1" s="1"/>
      <c r="O1" s="1"/>
      <c r="P1" s="1"/>
      <c r="Q1" s="1"/>
      <c r="R1" s="1"/>
      <c r="S1" s="1"/>
      <c r="T1" s="1"/>
      <c r="U1" s="1"/>
      <c r="V1" s="1"/>
      <c r="W1" s="1"/>
      <c r="X1" s="1"/>
      <c r="Y1" s="1"/>
    </row>
    <row r="2" ht="87.75" customHeight="1">
      <c r="A2" s="4"/>
      <c r="B2" s="1"/>
      <c r="C2" s="5"/>
      <c r="N2" s="1"/>
      <c r="O2" s="1"/>
      <c r="P2" s="1"/>
      <c r="Q2" s="1"/>
      <c r="R2" s="1"/>
      <c r="S2" s="1"/>
      <c r="T2" s="1"/>
      <c r="U2" s="1"/>
      <c r="V2" s="1"/>
      <c r="W2" s="1"/>
      <c r="X2" s="1"/>
      <c r="Y2" s="1"/>
    </row>
    <row r="3">
      <c r="A3" s="1"/>
      <c r="B3" s="6"/>
      <c r="C3" s="7" t="s">
        <v>0</v>
      </c>
      <c r="D3" s="8"/>
      <c r="E3" s="8"/>
      <c r="F3" s="8"/>
      <c r="G3" s="8"/>
      <c r="H3" s="8"/>
      <c r="I3" s="8"/>
      <c r="J3" s="8"/>
      <c r="K3" s="8"/>
      <c r="L3" s="8"/>
      <c r="M3" s="8"/>
      <c r="N3" s="8"/>
      <c r="O3" s="8"/>
      <c r="P3" s="9"/>
      <c r="Q3" s="9"/>
      <c r="R3" s="10"/>
      <c r="S3" s="11"/>
      <c r="T3" s="11"/>
      <c r="U3" s="11"/>
      <c r="V3" s="11"/>
      <c r="W3" s="11"/>
      <c r="X3" s="11"/>
      <c r="Y3" s="11"/>
    </row>
    <row r="4" ht="33.75" customHeight="1">
      <c r="A4" s="1"/>
      <c r="B4" s="12" t="s">
        <v>1</v>
      </c>
      <c r="N4" s="11"/>
      <c r="O4" s="11"/>
      <c r="P4" s="11"/>
      <c r="Q4" s="11"/>
      <c r="R4" s="13"/>
      <c r="S4" s="11"/>
      <c r="T4" s="11"/>
      <c r="U4" s="11"/>
      <c r="V4" s="11"/>
      <c r="W4" s="11"/>
      <c r="X4" s="11"/>
      <c r="Y4" s="11"/>
    </row>
    <row r="5" ht="12.75" customHeight="1">
      <c r="A5" s="1"/>
      <c r="B5" s="14"/>
      <c r="C5" s="15"/>
      <c r="D5" s="15"/>
      <c r="E5" s="15"/>
      <c r="F5" s="15"/>
      <c r="G5" s="15"/>
      <c r="H5" s="15"/>
      <c r="I5" s="15"/>
      <c r="J5" s="15"/>
      <c r="K5" s="15"/>
      <c r="L5" s="15"/>
      <c r="M5" s="15"/>
      <c r="N5" s="11"/>
      <c r="O5" s="11"/>
      <c r="P5" s="11"/>
      <c r="Q5" s="11"/>
      <c r="R5" s="13"/>
      <c r="S5" s="11"/>
      <c r="T5" s="11"/>
      <c r="U5" s="11"/>
      <c r="V5" s="11"/>
      <c r="W5" s="11"/>
      <c r="X5" s="11"/>
      <c r="Y5" s="11"/>
    </row>
    <row r="6" ht="29.25" customHeight="1">
      <c r="A6" s="1"/>
      <c r="B6" s="14"/>
      <c r="C6" s="16" t="s">
        <v>2</v>
      </c>
      <c r="D6" s="17"/>
      <c r="E6" s="18" t="s">
        <v>3</v>
      </c>
      <c r="I6" s="15"/>
      <c r="J6" s="15"/>
      <c r="K6" s="15"/>
      <c r="L6" s="15"/>
      <c r="M6" s="15"/>
      <c r="N6" s="11"/>
      <c r="O6" s="11"/>
      <c r="P6" s="11"/>
      <c r="Q6" s="11"/>
      <c r="R6" s="13"/>
      <c r="S6" s="11"/>
      <c r="T6" s="11"/>
      <c r="U6" s="11"/>
      <c r="V6" s="11"/>
      <c r="W6" s="11"/>
      <c r="X6" s="11"/>
      <c r="Y6" s="11"/>
    </row>
    <row r="7" ht="16.5" customHeight="1">
      <c r="A7" s="1"/>
      <c r="B7" s="14"/>
      <c r="C7" s="19" t="s">
        <v>4</v>
      </c>
      <c r="N7" s="11"/>
      <c r="O7" s="11"/>
      <c r="P7" s="11"/>
      <c r="Q7" s="11"/>
      <c r="R7" s="13"/>
      <c r="S7" s="11"/>
      <c r="T7" s="11"/>
      <c r="U7" s="11"/>
      <c r="V7" s="11"/>
      <c r="W7" s="11"/>
      <c r="X7" s="11"/>
      <c r="Y7" s="11"/>
    </row>
    <row r="8" ht="19.5" customHeight="1">
      <c r="A8" s="1"/>
      <c r="B8" s="14"/>
      <c r="N8" s="11"/>
      <c r="O8" s="11"/>
      <c r="P8" s="11"/>
      <c r="Q8" s="11"/>
      <c r="R8" s="13"/>
      <c r="S8" s="11"/>
      <c r="T8" s="11"/>
      <c r="U8" s="11"/>
      <c r="V8" s="11"/>
      <c r="W8" s="11"/>
      <c r="X8" s="11"/>
      <c r="Y8" s="11"/>
    </row>
    <row r="9" ht="34.5" customHeight="1">
      <c r="A9" s="1"/>
      <c r="B9" s="14"/>
      <c r="C9" s="19" t="s">
        <v>5</v>
      </c>
      <c r="N9" s="11"/>
      <c r="O9" s="11"/>
      <c r="P9" s="11"/>
      <c r="Q9" s="11"/>
      <c r="R9" s="13"/>
      <c r="S9" s="11"/>
      <c r="T9" s="11"/>
      <c r="U9" s="11"/>
      <c r="V9" s="11"/>
      <c r="W9" s="11"/>
      <c r="X9" s="11"/>
      <c r="Y9" s="11"/>
    </row>
    <row r="10" ht="48.0" customHeight="1">
      <c r="A10" s="20"/>
      <c r="B10" s="14"/>
      <c r="C10" s="19" t="s">
        <v>6</v>
      </c>
      <c r="N10" s="11"/>
      <c r="O10" s="11"/>
      <c r="P10" s="11"/>
      <c r="Q10" s="11"/>
      <c r="R10" s="13"/>
      <c r="S10" s="11"/>
      <c r="T10" s="11"/>
      <c r="U10" s="11"/>
      <c r="V10" s="11"/>
      <c r="W10" s="11"/>
      <c r="X10" s="11"/>
      <c r="Y10" s="11"/>
    </row>
    <row r="11" ht="27.0" customHeight="1">
      <c r="A11" s="1"/>
      <c r="B11" s="14"/>
      <c r="C11" s="16" t="s">
        <v>7</v>
      </c>
      <c r="D11" s="17"/>
      <c r="E11" s="18" t="s">
        <v>8</v>
      </c>
      <c r="I11" s="21"/>
      <c r="L11" s="21"/>
      <c r="M11" s="11"/>
      <c r="N11" s="11"/>
      <c r="O11" s="11"/>
      <c r="P11" s="11"/>
      <c r="Q11" s="11"/>
      <c r="R11" s="13"/>
      <c r="S11" s="11"/>
      <c r="T11" s="11"/>
      <c r="U11" s="11"/>
      <c r="V11" s="11"/>
      <c r="W11" s="11"/>
      <c r="X11" s="11"/>
      <c r="Y11" s="11"/>
    </row>
    <row r="12" ht="15.0" customHeight="1">
      <c r="A12" s="1"/>
      <c r="B12" s="14"/>
      <c r="C12" s="19" t="s">
        <v>9</v>
      </c>
      <c r="N12" s="11"/>
      <c r="O12" s="11"/>
      <c r="P12" s="11"/>
      <c r="Q12" s="11"/>
      <c r="R12" s="13"/>
      <c r="S12" s="11"/>
      <c r="T12" s="11"/>
      <c r="U12" s="11"/>
      <c r="V12" s="11"/>
      <c r="W12" s="11"/>
      <c r="X12" s="11"/>
      <c r="Y12" s="11"/>
    </row>
    <row r="13" ht="15.0" customHeight="1">
      <c r="A13" s="1"/>
      <c r="B13" s="14"/>
      <c r="N13" s="11"/>
      <c r="O13" s="11"/>
      <c r="P13" s="11"/>
      <c r="Q13" s="11"/>
      <c r="R13" s="13"/>
      <c r="S13" s="11"/>
      <c r="T13" s="11"/>
      <c r="U13" s="11"/>
      <c r="V13" s="11"/>
      <c r="W13" s="11"/>
      <c r="X13" s="11"/>
      <c r="Y13" s="11"/>
    </row>
    <row r="14" ht="30.0" customHeight="1">
      <c r="A14" s="1"/>
      <c r="B14" s="14"/>
      <c r="C14" s="19" t="s">
        <v>10</v>
      </c>
      <c r="N14" s="11"/>
      <c r="O14" s="11"/>
      <c r="P14" s="11"/>
      <c r="Q14" s="11"/>
      <c r="R14" s="13"/>
      <c r="S14" s="11"/>
      <c r="T14" s="11"/>
      <c r="U14" s="11"/>
      <c r="V14" s="11"/>
      <c r="W14" s="11"/>
      <c r="X14" s="11"/>
      <c r="Y14" s="11"/>
    </row>
    <row r="15" ht="31.5" customHeight="1">
      <c r="A15" s="1"/>
      <c r="B15" s="14"/>
      <c r="C15" s="19" t="s">
        <v>11</v>
      </c>
      <c r="N15" s="11"/>
      <c r="O15" s="11"/>
      <c r="P15" s="11"/>
      <c r="Q15" s="11"/>
      <c r="R15" s="13"/>
      <c r="S15" s="11"/>
      <c r="T15" s="11"/>
      <c r="U15" s="11"/>
      <c r="V15" s="11"/>
      <c r="W15" s="11"/>
      <c r="X15" s="11"/>
      <c r="Y15" s="11"/>
    </row>
    <row r="16" ht="7.5" customHeight="1">
      <c r="A16" s="1"/>
      <c r="B16" s="14"/>
      <c r="C16" s="22"/>
      <c r="D16" s="15"/>
      <c r="E16" s="15"/>
      <c r="F16" s="15"/>
      <c r="G16" s="15"/>
      <c r="H16" s="15"/>
      <c r="I16" s="15"/>
      <c r="J16" s="15"/>
      <c r="K16" s="15"/>
      <c r="L16" s="15"/>
      <c r="M16" s="15"/>
      <c r="N16" s="11"/>
      <c r="O16" s="11"/>
      <c r="P16" s="11"/>
      <c r="Q16" s="11"/>
      <c r="R16" s="13"/>
      <c r="S16" s="11"/>
      <c r="T16" s="11"/>
      <c r="U16" s="11"/>
      <c r="V16" s="11"/>
      <c r="W16" s="11"/>
      <c r="X16" s="11"/>
      <c r="Y16" s="11"/>
    </row>
    <row r="17" ht="7.5" customHeight="1">
      <c r="A17" s="1"/>
      <c r="B17" s="14"/>
      <c r="C17" s="15"/>
      <c r="N17" s="11"/>
      <c r="O17" s="11"/>
      <c r="P17" s="11"/>
      <c r="Q17" s="11"/>
      <c r="R17" s="13"/>
      <c r="S17" s="11"/>
      <c r="T17" s="11"/>
      <c r="U17" s="11"/>
      <c r="V17" s="11"/>
      <c r="W17" s="11"/>
      <c r="X17" s="11"/>
      <c r="Y17" s="11"/>
    </row>
    <row r="18" ht="7.5" customHeight="1">
      <c r="A18" s="1"/>
      <c r="B18" s="14"/>
      <c r="N18" s="11"/>
      <c r="O18" s="11"/>
      <c r="P18" s="11"/>
      <c r="Q18" s="11"/>
      <c r="R18" s="13"/>
      <c r="S18" s="11"/>
      <c r="T18" s="11"/>
      <c r="U18" s="11"/>
      <c r="V18" s="11"/>
      <c r="W18" s="11"/>
      <c r="X18" s="11"/>
      <c r="Y18" s="11"/>
    </row>
    <row r="19" ht="7.5" customHeight="1">
      <c r="A19" s="1"/>
      <c r="B19" s="14"/>
      <c r="C19" s="11"/>
      <c r="D19" s="11"/>
      <c r="E19" s="11"/>
      <c r="F19" s="11"/>
      <c r="G19" s="11"/>
      <c r="H19" s="11"/>
      <c r="I19" s="11"/>
      <c r="J19" s="11"/>
      <c r="K19" s="11"/>
      <c r="L19" s="11"/>
      <c r="M19" s="11"/>
      <c r="N19" s="11"/>
      <c r="O19" s="11"/>
      <c r="P19" s="11"/>
      <c r="Q19" s="11"/>
      <c r="R19" s="13"/>
      <c r="S19" s="11"/>
      <c r="T19" s="11"/>
      <c r="U19" s="11"/>
      <c r="V19" s="11"/>
      <c r="W19" s="11"/>
      <c r="X19" s="11"/>
      <c r="Y19" s="11"/>
    </row>
    <row r="20" ht="25.5" customHeight="1">
      <c r="A20" s="1"/>
      <c r="B20" s="14"/>
      <c r="C20" s="16" t="s">
        <v>12</v>
      </c>
      <c r="D20" s="17"/>
      <c r="E20" s="18" t="s">
        <v>13</v>
      </c>
      <c r="N20" s="11"/>
      <c r="O20" s="11"/>
      <c r="P20" s="11"/>
      <c r="Q20" s="11"/>
      <c r="R20" s="13"/>
      <c r="S20" s="11"/>
      <c r="T20" s="11"/>
      <c r="U20" s="11"/>
      <c r="V20" s="11"/>
      <c r="W20" s="11"/>
      <c r="X20" s="11"/>
      <c r="Y20" s="11"/>
    </row>
    <row r="21" ht="15.0" customHeight="1">
      <c r="A21" s="1"/>
      <c r="B21" s="14"/>
      <c r="C21" s="11"/>
      <c r="D21" s="11"/>
      <c r="E21" s="11"/>
      <c r="F21" s="11"/>
      <c r="G21" s="11"/>
      <c r="H21" s="11"/>
      <c r="I21" s="11"/>
      <c r="J21" s="11"/>
      <c r="K21" s="11"/>
      <c r="L21" s="11"/>
      <c r="M21" s="11"/>
      <c r="N21" s="11"/>
      <c r="O21" s="11"/>
      <c r="P21" s="11"/>
      <c r="Q21" s="11"/>
      <c r="R21" s="13"/>
      <c r="S21" s="11"/>
      <c r="T21" s="11"/>
      <c r="U21" s="11"/>
      <c r="V21" s="11"/>
      <c r="W21" s="11"/>
      <c r="X21" s="11"/>
      <c r="Y21" s="11"/>
    </row>
    <row r="22" ht="15.0" customHeight="1">
      <c r="A22" s="1"/>
      <c r="B22" s="14"/>
      <c r="C22" s="19" t="s">
        <v>14</v>
      </c>
      <c r="N22" s="11"/>
      <c r="O22" s="11"/>
      <c r="P22" s="11"/>
      <c r="Q22" s="11"/>
      <c r="R22" s="13"/>
      <c r="S22" s="11"/>
      <c r="T22" s="11"/>
      <c r="U22" s="11"/>
      <c r="V22" s="11"/>
      <c r="W22" s="11"/>
      <c r="X22" s="11"/>
      <c r="Y22" s="11"/>
    </row>
    <row r="23" ht="47.25" customHeight="1">
      <c r="A23" s="1"/>
      <c r="B23" s="14"/>
      <c r="N23" s="11"/>
      <c r="O23" s="11"/>
      <c r="P23" s="11"/>
      <c r="Q23" s="11"/>
      <c r="R23" s="13"/>
      <c r="S23" s="11"/>
      <c r="T23" s="11"/>
      <c r="U23" s="11"/>
      <c r="V23" s="11"/>
      <c r="W23" s="11"/>
      <c r="X23" s="11"/>
      <c r="Y23" s="11"/>
    </row>
    <row r="24" ht="15.75" customHeight="1">
      <c r="A24" s="1"/>
      <c r="B24" s="14"/>
      <c r="C24" s="11"/>
      <c r="D24" s="11"/>
      <c r="E24" s="11"/>
      <c r="F24" s="11"/>
      <c r="G24" s="11"/>
      <c r="H24" s="11"/>
      <c r="I24" s="11"/>
      <c r="J24" s="11"/>
      <c r="K24" s="11"/>
      <c r="L24" s="11"/>
      <c r="M24" s="11"/>
      <c r="N24" s="11"/>
      <c r="O24" s="11"/>
      <c r="P24" s="11"/>
      <c r="Q24" s="11"/>
      <c r="R24" s="13"/>
      <c r="S24" s="11"/>
      <c r="T24" s="11"/>
      <c r="U24" s="11"/>
      <c r="V24" s="11"/>
      <c r="W24" s="11"/>
      <c r="X24" s="11"/>
      <c r="Y24" s="11"/>
    </row>
    <row r="25" ht="15.75" customHeight="1">
      <c r="A25" s="1"/>
      <c r="B25" s="14"/>
      <c r="C25" s="16" t="s">
        <v>15</v>
      </c>
      <c r="D25" s="17"/>
      <c r="E25" s="18" t="s">
        <v>16</v>
      </c>
      <c r="N25" s="11"/>
      <c r="O25" s="11"/>
      <c r="P25" s="11"/>
      <c r="Q25" s="11"/>
      <c r="R25" s="13"/>
      <c r="S25" s="11"/>
      <c r="T25" s="11"/>
      <c r="U25" s="11"/>
      <c r="V25" s="11"/>
      <c r="W25" s="11"/>
      <c r="X25" s="11"/>
      <c r="Y25" s="11"/>
    </row>
    <row r="26" ht="30.0" customHeight="1">
      <c r="A26" s="1"/>
      <c r="B26" s="14"/>
      <c r="C26" s="19" t="s">
        <v>17</v>
      </c>
      <c r="N26" s="11"/>
      <c r="O26" s="11"/>
      <c r="P26" s="11"/>
      <c r="Q26" s="11"/>
      <c r="R26" s="13"/>
      <c r="S26" s="11"/>
      <c r="T26" s="11"/>
      <c r="U26" s="11"/>
      <c r="V26" s="11"/>
      <c r="W26" s="11"/>
      <c r="X26" s="11"/>
      <c r="Y26" s="11"/>
    </row>
    <row r="27" ht="3.0" customHeight="1">
      <c r="A27" s="1"/>
      <c r="B27" s="14"/>
      <c r="C27" s="11"/>
      <c r="D27" s="11"/>
      <c r="E27" s="11"/>
      <c r="F27" s="11"/>
      <c r="G27" s="11"/>
      <c r="H27" s="11"/>
      <c r="I27" s="11"/>
      <c r="J27" s="11"/>
      <c r="K27" s="11"/>
      <c r="L27" s="11"/>
      <c r="M27" s="11"/>
      <c r="N27" s="11"/>
      <c r="O27" s="11"/>
      <c r="P27" s="11"/>
      <c r="Q27" s="11"/>
      <c r="R27" s="13"/>
      <c r="S27" s="11"/>
      <c r="T27" s="11"/>
      <c r="U27" s="11"/>
      <c r="V27" s="11"/>
      <c r="W27" s="11"/>
      <c r="X27" s="11"/>
      <c r="Y27" s="11"/>
    </row>
    <row r="28" ht="7.5" customHeight="1">
      <c r="A28" s="1"/>
      <c r="B28" s="14"/>
      <c r="C28" s="11"/>
      <c r="D28" s="11"/>
      <c r="E28" s="11"/>
      <c r="F28" s="11"/>
      <c r="G28" s="11"/>
      <c r="H28" s="11"/>
      <c r="I28" s="11"/>
      <c r="J28" s="11"/>
      <c r="K28" s="11"/>
      <c r="L28" s="11"/>
      <c r="M28" s="11"/>
      <c r="N28" s="11"/>
      <c r="O28" s="11"/>
      <c r="P28" s="11"/>
      <c r="Q28" s="11"/>
      <c r="R28" s="13"/>
      <c r="S28" s="11"/>
      <c r="T28" s="11"/>
      <c r="U28" s="11"/>
      <c r="V28" s="11"/>
      <c r="W28" s="11"/>
      <c r="X28" s="11"/>
      <c r="Y28" s="11"/>
    </row>
    <row r="29" ht="7.5" customHeight="1">
      <c r="A29" s="1"/>
      <c r="B29" s="14"/>
      <c r="C29" s="11"/>
      <c r="D29" s="11"/>
      <c r="E29" s="11"/>
      <c r="F29" s="11"/>
      <c r="G29" s="11"/>
      <c r="H29" s="11"/>
      <c r="I29" s="11"/>
      <c r="J29" s="11"/>
      <c r="K29" s="11"/>
      <c r="L29" s="11"/>
      <c r="M29" s="11"/>
      <c r="N29" s="11"/>
      <c r="O29" s="11"/>
      <c r="P29" s="11"/>
      <c r="Q29" s="11"/>
      <c r="R29" s="13"/>
      <c r="S29" s="11"/>
      <c r="T29" s="11"/>
      <c r="U29" s="11"/>
      <c r="V29" s="11"/>
      <c r="W29" s="11"/>
      <c r="X29" s="11"/>
      <c r="Y29" s="11"/>
    </row>
    <row r="30" ht="47.25" hidden="1" customHeight="1">
      <c r="A30" s="1"/>
      <c r="B30" s="14"/>
      <c r="C30" s="11"/>
      <c r="D30" s="11"/>
      <c r="E30" s="11"/>
      <c r="F30" s="11"/>
      <c r="G30" s="11"/>
      <c r="H30" s="11"/>
      <c r="I30" s="11"/>
      <c r="J30" s="11"/>
      <c r="K30" s="11"/>
      <c r="L30" s="11"/>
      <c r="M30" s="11"/>
      <c r="N30" s="11"/>
      <c r="O30" s="11"/>
      <c r="P30" s="11"/>
      <c r="Q30" s="11"/>
      <c r="R30" s="13"/>
      <c r="S30" s="11"/>
      <c r="T30" s="11"/>
      <c r="U30" s="11"/>
      <c r="V30" s="11"/>
      <c r="W30" s="11"/>
      <c r="X30" s="11"/>
      <c r="Y30" s="11"/>
    </row>
    <row r="31" ht="39.75" hidden="1" customHeight="1">
      <c r="A31" s="1"/>
      <c r="B31" s="14"/>
      <c r="C31" s="11"/>
      <c r="D31" s="11"/>
      <c r="E31" s="11"/>
      <c r="F31" s="11"/>
      <c r="G31" s="11"/>
      <c r="H31" s="11"/>
      <c r="I31" s="11"/>
      <c r="J31" s="11"/>
      <c r="K31" s="11"/>
      <c r="L31" s="11"/>
      <c r="M31" s="11"/>
      <c r="N31" s="11"/>
      <c r="O31" s="11"/>
      <c r="P31" s="11"/>
      <c r="Q31" s="11"/>
      <c r="R31" s="13"/>
      <c r="S31" s="11"/>
      <c r="T31" s="11"/>
      <c r="U31" s="11"/>
      <c r="V31" s="11"/>
      <c r="W31" s="11"/>
      <c r="X31" s="11"/>
      <c r="Y31" s="11"/>
    </row>
    <row r="32" ht="1.5" hidden="1" customHeight="1">
      <c r="A32" s="1"/>
      <c r="B32" s="14"/>
      <c r="C32" s="15"/>
      <c r="N32" s="11"/>
      <c r="O32" s="11"/>
      <c r="P32" s="11"/>
      <c r="Q32" s="11"/>
      <c r="R32" s="13"/>
      <c r="S32" s="11"/>
      <c r="T32" s="11"/>
      <c r="U32" s="11"/>
      <c r="V32" s="11"/>
      <c r="W32" s="11"/>
      <c r="X32" s="11"/>
      <c r="Y32" s="11"/>
    </row>
    <row r="33" ht="2.25" customHeight="1">
      <c r="A33" s="1"/>
      <c r="B33" s="14"/>
      <c r="N33" s="11"/>
      <c r="O33" s="11"/>
      <c r="P33" s="11"/>
      <c r="Q33" s="11"/>
      <c r="R33" s="13"/>
      <c r="S33" s="11"/>
      <c r="T33" s="11"/>
      <c r="U33" s="11"/>
      <c r="V33" s="11"/>
      <c r="W33" s="11"/>
      <c r="X33" s="11"/>
      <c r="Y33" s="11"/>
    </row>
    <row r="34" ht="2.25" customHeight="1">
      <c r="A34" s="1"/>
      <c r="B34" s="14"/>
      <c r="N34" s="11"/>
      <c r="O34" s="11"/>
      <c r="P34" s="11"/>
      <c r="Q34" s="11"/>
      <c r="R34" s="13"/>
      <c r="S34" s="11"/>
      <c r="T34" s="11"/>
      <c r="U34" s="11"/>
      <c r="V34" s="11"/>
      <c r="W34" s="11"/>
      <c r="X34" s="11"/>
      <c r="Y34" s="11"/>
    </row>
    <row r="35" ht="2.25" customHeight="1">
      <c r="A35" s="1"/>
      <c r="B35" s="14"/>
      <c r="C35" s="22"/>
      <c r="D35" s="15"/>
      <c r="E35" s="15"/>
      <c r="F35" s="15"/>
      <c r="G35" s="15"/>
      <c r="H35" s="15"/>
      <c r="I35" s="15"/>
      <c r="J35" s="15"/>
      <c r="K35" s="15"/>
      <c r="L35" s="15"/>
      <c r="M35" s="15"/>
      <c r="N35" s="11"/>
      <c r="O35" s="11"/>
      <c r="P35" s="11"/>
      <c r="Q35" s="11"/>
      <c r="R35" s="13"/>
      <c r="S35" s="11"/>
      <c r="T35" s="11"/>
      <c r="U35" s="11"/>
      <c r="V35" s="11"/>
      <c r="W35" s="11"/>
      <c r="X35" s="11"/>
      <c r="Y35" s="11"/>
    </row>
    <row r="36" ht="2.25" customHeight="1">
      <c r="A36" s="1"/>
      <c r="B36" s="14"/>
      <c r="C36" s="22"/>
      <c r="D36" s="15"/>
      <c r="E36" s="15"/>
      <c r="F36" s="15"/>
      <c r="G36" s="15"/>
      <c r="H36" s="15"/>
      <c r="I36" s="15"/>
      <c r="J36" s="15"/>
      <c r="K36" s="15"/>
      <c r="L36" s="15"/>
      <c r="M36" s="15"/>
      <c r="N36" s="11"/>
      <c r="O36" s="11"/>
      <c r="P36" s="11"/>
      <c r="Q36" s="11"/>
      <c r="R36" s="13"/>
      <c r="S36" s="11"/>
      <c r="T36" s="11"/>
      <c r="U36" s="11"/>
      <c r="V36" s="11"/>
      <c r="W36" s="11"/>
      <c r="X36" s="11"/>
      <c r="Y36" s="11"/>
    </row>
    <row r="37" ht="15.75" customHeight="1">
      <c r="A37" s="1"/>
      <c r="B37" s="14"/>
      <c r="C37" s="16" t="s">
        <v>18</v>
      </c>
      <c r="D37" s="17"/>
      <c r="E37" s="18" t="s">
        <v>19</v>
      </c>
      <c r="N37" s="11"/>
      <c r="O37" s="11"/>
      <c r="P37" s="11"/>
      <c r="Q37" s="11"/>
      <c r="R37" s="13"/>
      <c r="S37" s="11"/>
      <c r="T37" s="11"/>
      <c r="U37" s="11"/>
      <c r="V37" s="11"/>
      <c r="W37" s="11"/>
      <c r="X37" s="11"/>
      <c r="Y37" s="11"/>
    </row>
    <row r="38" ht="4.5" customHeight="1">
      <c r="A38" s="1"/>
      <c r="B38" s="14"/>
      <c r="C38" s="23"/>
      <c r="D38" s="23"/>
      <c r="E38" s="18"/>
      <c r="F38" s="18"/>
      <c r="G38" s="18"/>
      <c r="H38" s="18"/>
      <c r="I38" s="18"/>
      <c r="J38" s="18"/>
      <c r="K38" s="18"/>
      <c r="L38" s="18"/>
      <c r="M38" s="18"/>
      <c r="N38" s="11"/>
      <c r="O38" s="11"/>
      <c r="P38" s="11"/>
      <c r="Q38" s="11"/>
      <c r="R38" s="13"/>
      <c r="S38" s="11"/>
      <c r="T38" s="11"/>
      <c r="U38" s="11"/>
      <c r="V38" s="11"/>
      <c r="W38" s="11"/>
      <c r="X38" s="11"/>
      <c r="Y38" s="11"/>
    </row>
    <row r="39" ht="23.25" customHeight="1">
      <c r="A39" s="1"/>
      <c r="B39" s="14"/>
      <c r="C39" s="24" t="s">
        <v>20</v>
      </c>
      <c r="D39" s="11"/>
      <c r="E39" s="11"/>
      <c r="F39" s="11"/>
      <c r="G39" s="11"/>
      <c r="H39" s="11"/>
      <c r="I39" s="11"/>
      <c r="J39" s="11"/>
      <c r="K39" s="11"/>
      <c r="L39" s="11"/>
      <c r="M39" s="11"/>
      <c r="N39" s="11"/>
      <c r="O39" s="11"/>
      <c r="P39" s="11"/>
      <c r="Q39" s="11"/>
      <c r="R39" s="13"/>
      <c r="S39" s="11"/>
      <c r="T39" s="11"/>
      <c r="U39" s="11"/>
      <c r="V39" s="11"/>
      <c r="W39" s="11"/>
      <c r="X39" s="11"/>
      <c r="Y39" s="11"/>
    </row>
    <row r="40" ht="12.0" customHeight="1">
      <c r="A40" s="1"/>
      <c r="B40" s="14"/>
      <c r="C40" s="25"/>
      <c r="D40" s="25"/>
      <c r="E40" s="25"/>
      <c r="F40" s="25"/>
      <c r="G40" s="25"/>
      <c r="H40" s="25"/>
      <c r="I40" s="25"/>
      <c r="J40" s="25"/>
      <c r="K40" s="25"/>
      <c r="L40" s="25"/>
      <c r="M40" s="25"/>
      <c r="N40" s="11"/>
      <c r="O40" s="11"/>
      <c r="P40" s="11"/>
      <c r="Q40" s="11"/>
      <c r="R40" s="13"/>
      <c r="S40" s="11"/>
      <c r="T40" s="11"/>
      <c r="U40" s="11"/>
      <c r="V40" s="11"/>
      <c r="W40" s="11"/>
      <c r="X40" s="11"/>
      <c r="Y40" s="11"/>
    </row>
    <row r="41" ht="3.0" customHeight="1">
      <c r="A41" s="1"/>
      <c r="B41" s="14"/>
      <c r="C41" s="25"/>
      <c r="D41" s="25"/>
      <c r="E41" s="25"/>
      <c r="F41" s="25"/>
      <c r="G41" s="25"/>
      <c r="H41" s="25"/>
      <c r="I41" s="25"/>
      <c r="J41" s="25"/>
      <c r="K41" s="25"/>
      <c r="L41" s="25"/>
      <c r="M41" s="25"/>
      <c r="N41" s="11"/>
      <c r="O41" s="11"/>
      <c r="P41" s="11"/>
      <c r="Q41" s="11"/>
      <c r="R41" s="13"/>
      <c r="S41" s="11"/>
      <c r="T41" s="11"/>
      <c r="U41" s="11"/>
      <c r="V41" s="11"/>
      <c r="W41" s="11"/>
      <c r="X41" s="11"/>
      <c r="Y41" s="11"/>
    </row>
    <row r="42" ht="15.75" customHeight="1">
      <c r="A42" s="1"/>
      <c r="B42" s="14"/>
      <c r="C42" s="16" t="s">
        <v>21</v>
      </c>
      <c r="D42" s="17"/>
      <c r="E42" s="18" t="s">
        <v>22</v>
      </c>
      <c r="N42" s="11"/>
      <c r="O42" s="11"/>
      <c r="P42" s="11"/>
      <c r="Q42" s="11"/>
      <c r="R42" s="13"/>
      <c r="S42" s="11"/>
      <c r="T42" s="11"/>
      <c r="U42" s="11"/>
      <c r="V42" s="11"/>
      <c r="W42" s="11"/>
      <c r="X42" s="11"/>
      <c r="Y42" s="11"/>
    </row>
    <row r="43" ht="13.5" customHeight="1">
      <c r="A43" s="1"/>
      <c r="B43" s="14"/>
      <c r="C43" s="19" t="s">
        <v>23</v>
      </c>
      <c r="N43" s="11"/>
      <c r="O43" s="11"/>
      <c r="P43" s="11"/>
      <c r="Q43" s="11"/>
      <c r="R43" s="13"/>
      <c r="S43" s="11"/>
      <c r="T43" s="11"/>
      <c r="U43" s="11"/>
      <c r="V43" s="11"/>
      <c r="W43" s="11"/>
      <c r="X43" s="11"/>
      <c r="Y43" s="11"/>
    </row>
    <row r="44" ht="36.75" customHeight="1">
      <c r="A44" s="1"/>
      <c r="B44" s="14"/>
      <c r="N44" s="11"/>
      <c r="O44" s="11"/>
      <c r="P44" s="11"/>
      <c r="Q44" s="11"/>
      <c r="R44" s="13"/>
      <c r="S44" s="11"/>
      <c r="T44" s="11"/>
      <c r="U44" s="11"/>
      <c r="V44" s="11"/>
      <c r="W44" s="11"/>
      <c r="X44" s="11"/>
      <c r="Y44" s="11"/>
    </row>
    <row r="45" ht="15.75" customHeight="1">
      <c r="A45" s="1"/>
      <c r="B45" s="14"/>
      <c r="C45" s="16" t="s">
        <v>24</v>
      </c>
      <c r="D45" s="17"/>
      <c r="E45" s="18" t="s">
        <v>25</v>
      </c>
      <c r="N45" s="11"/>
      <c r="O45" s="11"/>
      <c r="P45" s="11"/>
      <c r="Q45" s="11"/>
      <c r="R45" s="13"/>
      <c r="S45" s="11"/>
      <c r="T45" s="11"/>
      <c r="U45" s="11"/>
      <c r="V45" s="11"/>
      <c r="W45" s="11"/>
      <c r="X45" s="11"/>
      <c r="Y45" s="11"/>
    </row>
    <row r="46" ht="15.0" customHeight="1">
      <c r="A46" s="1"/>
      <c r="B46" s="14"/>
      <c r="C46" s="19" t="s">
        <v>26</v>
      </c>
      <c r="N46" s="11"/>
      <c r="O46" s="11"/>
      <c r="P46" s="11"/>
      <c r="Q46" s="11"/>
      <c r="R46" s="13"/>
      <c r="S46" s="11"/>
      <c r="T46" s="11"/>
      <c r="U46" s="11"/>
      <c r="V46" s="11"/>
      <c r="W46" s="11"/>
      <c r="X46" s="11"/>
      <c r="Y46" s="11"/>
    </row>
    <row r="47" ht="24.75" customHeight="1">
      <c r="A47" s="1"/>
      <c r="B47" s="14"/>
      <c r="N47" s="11"/>
      <c r="O47" s="11"/>
      <c r="P47" s="11"/>
      <c r="Q47" s="11"/>
      <c r="R47" s="13"/>
      <c r="S47" s="11"/>
      <c r="T47" s="11"/>
      <c r="U47" s="11"/>
      <c r="V47" s="11"/>
      <c r="W47" s="11"/>
      <c r="X47" s="11"/>
      <c r="Y47" s="11"/>
    </row>
    <row r="48" ht="15.75" hidden="1" customHeight="1">
      <c r="A48" s="1"/>
      <c r="B48" s="14"/>
      <c r="C48" s="11"/>
      <c r="D48" s="11"/>
      <c r="E48" s="11"/>
      <c r="F48" s="11"/>
      <c r="G48" s="11"/>
      <c r="H48" s="11"/>
      <c r="I48" s="11"/>
      <c r="J48" s="11"/>
      <c r="K48" s="11"/>
      <c r="L48" s="11"/>
      <c r="M48" s="11"/>
      <c r="N48" s="11"/>
      <c r="O48" s="11"/>
      <c r="P48" s="11"/>
      <c r="Q48" s="11"/>
      <c r="R48" s="13"/>
      <c r="S48" s="11"/>
      <c r="T48" s="11"/>
      <c r="U48" s="11"/>
      <c r="V48" s="11"/>
      <c r="W48" s="11"/>
      <c r="X48" s="11"/>
      <c r="Y48" s="11"/>
    </row>
    <row r="49" ht="15.75" hidden="1" customHeight="1">
      <c r="A49" s="1"/>
      <c r="B49" s="14"/>
      <c r="C49" s="11"/>
      <c r="D49" s="11"/>
      <c r="E49" s="11"/>
      <c r="F49" s="11"/>
      <c r="G49" s="11"/>
      <c r="H49" s="11"/>
      <c r="I49" s="11"/>
      <c r="J49" s="11"/>
      <c r="K49" s="11"/>
      <c r="L49" s="11"/>
      <c r="M49" s="11"/>
      <c r="N49" s="11"/>
      <c r="O49" s="11"/>
      <c r="P49" s="11"/>
      <c r="Q49" s="11"/>
      <c r="R49" s="13"/>
      <c r="S49" s="11"/>
      <c r="T49" s="11"/>
      <c r="U49" s="11"/>
      <c r="V49" s="11"/>
      <c r="W49" s="11"/>
      <c r="X49" s="11"/>
      <c r="Y49" s="11"/>
    </row>
    <row r="50" ht="8.25" customHeight="1">
      <c r="A50" s="1"/>
      <c r="B50" s="14"/>
      <c r="C50" s="11"/>
      <c r="D50" s="11"/>
      <c r="E50" s="11"/>
      <c r="F50" s="11"/>
      <c r="G50" s="11"/>
      <c r="H50" s="11"/>
      <c r="I50" s="11"/>
      <c r="J50" s="11"/>
      <c r="K50" s="11"/>
      <c r="L50" s="11"/>
      <c r="M50" s="11"/>
      <c r="N50" s="11"/>
      <c r="O50" s="11"/>
      <c r="P50" s="11"/>
      <c r="Q50" s="11"/>
      <c r="R50" s="13"/>
      <c r="S50" s="11"/>
      <c r="T50" s="11"/>
      <c r="U50" s="11"/>
      <c r="V50" s="11"/>
      <c r="W50" s="11"/>
      <c r="X50" s="11"/>
      <c r="Y50" s="11"/>
    </row>
    <row r="51" ht="15.75" customHeight="1">
      <c r="A51" s="1"/>
      <c r="B51" s="14"/>
      <c r="C51" s="16" t="s">
        <v>27</v>
      </c>
      <c r="D51" s="17"/>
      <c r="E51" s="18" t="s">
        <v>28</v>
      </c>
      <c r="N51" s="11"/>
      <c r="O51" s="11"/>
      <c r="P51" s="11"/>
      <c r="Q51" s="11"/>
      <c r="R51" s="13"/>
      <c r="S51" s="11"/>
      <c r="T51" s="11"/>
      <c r="U51" s="11"/>
      <c r="V51" s="11"/>
      <c r="W51" s="11"/>
      <c r="X51" s="11"/>
      <c r="Y51" s="11"/>
    </row>
    <row r="52" ht="1.5" customHeight="1">
      <c r="A52" s="1"/>
      <c r="B52" s="14"/>
      <c r="C52" s="19" t="s">
        <v>29</v>
      </c>
      <c r="N52" s="11"/>
      <c r="O52" s="11"/>
      <c r="P52" s="11"/>
      <c r="Q52" s="11"/>
      <c r="R52" s="13"/>
      <c r="S52" s="11"/>
      <c r="T52" s="11"/>
      <c r="U52" s="11"/>
      <c r="V52" s="11"/>
      <c r="W52" s="11"/>
      <c r="X52" s="11"/>
      <c r="Y52" s="11"/>
    </row>
    <row r="53" ht="12.75" hidden="1" customHeight="1">
      <c r="A53" s="1"/>
      <c r="B53" s="14"/>
      <c r="N53" s="11"/>
      <c r="O53" s="11"/>
      <c r="P53" s="11"/>
      <c r="Q53" s="11"/>
      <c r="R53" s="13"/>
      <c r="S53" s="11"/>
      <c r="T53" s="11"/>
      <c r="U53" s="11"/>
      <c r="V53" s="11"/>
      <c r="W53" s="11"/>
      <c r="X53" s="11"/>
      <c r="Y53" s="11"/>
    </row>
    <row r="54" ht="40.5" customHeight="1">
      <c r="A54" s="1"/>
      <c r="B54" s="14"/>
      <c r="N54" s="11"/>
      <c r="O54" s="11"/>
      <c r="P54" s="11"/>
      <c r="Q54" s="11"/>
      <c r="R54" s="13"/>
      <c r="S54" s="11"/>
      <c r="T54" s="11"/>
      <c r="U54" s="11"/>
      <c r="V54" s="11"/>
      <c r="W54" s="11"/>
      <c r="X54" s="11"/>
      <c r="Y54" s="11"/>
    </row>
    <row r="55" ht="15.75" customHeight="1">
      <c r="A55" s="1"/>
      <c r="B55" s="14"/>
      <c r="C55" s="16" t="s">
        <v>30</v>
      </c>
      <c r="D55" s="17"/>
      <c r="E55" s="18" t="s">
        <v>31</v>
      </c>
      <c r="N55" s="11"/>
      <c r="O55" s="11"/>
      <c r="P55" s="11"/>
      <c r="Q55" s="11"/>
      <c r="R55" s="13"/>
      <c r="S55" s="11"/>
      <c r="T55" s="11"/>
      <c r="U55" s="11"/>
      <c r="V55" s="11"/>
      <c r="W55" s="11"/>
      <c r="X55" s="11"/>
      <c r="Y55" s="11"/>
    </row>
    <row r="56" ht="21.75" customHeight="1">
      <c r="A56" s="1"/>
      <c r="B56" s="14"/>
      <c r="C56" s="19" t="s">
        <v>32</v>
      </c>
      <c r="N56" s="11"/>
      <c r="O56" s="11"/>
      <c r="P56" s="11"/>
      <c r="Q56" s="11"/>
      <c r="R56" s="13"/>
      <c r="S56" s="11"/>
      <c r="T56" s="11"/>
      <c r="U56" s="11"/>
      <c r="V56" s="11"/>
      <c r="W56" s="11"/>
      <c r="X56" s="11"/>
      <c r="Y56" s="11"/>
    </row>
    <row r="57" ht="21.0" customHeight="1">
      <c r="A57" s="1"/>
      <c r="B57" s="14"/>
      <c r="N57" s="11"/>
      <c r="O57" s="11"/>
      <c r="P57" s="11"/>
      <c r="Q57" s="11"/>
      <c r="R57" s="13"/>
      <c r="S57" s="11"/>
      <c r="T57" s="11"/>
      <c r="U57" s="11"/>
      <c r="V57" s="11"/>
      <c r="W57" s="11"/>
      <c r="X57" s="11"/>
      <c r="Y57" s="11"/>
    </row>
    <row r="58" ht="15.0" customHeight="1">
      <c r="A58" s="1"/>
      <c r="B58" s="14"/>
      <c r="C58" s="19" t="s">
        <v>33</v>
      </c>
      <c r="N58" s="11"/>
      <c r="O58" s="11"/>
      <c r="P58" s="11"/>
      <c r="Q58" s="11"/>
      <c r="R58" s="13"/>
      <c r="S58" s="11"/>
      <c r="T58" s="11"/>
      <c r="U58" s="11"/>
      <c r="V58" s="11"/>
      <c r="W58" s="11"/>
      <c r="X58" s="11"/>
      <c r="Y58" s="11"/>
    </row>
    <row r="59" ht="25.5" customHeight="1">
      <c r="A59" s="1"/>
      <c r="B59" s="14"/>
      <c r="C59" s="24" t="s">
        <v>34</v>
      </c>
      <c r="D59" s="15"/>
      <c r="E59" s="15"/>
      <c r="F59" s="15"/>
      <c r="G59" s="15"/>
      <c r="H59" s="15"/>
      <c r="I59" s="15"/>
      <c r="J59" s="15"/>
      <c r="K59" s="15"/>
      <c r="L59" s="15"/>
      <c r="M59" s="15"/>
      <c r="N59" s="11"/>
      <c r="O59" s="11"/>
      <c r="P59" s="11"/>
      <c r="Q59" s="11"/>
      <c r="R59" s="13"/>
      <c r="S59" s="11"/>
      <c r="T59" s="11"/>
      <c r="U59" s="11"/>
      <c r="V59" s="11"/>
      <c r="W59" s="11"/>
      <c r="X59" s="11"/>
      <c r="Y59" s="11"/>
    </row>
    <row r="60" ht="17.25" customHeight="1">
      <c r="A60" s="1"/>
      <c r="B60" s="14"/>
      <c r="C60" s="11"/>
      <c r="D60" s="11"/>
      <c r="E60" s="11"/>
      <c r="F60" s="11"/>
      <c r="G60" s="11"/>
      <c r="H60" s="11"/>
      <c r="I60" s="11"/>
      <c r="J60" s="11"/>
      <c r="K60" s="11"/>
      <c r="L60" s="11"/>
      <c r="M60" s="11"/>
      <c r="N60" s="11"/>
      <c r="O60" s="11"/>
      <c r="P60" s="11"/>
      <c r="Q60" s="11"/>
      <c r="R60" s="13"/>
      <c r="S60" s="11"/>
      <c r="T60" s="11"/>
      <c r="U60" s="11"/>
      <c r="V60" s="11"/>
      <c r="W60" s="11"/>
      <c r="X60" s="11"/>
      <c r="Y60" s="11"/>
    </row>
    <row r="61" ht="15.75" customHeight="1">
      <c r="A61" s="1"/>
      <c r="B61" s="14"/>
      <c r="C61" s="16" t="s">
        <v>35</v>
      </c>
      <c r="D61" s="17"/>
      <c r="E61" s="18" t="s">
        <v>36</v>
      </c>
      <c r="N61" s="11"/>
      <c r="O61" s="11"/>
      <c r="P61" s="11"/>
      <c r="Q61" s="11"/>
      <c r="R61" s="13"/>
      <c r="S61" s="11"/>
      <c r="T61" s="11"/>
      <c r="U61" s="11"/>
      <c r="V61" s="11"/>
      <c r="W61" s="11"/>
      <c r="X61" s="11"/>
      <c r="Y61" s="11"/>
    </row>
    <row r="62" ht="14.25" customHeight="1">
      <c r="A62" s="1"/>
      <c r="B62" s="14"/>
      <c r="C62" s="19" t="s">
        <v>29</v>
      </c>
      <c r="N62" s="11"/>
      <c r="O62" s="11"/>
      <c r="P62" s="11"/>
      <c r="Q62" s="11"/>
      <c r="R62" s="13"/>
      <c r="S62" s="11"/>
      <c r="T62" s="11"/>
      <c r="U62" s="11"/>
      <c r="V62" s="11"/>
      <c r="W62" s="11"/>
      <c r="X62" s="11"/>
      <c r="Y62" s="11"/>
    </row>
    <row r="63" ht="14.25" customHeight="1">
      <c r="A63" s="1"/>
      <c r="B63" s="14"/>
      <c r="N63" s="11"/>
      <c r="O63" s="11"/>
      <c r="P63" s="11"/>
      <c r="Q63" s="11"/>
      <c r="R63" s="13"/>
      <c r="S63" s="11"/>
      <c r="T63" s="11"/>
      <c r="U63" s="11"/>
      <c r="V63" s="11"/>
      <c r="W63" s="11"/>
      <c r="X63" s="11"/>
      <c r="Y63" s="11"/>
    </row>
    <row r="64" ht="15.75" customHeight="1">
      <c r="A64" s="1"/>
      <c r="B64" s="14"/>
      <c r="N64" s="11"/>
      <c r="O64" s="11"/>
      <c r="P64" s="11"/>
      <c r="Q64" s="11"/>
      <c r="R64" s="13"/>
      <c r="S64" s="11"/>
      <c r="T64" s="11"/>
      <c r="U64" s="11"/>
      <c r="V64" s="11"/>
      <c r="W64" s="11"/>
      <c r="X64" s="11"/>
      <c r="Y64" s="11"/>
    </row>
    <row r="65" ht="15.75" customHeight="1">
      <c r="A65" s="1"/>
      <c r="B65" s="14"/>
      <c r="C65" s="16" t="s">
        <v>37</v>
      </c>
      <c r="D65" s="17"/>
      <c r="E65" s="18" t="s">
        <v>38</v>
      </c>
      <c r="N65" s="11"/>
      <c r="O65" s="11"/>
      <c r="P65" s="11"/>
      <c r="Q65" s="11"/>
      <c r="R65" s="13"/>
      <c r="S65" s="11"/>
      <c r="T65" s="11"/>
      <c r="U65" s="11"/>
      <c r="V65" s="11"/>
      <c r="W65" s="11"/>
      <c r="X65" s="11"/>
      <c r="Y65" s="11"/>
    </row>
    <row r="66" ht="46.5" customHeight="1">
      <c r="A66" s="1"/>
      <c r="B66" s="14"/>
      <c r="C66" s="19" t="s">
        <v>39</v>
      </c>
      <c r="N66" s="11"/>
      <c r="O66" s="11"/>
      <c r="P66" s="11"/>
      <c r="Q66" s="11"/>
      <c r="R66" s="13"/>
      <c r="S66" s="11"/>
      <c r="T66" s="11"/>
      <c r="U66" s="11"/>
      <c r="V66" s="11"/>
      <c r="W66" s="11"/>
      <c r="X66" s="11"/>
      <c r="Y66" s="11"/>
    </row>
    <row r="67" ht="14.25" customHeight="1">
      <c r="A67" s="1"/>
      <c r="B67" s="26"/>
      <c r="C67" s="27"/>
      <c r="D67" s="27"/>
      <c r="E67" s="27"/>
      <c r="F67" s="27"/>
      <c r="G67" s="27"/>
      <c r="H67" s="27"/>
      <c r="I67" s="27"/>
      <c r="J67" s="27"/>
      <c r="K67" s="27"/>
      <c r="L67" s="27"/>
      <c r="M67" s="27"/>
      <c r="N67" s="28"/>
      <c r="O67" s="28"/>
      <c r="P67" s="28"/>
      <c r="Q67" s="28"/>
      <c r="R67" s="29"/>
      <c r="S67" s="11"/>
      <c r="T67" s="11"/>
      <c r="U67" s="11"/>
      <c r="V67" s="11"/>
      <c r="W67" s="11"/>
      <c r="X67" s="11"/>
      <c r="Y67" s="11"/>
    </row>
    <row r="68" ht="14.25" customHeight="1">
      <c r="A68" s="1"/>
      <c r="B68" s="11"/>
      <c r="C68" s="11"/>
      <c r="D68" s="11"/>
      <c r="E68" s="11"/>
      <c r="F68" s="11"/>
      <c r="G68" s="11"/>
      <c r="H68" s="11"/>
      <c r="I68" s="11"/>
      <c r="J68" s="11"/>
      <c r="K68" s="11"/>
      <c r="L68" s="11"/>
      <c r="M68" s="11"/>
      <c r="N68" s="11"/>
      <c r="O68" s="11"/>
      <c r="P68" s="11"/>
      <c r="Q68" s="11"/>
      <c r="R68" s="11"/>
      <c r="S68" s="11"/>
      <c r="T68" s="11"/>
      <c r="U68" s="11"/>
      <c r="V68" s="11"/>
      <c r="W68" s="11"/>
      <c r="X68" s="11"/>
      <c r="Y68" s="11"/>
    </row>
    <row r="69" ht="14.25" customHeight="1">
      <c r="A69" s="1"/>
      <c r="B69" s="11"/>
      <c r="C69" s="22"/>
      <c r="D69" s="15"/>
      <c r="E69" s="15"/>
      <c r="F69" s="15"/>
      <c r="G69" s="15"/>
      <c r="H69" s="15"/>
      <c r="I69" s="15"/>
      <c r="J69" s="15"/>
      <c r="K69" s="15"/>
      <c r="L69" s="15"/>
      <c r="M69" s="15"/>
      <c r="N69" s="11"/>
      <c r="O69" s="11"/>
      <c r="P69" s="11"/>
      <c r="Q69" s="11"/>
      <c r="R69" s="11"/>
      <c r="S69" s="11"/>
      <c r="T69" s="11"/>
      <c r="U69" s="11"/>
      <c r="V69" s="11"/>
      <c r="W69" s="11"/>
      <c r="X69" s="11"/>
      <c r="Y69" s="11"/>
    </row>
    <row r="70" ht="14.25" customHeight="1">
      <c r="A70" s="1"/>
      <c r="B70" s="11"/>
      <c r="C70" s="11"/>
      <c r="D70" s="11"/>
      <c r="E70" s="11"/>
      <c r="F70" s="11"/>
      <c r="G70" s="11"/>
      <c r="H70" s="11"/>
      <c r="I70" s="11"/>
      <c r="J70" s="11"/>
      <c r="K70" s="11"/>
      <c r="L70" s="11"/>
      <c r="M70" s="11"/>
      <c r="N70" s="11"/>
      <c r="O70" s="11"/>
      <c r="P70" s="11"/>
      <c r="Q70" s="11"/>
      <c r="R70" s="11"/>
      <c r="S70" s="11"/>
      <c r="T70" s="11"/>
      <c r="U70" s="11"/>
      <c r="V70" s="11"/>
      <c r="W70" s="11"/>
      <c r="X70" s="11"/>
      <c r="Y70" s="11"/>
    </row>
    <row r="71" ht="14.25" customHeight="1">
      <c r="A71" s="1"/>
      <c r="B71" s="11"/>
      <c r="C71" s="11"/>
      <c r="D71" s="11"/>
      <c r="E71" s="11"/>
      <c r="F71" s="11"/>
      <c r="G71" s="11"/>
      <c r="H71" s="11"/>
      <c r="I71" s="11"/>
      <c r="J71" s="11"/>
      <c r="K71" s="11"/>
      <c r="L71" s="11"/>
      <c r="M71" s="11"/>
      <c r="N71" s="11"/>
      <c r="O71" s="11"/>
      <c r="P71" s="11"/>
      <c r="Q71" s="11"/>
      <c r="R71" s="11"/>
      <c r="S71" s="11"/>
      <c r="T71" s="11"/>
      <c r="U71" s="11"/>
      <c r="V71" s="11"/>
      <c r="W71" s="11"/>
      <c r="X71" s="11"/>
      <c r="Y71" s="11"/>
    </row>
    <row r="72" ht="14.25" customHeight="1">
      <c r="A72" s="1"/>
      <c r="B72" s="11"/>
      <c r="C72" s="11"/>
      <c r="D72" s="11"/>
      <c r="E72" s="11"/>
      <c r="F72" s="11"/>
      <c r="G72" s="11"/>
      <c r="H72" s="11"/>
      <c r="I72" s="11"/>
      <c r="J72" s="11"/>
      <c r="K72" s="11"/>
      <c r="L72" s="11"/>
      <c r="M72" s="11"/>
      <c r="N72" s="11"/>
      <c r="O72" s="11"/>
      <c r="P72" s="11"/>
      <c r="Q72" s="11"/>
      <c r="R72" s="11"/>
      <c r="S72" s="11"/>
      <c r="T72" s="11"/>
      <c r="U72" s="11"/>
      <c r="V72" s="11"/>
      <c r="W72" s="11"/>
      <c r="X72" s="11"/>
      <c r="Y72" s="11"/>
    </row>
    <row r="73" ht="37.5" customHeight="1">
      <c r="A73" s="1"/>
      <c r="B73" s="11"/>
      <c r="C73" s="11"/>
      <c r="D73" s="11"/>
      <c r="E73" s="11"/>
      <c r="F73" s="11"/>
      <c r="G73" s="11"/>
      <c r="H73" s="11"/>
      <c r="I73" s="11"/>
      <c r="J73" s="11"/>
      <c r="K73" s="11"/>
      <c r="L73" s="11"/>
      <c r="M73" s="11"/>
      <c r="N73" s="11"/>
      <c r="O73" s="11"/>
      <c r="P73" s="11"/>
      <c r="Q73" s="11"/>
      <c r="R73" s="11"/>
      <c r="S73" s="11"/>
      <c r="T73" s="11"/>
      <c r="U73" s="11"/>
      <c r="V73" s="11"/>
      <c r="W73" s="11"/>
      <c r="X73" s="11"/>
      <c r="Y73" s="11"/>
    </row>
    <row r="74" ht="14.25" customHeight="1">
      <c r="A74" s="1"/>
      <c r="B74" s="11"/>
      <c r="C74" s="11"/>
      <c r="D74" s="11"/>
      <c r="E74" s="11"/>
      <c r="F74" s="11"/>
      <c r="G74" s="11"/>
      <c r="H74" s="11"/>
      <c r="I74" s="11"/>
      <c r="J74" s="11"/>
      <c r="K74" s="11"/>
      <c r="L74" s="11"/>
      <c r="M74" s="11"/>
      <c r="N74" s="11"/>
      <c r="O74" s="11"/>
      <c r="P74" s="11"/>
      <c r="Q74" s="11"/>
      <c r="R74" s="11"/>
      <c r="S74" s="11"/>
      <c r="T74" s="11"/>
      <c r="U74" s="11"/>
      <c r="V74" s="11"/>
      <c r="W74" s="11"/>
      <c r="X74" s="11"/>
      <c r="Y74" s="11"/>
    </row>
    <row r="75" ht="14.25" customHeight="1">
      <c r="A75" s="1"/>
      <c r="B75" s="11"/>
      <c r="C75" s="11"/>
      <c r="D75" s="11"/>
      <c r="E75" s="11"/>
      <c r="F75" s="11"/>
      <c r="G75" s="11"/>
      <c r="H75" s="11"/>
      <c r="I75" s="11"/>
      <c r="J75" s="11"/>
      <c r="K75" s="11"/>
      <c r="L75" s="11"/>
      <c r="M75" s="11"/>
      <c r="N75" s="11"/>
      <c r="O75" s="11"/>
      <c r="P75" s="11"/>
      <c r="Q75" s="11"/>
      <c r="R75" s="11"/>
      <c r="S75" s="11"/>
      <c r="T75" s="11"/>
      <c r="U75" s="11"/>
      <c r="V75" s="11"/>
      <c r="W75" s="11"/>
      <c r="X75" s="11"/>
      <c r="Y75" s="11"/>
    </row>
    <row r="76" ht="14.25" customHeight="1">
      <c r="A76" s="1"/>
      <c r="B76" s="11"/>
      <c r="C76" s="11"/>
      <c r="D76" s="11"/>
      <c r="E76" s="11"/>
      <c r="F76" s="11"/>
      <c r="G76" s="11"/>
      <c r="H76" s="11"/>
      <c r="I76" s="11"/>
      <c r="J76" s="11"/>
      <c r="K76" s="11"/>
      <c r="L76" s="11"/>
      <c r="M76" s="11"/>
      <c r="N76" s="11"/>
      <c r="O76" s="11"/>
      <c r="P76" s="11"/>
      <c r="Q76" s="11"/>
      <c r="R76" s="11"/>
      <c r="S76" s="11"/>
      <c r="T76" s="11"/>
      <c r="U76" s="11"/>
      <c r="V76" s="11"/>
      <c r="W76" s="11"/>
      <c r="X76" s="11"/>
      <c r="Y76" s="11"/>
    </row>
    <row r="77" ht="14.25" customHeight="1">
      <c r="A77" s="1"/>
      <c r="B77" s="11"/>
      <c r="C77" s="11"/>
      <c r="D77" s="11"/>
      <c r="E77" s="11"/>
      <c r="F77" s="11"/>
      <c r="G77" s="11"/>
      <c r="H77" s="11"/>
      <c r="I77" s="11"/>
      <c r="J77" s="11"/>
      <c r="K77" s="11"/>
      <c r="L77" s="11"/>
      <c r="M77" s="11"/>
      <c r="N77" s="11"/>
      <c r="O77" s="11"/>
      <c r="P77" s="11"/>
      <c r="Q77" s="11"/>
      <c r="R77" s="11"/>
      <c r="S77" s="11"/>
      <c r="T77" s="11"/>
      <c r="U77" s="11"/>
      <c r="V77" s="11"/>
      <c r="W77" s="11"/>
      <c r="X77" s="11"/>
      <c r="Y77" s="11"/>
    </row>
    <row r="78" ht="14.25" customHeight="1">
      <c r="A78" s="1"/>
      <c r="B78" s="11"/>
      <c r="C78" s="11"/>
      <c r="D78" s="11"/>
      <c r="E78" s="11"/>
      <c r="F78" s="11"/>
      <c r="G78" s="11"/>
      <c r="H78" s="11"/>
      <c r="I78" s="11"/>
      <c r="J78" s="11"/>
      <c r="K78" s="11"/>
      <c r="L78" s="11"/>
      <c r="M78" s="11"/>
      <c r="N78" s="11"/>
      <c r="O78" s="11"/>
      <c r="P78" s="11"/>
      <c r="Q78" s="11"/>
      <c r="R78" s="11"/>
      <c r="S78" s="11"/>
      <c r="T78" s="11"/>
      <c r="U78" s="11"/>
      <c r="V78" s="11"/>
      <c r="W78" s="11"/>
      <c r="X78" s="11"/>
      <c r="Y78" s="11"/>
    </row>
    <row r="79" ht="14.25" customHeight="1">
      <c r="A79" s="1"/>
      <c r="B79" s="11"/>
      <c r="C79" s="11"/>
      <c r="D79" s="11"/>
      <c r="E79" s="11"/>
      <c r="F79" s="11"/>
      <c r="G79" s="11"/>
      <c r="H79" s="11"/>
      <c r="I79" s="11"/>
      <c r="J79" s="11"/>
      <c r="K79" s="11"/>
      <c r="L79" s="11"/>
      <c r="M79" s="11"/>
      <c r="N79" s="11"/>
      <c r="O79" s="11"/>
      <c r="P79" s="11"/>
      <c r="Q79" s="11"/>
      <c r="R79" s="11"/>
      <c r="S79" s="11"/>
      <c r="T79" s="11"/>
      <c r="U79" s="11"/>
      <c r="V79" s="11"/>
      <c r="W79" s="11"/>
      <c r="X79" s="11"/>
      <c r="Y79" s="11"/>
    </row>
    <row r="80" ht="14.25" customHeight="1">
      <c r="A80" s="1"/>
      <c r="B80" s="11"/>
      <c r="C80" s="11"/>
      <c r="D80" s="11"/>
      <c r="E80" s="11"/>
      <c r="F80" s="11"/>
      <c r="G80" s="11"/>
      <c r="H80" s="11"/>
      <c r="I80" s="11"/>
      <c r="J80" s="11"/>
      <c r="K80" s="11"/>
      <c r="L80" s="11"/>
      <c r="M80" s="11"/>
      <c r="N80" s="11"/>
      <c r="O80" s="11"/>
      <c r="P80" s="11"/>
      <c r="Q80" s="11"/>
      <c r="R80" s="11"/>
      <c r="S80" s="11"/>
      <c r="T80" s="11"/>
      <c r="U80" s="11"/>
      <c r="V80" s="11"/>
      <c r="W80" s="11"/>
      <c r="X80" s="11"/>
      <c r="Y80" s="11"/>
    </row>
    <row r="81" ht="14.25" customHeight="1">
      <c r="A81" s="1"/>
      <c r="B81" s="11"/>
      <c r="C81" s="11"/>
      <c r="D81" s="11"/>
      <c r="E81" s="11"/>
      <c r="F81" s="11"/>
      <c r="G81" s="11"/>
      <c r="H81" s="11"/>
      <c r="I81" s="11"/>
      <c r="J81" s="11"/>
      <c r="K81" s="11"/>
      <c r="L81" s="11"/>
      <c r="M81" s="11"/>
      <c r="N81" s="11"/>
      <c r="O81" s="11"/>
      <c r="P81" s="11"/>
      <c r="Q81" s="11"/>
      <c r="R81" s="11"/>
      <c r="S81" s="11"/>
      <c r="T81" s="11"/>
      <c r="U81" s="11"/>
      <c r="V81" s="11"/>
      <c r="W81" s="11"/>
      <c r="X81" s="11"/>
      <c r="Y81" s="11"/>
    </row>
    <row r="82" ht="14.25" customHeight="1">
      <c r="A82" s="1"/>
      <c r="B82" s="11"/>
      <c r="C82" s="11"/>
      <c r="D82" s="11"/>
      <c r="E82" s="11"/>
      <c r="F82" s="11"/>
      <c r="G82" s="11"/>
      <c r="H82" s="11"/>
      <c r="I82" s="11"/>
      <c r="J82" s="11"/>
      <c r="K82" s="11"/>
      <c r="L82" s="11"/>
      <c r="M82" s="11"/>
      <c r="N82" s="11"/>
      <c r="O82" s="11"/>
      <c r="P82" s="11"/>
      <c r="Q82" s="11"/>
      <c r="R82" s="11"/>
      <c r="S82" s="11"/>
      <c r="T82" s="11"/>
      <c r="U82" s="11"/>
      <c r="V82" s="11"/>
      <c r="W82" s="11"/>
      <c r="X82" s="11"/>
      <c r="Y82" s="11"/>
    </row>
    <row r="83" ht="14.25" customHeight="1">
      <c r="A83" s="1"/>
      <c r="B83" s="11"/>
      <c r="C83" s="11"/>
      <c r="D83" s="11"/>
      <c r="E83" s="11"/>
      <c r="F83" s="11"/>
      <c r="G83" s="11"/>
      <c r="H83" s="11"/>
      <c r="I83" s="11"/>
      <c r="J83" s="11"/>
      <c r="K83" s="11"/>
      <c r="L83" s="11"/>
      <c r="M83" s="11"/>
      <c r="N83" s="11"/>
      <c r="O83" s="11"/>
      <c r="P83" s="11"/>
      <c r="Q83" s="11"/>
      <c r="R83" s="11"/>
      <c r="S83" s="11"/>
      <c r="T83" s="11"/>
      <c r="U83" s="11"/>
      <c r="V83" s="11"/>
      <c r="W83" s="11"/>
      <c r="X83" s="11"/>
      <c r="Y83" s="11"/>
    </row>
    <row r="84" ht="14.25" customHeight="1">
      <c r="A84" s="1"/>
      <c r="B84" s="11"/>
      <c r="C84" s="11"/>
      <c r="D84" s="11"/>
      <c r="E84" s="11"/>
      <c r="F84" s="11"/>
      <c r="G84" s="11"/>
      <c r="H84" s="11"/>
      <c r="I84" s="11"/>
      <c r="J84" s="11"/>
      <c r="K84" s="11"/>
      <c r="L84" s="11"/>
      <c r="M84" s="11"/>
      <c r="N84" s="11"/>
      <c r="O84" s="11"/>
      <c r="P84" s="11"/>
      <c r="Q84" s="11"/>
      <c r="R84" s="11"/>
      <c r="S84" s="11"/>
      <c r="T84" s="11"/>
      <c r="U84" s="11"/>
      <c r="V84" s="11"/>
      <c r="W84" s="11"/>
      <c r="X84" s="11"/>
      <c r="Y84" s="11"/>
    </row>
    <row r="85" ht="14.25" customHeight="1">
      <c r="A85" s="1"/>
      <c r="B85" s="11"/>
      <c r="C85" s="11"/>
      <c r="D85" s="11"/>
      <c r="E85" s="11"/>
      <c r="F85" s="11"/>
      <c r="G85" s="11"/>
      <c r="H85" s="11"/>
      <c r="I85" s="11"/>
      <c r="J85" s="11"/>
      <c r="K85" s="11"/>
      <c r="L85" s="11"/>
      <c r="M85" s="11"/>
      <c r="N85" s="11"/>
      <c r="O85" s="11"/>
      <c r="P85" s="11"/>
      <c r="Q85" s="11"/>
      <c r="R85" s="11"/>
      <c r="S85" s="11"/>
      <c r="T85" s="11"/>
      <c r="U85" s="11"/>
      <c r="V85" s="11"/>
      <c r="W85" s="11"/>
      <c r="X85" s="11"/>
      <c r="Y85" s="11"/>
    </row>
    <row r="86" ht="14.25" customHeight="1">
      <c r="A86" s="1"/>
      <c r="B86" s="11"/>
      <c r="C86" s="11"/>
      <c r="D86" s="11"/>
      <c r="E86" s="11"/>
      <c r="F86" s="11"/>
      <c r="G86" s="11"/>
      <c r="H86" s="11"/>
      <c r="I86" s="11"/>
      <c r="J86" s="11"/>
      <c r="K86" s="11"/>
      <c r="L86" s="11"/>
      <c r="M86" s="11"/>
      <c r="N86" s="11"/>
      <c r="O86" s="11"/>
      <c r="P86" s="11"/>
      <c r="Q86" s="11"/>
      <c r="R86" s="11"/>
      <c r="S86" s="11"/>
      <c r="T86" s="11"/>
      <c r="U86" s="11"/>
      <c r="V86" s="11"/>
      <c r="W86" s="11"/>
      <c r="X86" s="11"/>
      <c r="Y86" s="11"/>
    </row>
    <row r="87" ht="14.25" customHeight="1">
      <c r="A87" s="1"/>
      <c r="B87" s="11"/>
      <c r="C87" s="11"/>
      <c r="D87" s="11"/>
      <c r="E87" s="11"/>
      <c r="F87" s="11"/>
      <c r="G87" s="11"/>
      <c r="H87" s="11"/>
      <c r="I87" s="11"/>
      <c r="J87" s="11"/>
      <c r="K87" s="11"/>
      <c r="L87" s="11"/>
      <c r="M87" s="11"/>
      <c r="N87" s="11"/>
      <c r="O87" s="11"/>
      <c r="P87" s="11"/>
      <c r="Q87" s="11"/>
      <c r="R87" s="11"/>
      <c r="S87" s="11"/>
      <c r="T87" s="11"/>
      <c r="U87" s="11"/>
      <c r="V87" s="11"/>
      <c r="W87" s="11"/>
      <c r="X87" s="11"/>
      <c r="Y87" s="11"/>
    </row>
    <row r="88" ht="14.25" customHeight="1">
      <c r="A88" s="1"/>
      <c r="B88" s="11"/>
      <c r="C88" s="11"/>
      <c r="D88" s="11"/>
      <c r="E88" s="11"/>
      <c r="F88" s="11"/>
      <c r="G88" s="11"/>
      <c r="H88" s="11"/>
      <c r="I88" s="11"/>
      <c r="J88" s="11"/>
      <c r="K88" s="11"/>
      <c r="L88" s="11"/>
      <c r="M88" s="11"/>
      <c r="N88" s="11"/>
      <c r="O88" s="11"/>
      <c r="P88" s="11"/>
      <c r="Q88" s="11"/>
      <c r="R88" s="11"/>
      <c r="S88" s="11"/>
      <c r="T88" s="11"/>
      <c r="U88" s="11"/>
      <c r="V88" s="11"/>
      <c r="W88" s="11"/>
      <c r="X88" s="11"/>
      <c r="Y88" s="11"/>
    </row>
    <row r="89" ht="14.25" customHeight="1">
      <c r="A89" s="1"/>
      <c r="B89" s="11"/>
      <c r="C89" s="11"/>
      <c r="D89" s="11"/>
      <c r="E89" s="11"/>
      <c r="F89" s="11"/>
      <c r="G89" s="11"/>
      <c r="H89" s="11"/>
      <c r="I89" s="11"/>
      <c r="J89" s="11"/>
      <c r="K89" s="11"/>
      <c r="L89" s="11"/>
      <c r="M89" s="11"/>
      <c r="N89" s="11"/>
      <c r="O89" s="11"/>
      <c r="P89" s="11"/>
      <c r="Q89" s="11"/>
      <c r="R89" s="11"/>
      <c r="S89" s="11"/>
      <c r="T89" s="11"/>
      <c r="U89" s="11"/>
      <c r="V89" s="11"/>
      <c r="W89" s="11"/>
      <c r="X89" s="11"/>
      <c r="Y89" s="11"/>
    </row>
    <row r="90" ht="14.25" customHeight="1">
      <c r="A90" s="1"/>
      <c r="B90" s="11"/>
      <c r="C90" s="11"/>
      <c r="D90" s="11"/>
      <c r="E90" s="11"/>
      <c r="F90" s="11"/>
      <c r="G90" s="11"/>
      <c r="H90" s="11"/>
      <c r="I90" s="11"/>
      <c r="J90" s="11"/>
      <c r="K90" s="11"/>
      <c r="L90" s="11"/>
      <c r="M90" s="11"/>
      <c r="N90" s="11"/>
      <c r="O90" s="11"/>
      <c r="P90" s="11"/>
      <c r="Q90" s="11"/>
      <c r="R90" s="11"/>
      <c r="S90" s="11"/>
      <c r="T90" s="11"/>
      <c r="U90" s="11"/>
      <c r="V90" s="11"/>
      <c r="W90" s="11"/>
      <c r="X90" s="11"/>
      <c r="Y90" s="11"/>
    </row>
    <row r="91" ht="14.25" customHeight="1">
      <c r="A91" s="1"/>
      <c r="B91" s="11"/>
      <c r="C91" s="11"/>
      <c r="D91" s="11"/>
      <c r="E91" s="11"/>
      <c r="F91" s="11"/>
      <c r="G91" s="11"/>
      <c r="H91" s="11"/>
      <c r="I91" s="11"/>
      <c r="J91" s="11"/>
      <c r="K91" s="11"/>
      <c r="L91" s="11"/>
      <c r="M91" s="11"/>
      <c r="N91" s="11"/>
      <c r="O91" s="11"/>
      <c r="P91" s="11"/>
      <c r="Q91" s="11"/>
      <c r="R91" s="11"/>
      <c r="S91" s="11"/>
      <c r="T91" s="11"/>
      <c r="U91" s="11"/>
      <c r="V91" s="11"/>
      <c r="W91" s="11"/>
      <c r="X91" s="11"/>
      <c r="Y91" s="11"/>
    </row>
    <row r="92" ht="14.25" customHeight="1">
      <c r="A92" s="1"/>
      <c r="B92" s="11"/>
      <c r="C92" s="11"/>
      <c r="D92" s="11"/>
      <c r="E92" s="11"/>
      <c r="F92" s="11"/>
      <c r="G92" s="11"/>
      <c r="H92" s="11"/>
      <c r="I92" s="11"/>
      <c r="J92" s="11"/>
      <c r="K92" s="11"/>
      <c r="L92" s="11"/>
      <c r="M92" s="11"/>
      <c r="N92" s="11"/>
      <c r="O92" s="11"/>
      <c r="P92" s="11"/>
      <c r="Q92" s="11"/>
      <c r="R92" s="11"/>
      <c r="S92" s="11"/>
      <c r="T92" s="11"/>
      <c r="U92" s="11"/>
      <c r="V92" s="11"/>
      <c r="W92" s="11"/>
      <c r="X92" s="11"/>
      <c r="Y92" s="11"/>
    </row>
    <row r="93" ht="14.25" customHeight="1">
      <c r="A93" s="1"/>
      <c r="B93" s="11"/>
      <c r="C93" s="11"/>
      <c r="D93" s="11"/>
      <c r="E93" s="11"/>
      <c r="F93" s="11"/>
      <c r="G93" s="11"/>
      <c r="H93" s="11"/>
      <c r="I93" s="11"/>
      <c r="J93" s="11"/>
      <c r="K93" s="11"/>
      <c r="L93" s="11"/>
      <c r="M93" s="11"/>
      <c r="N93" s="11"/>
      <c r="O93" s="11"/>
      <c r="P93" s="11"/>
      <c r="Q93" s="11"/>
      <c r="R93" s="11"/>
      <c r="S93" s="11"/>
      <c r="T93" s="11"/>
      <c r="U93" s="11"/>
      <c r="V93" s="11"/>
      <c r="W93" s="11"/>
      <c r="X93" s="11"/>
      <c r="Y93" s="11"/>
    </row>
    <row r="94" ht="14.25" customHeight="1">
      <c r="A94" s="1"/>
      <c r="B94" s="11"/>
      <c r="C94" s="11"/>
      <c r="D94" s="11"/>
      <c r="E94" s="11"/>
      <c r="F94" s="11"/>
      <c r="G94" s="11"/>
      <c r="H94" s="11"/>
      <c r="I94" s="11"/>
      <c r="J94" s="11"/>
      <c r="K94" s="11"/>
      <c r="L94" s="11"/>
      <c r="M94" s="11"/>
      <c r="N94" s="11"/>
      <c r="O94" s="11"/>
      <c r="P94" s="11"/>
      <c r="Q94" s="11"/>
      <c r="R94" s="11"/>
      <c r="S94" s="11"/>
      <c r="T94" s="11"/>
      <c r="U94" s="11"/>
      <c r="V94" s="11"/>
      <c r="W94" s="11"/>
      <c r="X94" s="11"/>
      <c r="Y94" s="11"/>
    </row>
    <row r="95" ht="14.25" customHeight="1">
      <c r="A95" s="1"/>
      <c r="B95" s="11"/>
      <c r="C95" s="11"/>
      <c r="D95" s="11"/>
      <c r="E95" s="11"/>
      <c r="F95" s="11"/>
      <c r="G95" s="11"/>
      <c r="H95" s="11"/>
      <c r="I95" s="11"/>
      <c r="J95" s="11"/>
      <c r="K95" s="11"/>
      <c r="L95" s="11"/>
      <c r="M95" s="11"/>
      <c r="N95" s="11"/>
      <c r="O95" s="11"/>
      <c r="P95" s="11"/>
      <c r="Q95" s="11"/>
      <c r="R95" s="11"/>
      <c r="S95" s="11"/>
      <c r="T95" s="11"/>
      <c r="U95" s="11"/>
      <c r="V95" s="11"/>
      <c r="W95" s="11"/>
      <c r="X95" s="11"/>
      <c r="Y95" s="11"/>
    </row>
    <row r="96" ht="14.25" customHeight="1">
      <c r="A96" s="1"/>
      <c r="B96" s="11"/>
      <c r="C96" s="11"/>
      <c r="D96" s="11"/>
      <c r="E96" s="11"/>
      <c r="F96" s="11"/>
      <c r="G96" s="11"/>
      <c r="H96" s="11"/>
      <c r="I96" s="11"/>
      <c r="J96" s="11"/>
      <c r="K96" s="11"/>
      <c r="L96" s="11"/>
      <c r="M96" s="11"/>
      <c r="N96" s="11"/>
      <c r="O96" s="11"/>
      <c r="P96" s="11"/>
      <c r="Q96" s="11"/>
      <c r="R96" s="11"/>
      <c r="S96" s="11"/>
      <c r="T96" s="11"/>
      <c r="U96" s="11"/>
      <c r="V96" s="11"/>
      <c r="W96" s="11"/>
      <c r="X96" s="11"/>
      <c r="Y96" s="11"/>
    </row>
    <row r="97" ht="14.25" customHeight="1">
      <c r="A97" s="1"/>
      <c r="B97" s="11"/>
      <c r="C97" s="11"/>
      <c r="D97" s="11"/>
      <c r="E97" s="11"/>
      <c r="F97" s="11"/>
      <c r="G97" s="11"/>
      <c r="H97" s="11"/>
      <c r="I97" s="11"/>
      <c r="J97" s="11"/>
      <c r="K97" s="11"/>
      <c r="L97" s="11"/>
      <c r="M97" s="11"/>
      <c r="N97" s="11"/>
      <c r="O97" s="11"/>
      <c r="P97" s="11"/>
      <c r="Q97" s="11"/>
      <c r="R97" s="11"/>
      <c r="S97" s="11"/>
      <c r="T97" s="11"/>
      <c r="U97" s="11"/>
      <c r="V97" s="11"/>
      <c r="W97" s="11"/>
      <c r="X97" s="11"/>
      <c r="Y97" s="11"/>
    </row>
    <row r="98" ht="14.25" customHeight="1">
      <c r="A98" s="1"/>
      <c r="B98" s="11"/>
      <c r="C98" s="11"/>
      <c r="D98" s="11"/>
      <c r="E98" s="11"/>
      <c r="F98" s="11"/>
      <c r="G98" s="11"/>
      <c r="H98" s="11"/>
      <c r="I98" s="11"/>
      <c r="J98" s="11"/>
      <c r="K98" s="11"/>
      <c r="L98" s="11"/>
      <c r="M98" s="11"/>
      <c r="N98" s="11"/>
      <c r="O98" s="11"/>
      <c r="P98" s="11"/>
      <c r="Q98" s="11"/>
      <c r="R98" s="11"/>
      <c r="S98" s="11"/>
      <c r="T98" s="11"/>
      <c r="U98" s="11"/>
      <c r="V98" s="11"/>
      <c r="W98" s="11"/>
      <c r="X98" s="11"/>
      <c r="Y98" s="11"/>
    </row>
    <row r="99" ht="14.25" customHeight="1">
      <c r="A99" s="1"/>
      <c r="B99" s="11"/>
      <c r="C99" s="11"/>
      <c r="D99" s="11"/>
      <c r="E99" s="11"/>
      <c r="F99" s="11"/>
      <c r="G99" s="11"/>
      <c r="H99" s="11"/>
      <c r="I99" s="11"/>
      <c r="J99" s="11"/>
      <c r="K99" s="11"/>
      <c r="L99" s="11"/>
      <c r="M99" s="11"/>
      <c r="N99" s="11"/>
      <c r="O99" s="11"/>
      <c r="P99" s="11"/>
      <c r="Q99" s="11"/>
      <c r="R99" s="11"/>
      <c r="S99" s="11"/>
      <c r="T99" s="11"/>
      <c r="U99" s="11"/>
      <c r="V99" s="11"/>
      <c r="W99" s="11"/>
      <c r="X99" s="11"/>
      <c r="Y99" s="11"/>
    </row>
    <row r="100" ht="14.25" customHeight="1">
      <c r="A100" s="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ht="14.25" customHeight="1">
      <c r="A101" s="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ht="14.25" customHeight="1">
      <c r="A102" s="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t="14.25" customHeight="1">
      <c r="A103" s="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4.25" customHeight="1">
      <c r="A104" s="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ht="14.25" customHeight="1">
      <c r="A105" s="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t="14.25" customHeight="1">
      <c r="A106" s="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t="14.25" customHeight="1">
      <c r="A107" s="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ht="14.25" customHeight="1">
      <c r="A108" s="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ht="14.25" customHeight="1">
      <c r="A109" s="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t="14.25" customHeight="1">
      <c r="A110" s="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t="14.25" customHeight="1">
      <c r="A111" s="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t="14.25" customHeight="1">
      <c r="A112" s="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4.25" customHeight="1">
      <c r="A113" s="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t="14.25" customHeight="1">
      <c r="A114" s="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t="14.25" customHeight="1">
      <c r="A115" s="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ht="14.25" customHeight="1">
      <c r="A116" s="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ht="14.25" customHeight="1">
      <c r="A117" s="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t="14.25" customHeight="1">
      <c r="A118" s="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t="14.25" customHeight="1">
      <c r="A119" s="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t="14.25" customHeight="1">
      <c r="A120" s="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ht="14.25" customHeight="1">
      <c r="A121" s="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ht="14.25" customHeight="1">
      <c r="A122" s="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ht="14.25" customHeight="1">
      <c r="A123" s="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t="14.25" customHeight="1">
      <c r="A124" s="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t="14.25" customHeight="1">
      <c r="A125" s="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t="14.25" customHeight="1">
      <c r="A126" s="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t="14.25" customHeight="1">
      <c r="A127" s="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t="14.25" customHeight="1">
      <c r="A128" s="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ht="14.25" customHeight="1">
      <c r="A129" s="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t="14.25" customHeight="1">
      <c r="A130" s="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t="14.25" customHeight="1">
      <c r="A131" s="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ht="14.25" customHeight="1">
      <c r="A132" s="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t="14.25" customHeight="1">
      <c r="A133" s="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t="14.25" customHeight="1">
      <c r="A134" s="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t="14.25" customHeight="1">
      <c r="A135" s="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t="14.25" customHeight="1">
      <c r="A136" s="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t="14.25" customHeight="1">
      <c r="A137" s="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ht="14.25" customHeight="1">
      <c r="A138" s="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t="14.25" customHeight="1">
      <c r="A139" s="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ht="14.25" customHeight="1">
      <c r="A140" s="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ht="14.25" customHeight="1">
      <c r="A141" s="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t="14.25" customHeight="1">
      <c r="A142" s="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ht="14.25" customHeight="1">
      <c r="A143" s="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ht="14.25" customHeight="1">
      <c r="A144" s="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t="14.25" customHeight="1">
      <c r="A145" s="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t="14.25" customHeight="1">
      <c r="A146" s="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ht="14.25" customHeight="1">
      <c r="A147" s="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t="14.25" customHeight="1">
      <c r="A148" s="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ht="14.25" customHeight="1">
      <c r="A149" s="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4.25" customHeight="1">
      <c r="A150" s="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4.25" customHeight="1">
      <c r="A151" s="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4.25" customHeight="1">
      <c r="A152" s="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4.25" customHeight="1">
      <c r="A153" s="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4.25" customHeight="1">
      <c r="A154" s="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4.25" customHeight="1">
      <c r="A155" s="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4.25" customHeight="1">
      <c r="A156" s="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4.25" customHeight="1">
      <c r="A157" s="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4.25" customHeight="1">
      <c r="A158" s="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4.25" customHeight="1">
      <c r="A159" s="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4.25" customHeight="1">
      <c r="A160" s="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4.25" customHeight="1">
      <c r="A161" s="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4.25" customHeight="1">
      <c r="A162" s="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4.25" customHeight="1">
      <c r="A163" s="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4.25" customHeight="1">
      <c r="A164" s="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4.25" customHeight="1">
      <c r="A165" s="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4.25" customHeight="1">
      <c r="A166" s="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4.25" customHeight="1">
      <c r="A167" s="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4.25" customHeight="1">
      <c r="A168" s="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4.25" customHeight="1">
      <c r="A169" s="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4.25" customHeight="1">
      <c r="A170" s="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4.25" customHeight="1">
      <c r="A171" s="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4.25" customHeight="1">
      <c r="A172" s="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4.25" customHeight="1">
      <c r="A173" s="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4.25" customHeight="1">
      <c r="A174" s="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4.25" customHeight="1">
      <c r="A175" s="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4.25" customHeight="1">
      <c r="A176" s="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4.25" customHeight="1">
      <c r="A177" s="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4.25" customHeight="1">
      <c r="A178" s="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4.25" customHeight="1">
      <c r="A179" s="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4.25" customHeight="1">
      <c r="A180" s="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4.25" customHeight="1">
      <c r="A181" s="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4.25" customHeight="1">
      <c r="A182" s="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4.25" customHeight="1">
      <c r="A183" s="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4.25" customHeight="1">
      <c r="A184" s="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4.25" customHeight="1">
      <c r="A185" s="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4.25" customHeight="1">
      <c r="A186" s="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4.25" customHeight="1">
      <c r="A187" s="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4.25" customHeight="1">
      <c r="A188" s="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4.25" customHeight="1">
      <c r="A189" s="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4.25" customHeight="1">
      <c r="A190" s="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4.25" customHeight="1">
      <c r="A191" s="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4.25" customHeight="1">
      <c r="A192" s="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4.25" customHeight="1">
      <c r="A193" s="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4.25" customHeight="1">
      <c r="A194" s="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4.25" customHeight="1">
      <c r="A195" s="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4.25" customHeight="1">
      <c r="A196" s="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4.25" customHeight="1">
      <c r="A197" s="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4.25" customHeight="1">
      <c r="A198" s="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4.25" customHeight="1">
      <c r="A199" s="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4.25" customHeight="1">
      <c r="A200" s="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ht="14.25" customHeight="1">
      <c r="A201" s="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ht="14.25" customHeight="1">
      <c r="A202" s="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t="14.25" customHeight="1">
      <c r="A203" s="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t="14.25" customHeight="1">
      <c r="A204" s="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ht="14.25" customHeight="1">
      <c r="A205" s="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ht="14.25" customHeight="1">
      <c r="A206" s="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ht="14.25" customHeight="1">
      <c r="A207" s="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ht="14.25" customHeight="1">
      <c r="A208" s="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t="14.25" customHeight="1">
      <c r="A209" s="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ht="14.25" customHeight="1">
      <c r="A210" s="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t="14.25" customHeight="1">
      <c r="A211" s="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t="14.25" customHeight="1">
      <c r="A212" s="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t="14.25" customHeight="1">
      <c r="A213" s="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ht="14.25" customHeight="1">
      <c r="A214" s="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t="14.25" customHeight="1">
      <c r="A215" s="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ht="14.25" customHeight="1">
      <c r="A216" s="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t="14.25" customHeight="1">
      <c r="A217" s="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ht="14.25" customHeight="1">
      <c r="A218" s="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t="14.25" customHeight="1">
      <c r="A219" s="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ht="14.25" customHeight="1">
      <c r="A220" s="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t="14.25" customHeight="1">
      <c r="A221" s="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ht="14.25" customHeight="1">
      <c r="A222" s="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ht="14.25" customHeight="1">
      <c r="A223" s="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ht="14.25" customHeight="1">
      <c r="A224" s="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ht="14.25" customHeight="1">
      <c r="A225" s="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ht="14.25" customHeight="1">
      <c r="A226" s="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ht="14.25" customHeight="1">
      <c r="A227" s="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ht="14.25" customHeight="1">
      <c r="A228" s="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ht="14.25" customHeight="1">
      <c r="A229" s="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ht="14.25" customHeight="1">
      <c r="A230" s="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ht="14.25" customHeight="1">
      <c r="A231" s="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ht="14.25" customHeight="1">
      <c r="A232" s="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ht="14.25" customHeight="1">
      <c r="A233" s="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ht="14.25" customHeight="1">
      <c r="A234" s="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ht="14.25" customHeight="1">
      <c r="A235" s="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ht="14.25" customHeight="1">
      <c r="A236" s="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ht="14.25" customHeight="1">
      <c r="A237" s="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ht="14.25" customHeight="1">
      <c r="A238" s="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ht="14.25" customHeight="1">
      <c r="A239" s="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ht="14.25" customHeight="1">
      <c r="A240" s="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ht="14.25" customHeight="1">
      <c r="A241" s="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ht="14.25" customHeight="1">
      <c r="A242" s="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ht="14.25" customHeight="1">
      <c r="A243" s="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ht="14.25" customHeight="1">
      <c r="A244" s="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ht="14.25" customHeight="1">
      <c r="A245" s="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ht="14.25" customHeight="1">
      <c r="A246" s="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ht="14.25" customHeight="1">
      <c r="A247" s="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ht="14.25" customHeight="1">
      <c r="A248" s="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ht="14.25" customHeight="1">
      <c r="A249" s="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ht="14.25" customHeight="1">
      <c r="A250" s="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ht="14.25" customHeight="1">
      <c r="A251" s="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ht="14.25" customHeight="1">
      <c r="A252" s="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ht="14.25" customHeight="1">
      <c r="A253" s="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ht="14.25" customHeight="1">
      <c r="A254" s="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ht="14.25" customHeight="1">
      <c r="A255" s="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ht="14.25" customHeight="1">
      <c r="A256" s="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ht="14.25" customHeight="1">
      <c r="A257" s="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ht="14.25" customHeight="1">
      <c r="A258" s="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ht="14.25" customHeight="1">
      <c r="A259" s="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ht="14.25" customHeight="1">
      <c r="A260" s="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ht="14.25" customHeight="1">
      <c r="A261" s="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ht="14.25" customHeight="1">
      <c r="A262" s="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ht="14.25" customHeight="1">
      <c r="A263" s="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ht="14.25" customHeight="1">
      <c r="A264" s="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ht="14.25" customHeight="1">
      <c r="A265" s="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ht="14.25" customHeight="1">
      <c r="A266" s="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C1:M2"/>
    <mergeCell ref="C3:O3"/>
    <mergeCell ref="B4:M4"/>
    <mergeCell ref="E6:H6"/>
    <mergeCell ref="C7:M8"/>
    <mergeCell ref="C9:M9"/>
    <mergeCell ref="C10:M10"/>
    <mergeCell ref="E11:H11"/>
    <mergeCell ref="I11:K11"/>
    <mergeCell ref="C12:M13"/>
    <mergeCell ref="C14:M14"/>
    <mergeCell ref="C15:M15"/>
    <mergeCell ref="C17:M18"/>
    <mergeCell ref="E20:M20"/>
    <mergeCell ref="C22:M23"/>
    <mergeCell ref="E25:M25"/>
    <mergeCell ref="C26:M26"/>
    <mergeCell ref="C32:M34"/>
    <mergeCell ref="E37:M37"/>
    <mergeCell ref="E42:M42"/>
    <mergeCell ref="C43:M44"/>
    <mergeCell ref="C51:D51"/>
    <mergeCell ref="C55:D55"/>
    <mergeCell ref="C61:D61"/>
    <mergeCell ref="C65:D65"/>
    <mergeCell ref="C6:D6"/>
    <mergeCell ref="C11:D11"/>
    <mergeCell ref="C20:D20"/>
    <mergeCell ref="C25:D25"/>
    <mergeCell ref="C37:D37"/>
    <mergeCell ref="C42:D42"/>
    <mergeCell ref="C45:D45"/>
    <mergeCell ref="E61:M61"/>
    <mergeCell ref="C62:M64"/>
    <mergeCell ref="E65:M65"/>
    <mergeCell ref="C66:M67"/>
    <mergeCell ref="E45:M45"/>
    <mergeCell ref="C46:M47"/>
    <mergeCell ref="E51:M51"/>
    <mergeCell ref="C52:M54"/>
    <mergeCell ref="E55:M55"/>
    <mergeCell ref="C56:M57"/>
    <mergeCell ref="C58:M58"/>
  </mergeCells>
  <printOptions horizontalCentered="1"/>
  <pageMargins bottom="0.7480314960629921" footer="0.0" header="0.0" left="0.2362204724409449" right="0.2362204724409449" top="0.7480314960629921"/>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69.86"/>
    <col customWidth="1" min="4" max="6" width="25.71"/>
    <col customWidth="1" min="7" max="7" width="24.43"/>
    <col customWidth="1" min="8" max="8" width="10.43"/>
    <col customWidth="1" min="9" max="9" width="20.43"/>
    <col customWidth="1" min="10" max="17" width="8.71"/>
    <col customWidth="1" min="18" max="18" width="9.29"/>
    <col customWidth="1" hidden="1" min="19" max="46" width="9.29"/>
    <col customWidth="1" min="47" max="52" width="14.43"/>
  </cols>
  <sheetData>
    <row r="1" ht="24.0" customHeight="1">
      <c r="A1" s="30"/>
      <c r="B1" s="30"/>
      <c r="C1" s="31"/>
      <c r="D1" s="32"/>
      <c r="E1" s="32"/>
      <c r="F1" s="32"/>
      <c r="G1" s="32"/>
      <c r="H1" s="33"/>
      <c r="I1" s="33"/>
      <c r="J1" s="34"/>
      <c r="K1" s="34"/>
      <c r="L1" s="34"/>
      <c r="M1" s="30"/>
      <c r="N1" s="30"/>
      <c r="O1" s="30"/>
      <c r="P1" s="30"/>
      <c r="Q1" s="30"/>
      <c r="R1" s="30"/>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0"/>
      <c r="AV1" s="30"/>
      <c r="AW1" s="30"/>
      <c r="AX1" s="30"/>
      <c r="AY1" s="30"/>
      <c r="AZ1" s="30"/>
    </row>
    <row r="2" ht="39.0" customHeight="1">
      <c r="A2" s="36"/>
      <c r="B2" s="30"/>
      <c r="C2" s="37"/>
      <c r="D2" s="38"/>
      <c r="E2" s="38"/>
      <c r="F2" s="38"/>
      <c r="G2" s="38"/>
      <c r="H2" s="39"/>
      <c r="I2" s="39"/>
      <c r="J2" s="40"/>
      <c r="K2" s="40"/>
      <c r="L2" s="40"/>
      <c r="M2" s="30"/>
      <c r="N2" s="30"/>
      <c r="O2" s="30"/>
      <c r="P2" s="30"/>
      <c r="Q2" s="30"/>
      <c r="R2" s="30"/>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0"/>
      <c r="AV2" s="30"/>
      <c r="AW2" s="30"/>
      <c r="AX2" s="30"/>
      <c r="AY2" s="30"/>
      <c r="AZ2" s="30"/>
    </row>
    <row r="3" ht="49.5" customHeight="1">
      <c r="A3" s="30"/>
      <c r="B3" s="30"/>
      <c r="C3" s="30"/>
      <c r="D3" s="30"/>
      <c r="E3" s="30"/>
      <c r="F3" s="30"/>
      <c r="G3" s="30"/>
      <c r="H3" s="35"/>
      <c r="I3" s="35"/>
      <c r="J3" s="30"/>
      <c r="K3" s="30"/>
      <c r="L3" s="30"/>
      <c r="M3" s="30"/>
      <c r="N3" s="30"/>
      <c r="O3" s="30"/>
      <c r="P3" s="30"/>
      <c r="Q3" s="30"/>
      <c r="R3" s="30"/>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0"/>
      <c r="AV3" s="30"/>
      <c r="AW3" s="30"/>
      <c r="AX3" s="30"/>
      <c r="AY3" s="30"/>
      <c r="AZ3" s="30"/>
    </row>
    <row r="4" ht="27.0" customHeight="1">
      <c r="A4" s="30"/>
      <c r="B4" s="41"/>
      <c r="C4" s="42" t="s">
        <v>40</v>
      </c>
      <c r="D4" s="43" t="s">
        <v>41</v>
      </c>
      <c r="E4" s="43" t="s">
        <v>42</v>
      </c>
      <c r="F4" s="43" t="s">
        <v>43</v>
      </c>
      <c r="G4" s="44" t="s">
        <v>44</v>
      </c>
      <c r="H4" s="45"/>
      <c r="I4" s="45"/>
      <c r="J4" s="41"/>
      <c r="K4" s="41"/>
      <c r="L4" s="41"/>
      <c r="M4" s="41"/>
      <c r="N4" s="41"/>
      <c r="O4" s="41"/>
      <c r="P4" s="41"/>
      <c r="Q4" s="41"/>
      <c r="R4" s="41"/>
      <c r="S4" s="45">
        <v>1.0</v>
      </c>
      <c r="T4" s="45">
        <v>1.0</v>
      </c>
      <c r="U4" s="45">
        <v>1.0</v>
      </c>
      <c r="V4" s="45">
        <v>1.0</v>
      </c>
      <c r="W4" s="45">
        <v>2.0</v>
      </c>
      <c r="X4" s="45">
        <v>2.0</v>
      </c>
      <c r="Y4" s="45">
        <v>2.0</v>
      </c>
      <c r="Z4" s="45">
        <v>2.0</v>
      </c>
      <c r="AA4" s="45">
        <v>2.0</v>
      </c>
      <c r="AB4" s="45">
        <v>2.0</v>
      </c>
      <c r="AC4" s="45">
        <v>2.0</v>
      </c>
      <c r="AD4" s="45">
        <v>2.0</v>
      </c>
      <c r="AE4" s="45">
        <v>2.0</v>
      </c>
      <c r="AF4" s="45">
        <v>2.0</v>
      </c>
      <c r="AG4" s="45">
        <v>2.0</v>
      </c>
      <c r="AH4" s="45">
        <v>2.0</v>
      </c>
      <c r="AI4" s="45">
        <v>3.0</v>
      </c>
      <c r="AJ4" s="45">
        <v>3.0</v>
      </c>
      <c r="AK4" s="45">
        <v>3.0</v>
      </c>
      <c r="AL4" s="45">
        <v>3.0</v>
      </c>
      <c r="AM4" s="45">
        <v>3.0</v>
      </c>
      <c r="AN4" s="45">
        <v>3.0</v>
      </c>
      <c r="AO4" s="45">
        <v>3.0</v>
      </c>
      <c r="AP4" s="45">
        <v>3.0</v>
      </c>
      <c r="AQ4" s="45">
        <v>3.0</v>
      </c>
      <c r="AR4" s="45">
        <v>3.0</v>
      </c>
      <c r="AS4" s="45">
        <v>3.0</v>
      </c>
      <c r="AT4" s="45">
        <v>3.0</v>
      </c>
      <c r="AU4" s="30"/>
      <c r="AV4" s="30"/>
      <c r="AW4" s="30"/>
      <c r="AX4" s="30"/>
      <c r="AY4" s="30"/>
      <c r="AZ4" s="30"/>
    </row>
    <row r="5" ht="29.25" customHeight="1">
      <c r="A5" s="30"/>
      <c r="B5" s="30"/>
      <c r="C5" s="46" t="s">
        <v>45</v>
      </c>
      <c r="D5" s="47" t="s">
        <v>46</v>
      </c>
      <c r="E5" s="48" t="s">
        <v>47</v>
      </c>
      <c r="F5" s="49" t="s">
        <v>48</v>
      </c>
      <c r="G5" s="49" t="s">
        <v>49</v>
      </c>
      <c r="H5" s="35" t="s">
        <v>41</v>
      </c>
      <c r="I5" s="35"/>
      <c r="J5" s="30"/>
      <c r="K5" s="30"/>
      <c r="L5" s="30"/>
      <c r="M5" s="30"/>
      <c r="N5" s="30"/>
      <c r="O5" s="30"/>
      <c r="P5" s="30"/>
      <c r="Q5" s="30"/>
      <c r="R5" s="30"/>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0"/>
      <c r="AV5" s="30"/>
      <c r="AW5" s="30"/>
      <c r="AX5" s="30"/>
      <c r="AY5" s="30"/>
      <c r="AZ5" s="30"/>
    </row>
    <row r="6" ht="20.25" customHeight="1">
      <c r="A6" s="30"/>
      <c r="B6" s="30"/>
      <c r="C6" s="50"/>
      <c r="D6" s="51"/>
      <c r="E6" s="51"/>
      <c r="F6" s="52"/>
      <c r="G6" s="53" t="str">
        <f t="shared" ref="G6:G11" si="1">IF(ISERROR(VLOOKUP(D6,$I$6:$J$10,2,FALSE)*VLOOKUP(E6,$I$14:$J$18,2,FALSE)*VLOOKUP(F6,$I$22:$J$26,2,FALSE)),"",VLOOKUP(D6,$I$6:$J$10,2,FALSE)*VLOOKUP(E6,$I$14:$J$18,2,FALSE)*VLOOKUP(F6,$I$22:$J$26,2,FALSE))</f>
        <v/>
      </c>
      <c r="H6" s="35"/>
      <c r="I6" s="35" t="s">
        <v>50</v>
      </c>
      <c r="J6" s="54">
        <v>1.0</v>
      </c>
      <c r="K6" s="35"/>
      <c r="L6" s="35">
        <v>2.0E-4</v>
      </c>
      <c r="M6" s="55" t="str">
        <f t="shared" ref="M6:M30" si="2">IF(G6="","",G6+L6)</f>
        <v/>
      </c>
      <c r="N6" s="56" t="str">
        <f t="shared" ref="N6:N28" si="3">IF(C6=0,"",C6)</f>
        <v/>
      </c>
      <c r="O6" s="55" t="str">
        <f t="shared" ref="O6:O29" si="4">G6</f>
        <v/>
      </c>
      <c r="P6" s="30"/>
      <c r="Q6" s="30"/>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0"/>
      <c r="AU6" s="30"/>
      <c r="AV6" s="30"/>
      <c r="AW6" s="30"/>
      <c r="AX6" s="30"/>
      <c r="AY6" s="30"/>
    </row>
    <row r="7" ht="20.25" customHeight="1">
      <c r="A7" s="30"/>
      <c r="B7" s="30"/>
      <c r="C7" s="50"/>
      <c r="D7" s="51"/>
      <c r="E7" s="51"/>
      <c r="F7" s="52"/>
      <c r="G7" s="53" t="str">
        <f t="shared" si="1"/>
        <v/>
      </c>
      <c r="H7" s="57"/>
      <c r="I7" s="35" t="s">
        <v>51</v>
      </c>
      <c r="J7" s="54">
        <v>2.0</v>
      </c>
      <c r="K7" s="35"/>
      <c r="L7" s="35">
        <v>1.8E-4</v>
      </c>
      <c r="M7" s="55" t="str">
        <f t="shared" si="2"/>
        <v/>
      </c>
      <c r="N7" s="56" t="str">
        <f t="shared" si="3"/>
        <v/>
      </c>
      <c r="O7" s="55" t="str">
        <f t="shared" si="4"/>
        <v/>
      </c>
      <c r="P7" s="58"/>
      <c r="Q7" s="30"/>
      <c r="R7" s="30"/>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0"/>
      <c r="AV7" s="30"/>
      <c r="AW7" s="30"/>
      <c r="AX7" s="30"/>
      <c r="AY7" s="30"/>
      <c r="AZ7" s="30"/>
    </row>
    <row r="8" ht="20.25" customHeight="1">
      <c r="A8" s="30"/>
      <c r="B8" s="30"/>
      <c r="C8" s="50"/>
      <c r="D8" s="51"/>
      <c r="E8" s="51"/>
      <c r="F8" s="52"/>
      <c r="G8" s="53" t="str">
        <f t="shared" si="1"/>
        <v/>
      </c>
      <c r="H8" s="35"/>
      <c r="I8" s="35" t="s">
        <v>52</v>
      </c>
      <c r="J8" s="54">
        <v>3.0</v>
      </c>
      <c r="K8" s="35"/>
      <c r="L8" s="35">
        <v>1.7E-4</v>
      </c>
      <c r="M8" s="55" t="str">
        <f t="shared" si="2"/>
        <v/>
      </c>
      <c r="N8" s="56" t="str">
        <f t="shared" si="3"/>
        <v/>
      </c>
      <c r="O8" s="55" t="str">
        <f t="shared" si="4"/>
        <v/>
      </c>
      <c r="P8" s="58"/>
      <c r="Q8" s="30"/>
      <c r="R8" s="30"/>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0"/>
      <c r="AV8" s="30"/>
      <c r="AW8" s="30"/>
      <c r="AX8" s="30"/>
      <c r="AY8" s="30"/>
      <c r="AZ8" s="30"/>
    </row>
    <row r="9" ht="20.25" customHeight="1">
      <c r="A9" s="30"/>
      <c r="B9" s="30"/>
      <c r="C9" s="50"/>
      <c r="D9" s="51"/>
      <c r="E9" s="51"/>
      <c r="F9" s="52"/>
      <c r="G9" s="53" t="str">
        <f t="shared" si="1"/>
        <v/>
      </c>
      <c r="H9" s="35"/>
      <c r="I9" s="35" t="s">
        <v>53</v>
      </c>
      <c r="J9" s="54">
        <v>4.0</v>
      </c>
      <c r="K9" s="35"/>
      <c r="L9" s="35">
        <v>1.6E-4</v>
      </c>
      <c r="M9" s="55" t="str">
        <f t="shared" si="2"/>
        <v/>
      </c>
      <c r="N9" s="35" t="str">
        <f t="shared" si="3"/>
        <v/>
      </c>
      <c r="O9" s="55" t="str">
        <f t="shared" si="4"/>
        <v/>
      </c>
      <c r="P9" s="58"/>
      <c r="Q9" s="30"/>
      <c r="R9" s="30"/>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0"/>
      <c r="AV9" s="30"/>
      <c r="AW9" s="30"/>
      <c r="AX9" s="30"/>
      <c r="AY9" s="30"/>
      <c r="AZ9" s="30"/>
    </row>
    <row r="10" ht="20.25" customHeight="1">
      <c r="A10" s="30"/>
      <c r="B10" s="30"/>
      <c r="C10" s="50"/>
      <c r="D10" s="51"/>
      <c r="E10" s="51"/>
      <c r="F10" s="52"/>
      <c r="G10" s="53" t="str">
        <f t="shared" si="1"/>
        <v/>
      </c>
      <c r="H10" s="35"/>
      <c r="I10" s="35" t="s">
        <v>54</v>
      </c>
      <c r="J10" s="54">
        <v>5.0</v>
      </c>
      <c r="K10" s="35"/>
      <c r="L10" s="35">
        <v>1.5E-4</v>
      </c>
      <c r="M10" s="55" t="str">
        <f t="shared" si="2"/>
        <v/>
      </c>
      <c r="N10" s="35" t="str">
        <f t="shared" si="3"/>
        <v/>
      </c>
      <c r="O10" s="55" t="str">
        <f t="shared" si="4"/>
        <v/>
      </c>
      <c r="P10" s="58"/>
      <c r="Q10" s="30"/>
      <c r="R10" s="30"/>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0"/>
      <c r="AV10" s="30"/>
      <c r="AW10" s="30"/>
      <c r="AX10" s="30"/>
      <c r="AY10" s="30"/>
      <c r="AZ10" s="30"/>
    </row>
    <row r="11" ht="20.25" customHeight="1">
      <c r="A11" s="30"/>
      <c r="B11" s="30"/>
      <c r="C11" s="50"/>
      <c r="D11" s="51"/>
      <c r="E11" s="51"/>
      <c r="F11" s="52"/>
      <c r="G11" s="53" t="str">
        <f t="shared" si="1"/>
        <v/>
      </c>
      <c r="H11" s="35"/>
      <c r="I11" s="35"/>
      <c r="J11" s="35"/>
      <c r="K11" s="35"/>
      <c r="L11" s="35">
        <v>1.4E-4</v>
      </c>
      <c r="M11" s="55" t="str">
        <f t="shared" si="2"/>
        <v/>
      </c>
      <c r="N11" s="35" t="str">
        <f t="shared" si="3"/>
        <v/>
      </c>
      <c r="O11" s="55" t="str">
        <f t="shared" si="4"/>
        <v/>
      </c>
      <c r="P11" s="58"/>
      <c r="Q11" s="30"/>
      <c r="R11" s="30"/>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0"/>
      <c r="AV11" s="30"/>
      <c r="AW11" s="30"/>
      <c r="AX11" s="30"/>
      <c r="AY11" s="30"/>
      <c r="AZ11" s="30"/>
    </row>
    <row r="12" ht="20.25" customHeight="1">
      <c r="A12" s="30"/>
      <c r="B12" s="30"/>
      <c r="C12" s="50"/>
      <c r="D12" s="51"/>
      <c r="E12" s="51"/>
      <c r="F12" s="52"/>
      <c r="G12" s="53"/>
      <c r="H12" s="35"/>
      <c r="I12" s="35" t="s">
        <v>42</v>
      </c>
      <c r="J12" s="35"/>
      <c r="K12" s="35"/>
      <c r="L12" s="35">
        <v>1.3E-4</v>
      </c>
      <c r="M12" s="55" t="str">
        <f t="shared" si="2"/>
        <v/>
      </c>
      <c r="N12" s="35" t="str">
        <f t="shared" si="3"/>
        <v/>
      </c>
      <c r="O12" s="55" t="str">
        <f t="shared" si="4"/>
        <v/>
      </c>
      <c r="P12" s="58"/>
      <c r="Q12" s="30"/>
      <c r="R12" s="30"/>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0"/>
      <c r="AV12" s="30"/>
      <c r="AW12" s="30"/>
      <c r="AX12" s="30"/>
      <c r="AY12" s="30"/>
      <c r="AZ12" s="30"/>
    </row>
    <row r="13" ht="20.25" customHeight="1">
      <c r="A13" s="59"/>
      <c r="B13" s="30"/>
      <c r="C13" s="50"/>
      <c r="D13" s="51"/>
      <c r="E13" s="51"/>
      <c r="F13" s="52"/>
      <c r="G13" s="53"/>
      <c r="H13" s="35"/>
      <c r="I13" s="54"/>
      <c r="J13" s="35"/>
      <c r="K13" s="35"/>
      <c r="L13" s="35">
        <v>1.2E-4</v>
      </c>
      <c r="M13" s="55" t="str">
        <f t="shared" si="2"/>
        <v/>
      </c>
      <c r="N13" s="35" t="str">
        <f t="shared" si="3"/>
        <v/>
      </c>
      <c r="O13" s="55" t="str">
        <f t="shared" si="4"/>
        <v/>
      </c>
      <c r="P13" s="58"/>
      <c r="Q13" s="30"/>
      <c r="R13" s="30"/>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0"/>
      <c r="AV13" s="30"/>
      <c r="AW13" s="30"/>
      <c r="AX13" s="30"/>
      <c r="AY13" s="30"/>
      <c r="AZ13" s="30"/>
    </row>
    <row r="14" ht="20.25" customHeight="1">
      <c r="A14" s="59"/>
      <c r="B14" s="30"/>
      <c r="C14" s="50"/>
      <c r="D14" s="51"/>
      <c r="E14" s="51"/>
      <c r="F14" s="52"/>
      <c r="G14" s="53"/>
      <c r="H14" s="35"/>
      <c r="I14" s="35" t="s">
        <v>55</v>
      </c>
      <c r="J14" s="54">
        <v>5.0</v>
      </c>
      <c r="K14" s="35"/>
      <c r="L14" s="35">
        <v>1.1E-4</v>
      </c>
      <c r="M14" s="55" t="str">
        <f t="shared" si="2"/>
        <v/>
      </c>
      <c r="N14" s="35" t="str">
        <f t="shared" si="3"/>
        <v/>
      </c>
      <c r="O14" s="55" t="str">
        <f t="shared" si="4"/>
        <v/>
      </c>
      <c r="P14" s="58"/>
      <c r="Q14" s="30"/>
      <c r="R14" s="30"/>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0"/>
      <c r="AV14" s="30"/>
      <c r="AW14" s="30"/>
      <c r="AX14" s="30"/>
      <c r="AY14" s="30"/>
      <c r="AZ14" s="30"/>
    </row>
    <row r="15" ht="20.25" customHeight="1">
      <c r="A15" s="30"/>
      <c r="B15" s="30"/>
      <c r="C15" s="50"/>
      <c r="D15" s="51"/>
      <c r="E15" s="51"/>
      <c r="F15" s="52"/>
      <c r="G15" s="53"/>
      <c r="H15" s="35"/>
      <c r="I15" s="35" t="s">
        <v>56</v>
      </c>
      <c r="J15" s="54">
        <v>4.0</v>
      </c>
      <c r="K15" s="35"/>
      <c r="L15" s="35">
        <v>1.0E-4</v>
      </c>
      <c r="M15" s="55" t="str">
        <f t="shared" si="2"/>
        <v/>
      </c>
      <c r="N15" s="35" t="str">
        <f t="shared" si="3"/>
        <v/>
      </c>
      <c r="O15" s="55" t="str">
        <f t="shared" si="4"/>
        <v/>
      </c>
      <c r="P15" s="58"/>
      <c r="Q15" s="30"/>
      <c r="R15" s="30"/>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0"/>
      <c r="AV15" s="30"/>
      <c r="AW15" s="30"/>
      <c r="AX15" s="30"/>
      <c r="AY15" s="30"/>
      <c r="AZ15" s="30"/>
    </row>
    <row r="16" ht="20.25" customHeight="1">
      <c r="A16" s="30"/>
      <c r="B16" s="30"/>
      <c r="C16" s="50"/>
      <c r="D16" s="51"/>
      <c r="E16" s="51"/>
      <c r="F16" s="52"/>
      <c r="G16" s="53"/>
      <c r="H16" s="35"/>
      <c r="I16" s="35" t="s">
        <v>57</v>
      </c>
      <c r="J16" s="54">
        <v>3.0</v>
      </c>
      <c r="K16" s="35"/>
      <c r="L16" s="35">
        <v>9.0E-5</v>
      </c>
      <c r="M16" s="55" t="str">
        <f t="shared" si="2"/>
        <v/>
      </c>
      <c r="N16" s="35" t="str">
        <f t="shared" si="3"/>
        <v/>
      </c>
      <c r="O16" s="55" t="str">
        <f t="shared" si="4"/>
        <v/>
      </c>
      <c r="P16" s="58"/>
      <c r="Q16" s="30"/>
      <c r="R16" s="30"/>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0"/>
      <c r="AV16" s="30"/>
      <c r="AW16" s="30"/>
      <c r="AX16" s="30"/>
      <c r="AY16" s="30"/>
      <c r="AZ16" s="30"/>
    </row>
    <row r="17" ht="20.25" customHeight="1">
      <c r="A17" s="30"/>
      <c r="B17" s="30"/>
      <c r="C17" s="50"/>
      <c r="D17" s="51"/>
      <c r="E17" s="51"/>
      <c r="F17" s="52"/>
      <c r="G17" s="53"/>
      <c r="H17" s="35"/>
      <c r="I17" s="35" t="s">
        <v>58</v>
      </c>
      <c r="J17" s="54">
        <v>2.0</v>
      </c>
      <c r="K17" s="35"/>
      <c r="L17" s="35">
        <v>8.0E-5</v>
      </c>
      <c r="M17" s="55" t="str">
        <f t="shared" si="2"/>
        <v/>
      </c>
      <c r="N17" s="35" t="str">
        <f t="shared" si="3"/>
        <v/>
      </c>
      <c r="O17" s="55" t="str">
        <f t="shared" si="4"/>
        <v/>
      </c>
      <c r="P17" s="58"/>
      <c r="Q17" s="30"/>
      <c r="R17" s="30"/>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0"/>
      <c r="AV17" s="30"/>
      <c r="AW17" s="30"/>
      <c r="AX17" s="30"/>
      <c r="AY17" s="30"/>
      <c r="AZ17" s="30"/>
    </row>
    <row r="18" ht="20.25" customHeight="1">
      <c r="A18" s="30"/>
      <c r="B18" s="30"/>
      <c r="C18" s="50"/>
      <c r="D18" s="51"/>
      <c r="E18" s="51"/>
      <c r="F18" s="52"/>
      <c r="G18" s="53"/>
      <c r="H18" s="35"/>
      <c r="I18" s="35" t="s">
        <v>59</v>
      </c>
      <c r="J18" s="54">
        <v>1.0</v>
      </c>
      <c r="K18" s="35"/>
      <c r="L18" s="35">
        <v>7.0E-5</v>
      </c>
      <c r="M18" s="55" t="str">
        <f t="shared" si="2"/>
        <v/>
      </c>
      <c r="N18" s="35" t="str">
        <f t="shared" si="3"/>
        <v/>
      </c>
      <c r="O18" s="55" t="str">
        <f t="shared" si="4"/>
        <v/>
      </c>
      <c r="P18" s="58"/>
      <c r="Q18" s="30"/>
      <c r="R18" s="30"/>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0"/>
      <c r="AV18" s="30"/>
      <c r="AW18" s="30"/>
      <c r="AX18" s="30"/>
      <c r="AY18" s="30"/>
      <c r="AZ18" s="30"/>
    </row>
    <row r="19" ht="20.25" customHeight="1">
      <c r="A19" s="30"/>
      <c r="B19" s="30"/>
      <c r="C19" s="50"/>
      <c r="D19" s="51"/>
      <c r="E19" s="51"/>
      <c r="F19" s="52"/>
      <c r="G19" s="53"/>
      <c r="H19" s="35"/>
      <c r="I19" s="35"/>
      <c r="J19" s="35"/>
      <c r="K19" s="35"/>
      <c r="L19" s="35">
        <v>6.0E-5</v>
      </c>
      <c r="M19" s="55" t="str">
        <f t="shared" si="2"/>
        <v/>
      </c>
      <c r="N19" s="35" t="str">
        <f t="shared" si="3"/>
        <v/>
      </c>
      <c r="O19" s="55" t="str">
        <f t="shared" si="4"/>
        <v/>
      </c>
      <c r="P19" s="58"/>
      <c r="Q19" s="30"/>
      <c r="R19" s="30"/>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0"/>
      <c r="AV19" s="30"/>
      <c r="AW19" s="30"/>
      <c r="AX19" s="30"/>
      <c r="AY19" s="30"/>
      <c r="AZ19" s="30"/>
    </row>
    <row r="20" ht="20.25" customHeight="1">
      <c r="A20" s="30"/>
      <c r="B20" s="30"/>
      <c r="C20" s="50"/>
      <c r="D20" s="51"/>
      <c r="E20" s="51"/>
      <c r="F20" s="52"/>
      <c r="G20" s="53"/>
      <c r="H20" s="35"/>
      <c r="I20" s="35" t="s">
        <v>43</v>
      </c>
      <c r="J20" s="35"/>
      <c r="K20" s="35"/>
      <c r="L20" s="35">
        <v>5.0E-5</v>
      </c>
      <c r="M20" s="55" t="str">
        <f t="shared" si="2"/>
        <v/>
      </c>
      <c r="N20" s="35" t="str">
        <f t="shared" si="3"/>
        <v/>
      </c>
      <c r="O20" s="55" t="str">
        <f t="shared" si="4"/>
        <v/>
      </c>
      <c r="P20" s="58"/>
      <c r="Q20" s="30"/>
      <c r="R20" s="30"/>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0"/>
      <c r="AV20" s="30"/>
      <c r="AW20" s="30"/>
      <c r="AX20" s="30"/>
      <c r="AY20" s="30"/>
      <c r="AZ20" s="30"/>
    </row>
    <row r="21" ht="20.25" customHeight="1">
      <c r="A21" s="30"/>
      <c r="B21" s="30"/>
      <c r="C21" s="50"/>
      <c r="D21" s="51"/>
      <c r="E21" s="51"/>
      <c r="F21" s="52"/>
      <c r="G21" s="53" t="str">
        <f t="shared" ref="G21:G24" si="5">IF(ISERROR(VLOOKUP(D21,$I$6:$J$10,2,FALSE)*VLOOKUP(E21,$I$14:$J$18,2,FALSE)*VLOOKUP(F21,$I$22:$J$26,2,FALSE)),"",VLOOKUP(D21,$I$6:$J$10,2,FALSE)*VLOOKUP(E21,$I$14:$J$18,2,FALSE)*VLOOKUP(F21,$I$22:$J$26,2,FALSE))</f>
        <v/>
      </c>
      <c r="H21" s="35"/>
      <c r="I21" s="54"/>
      <c r="J21" s="35"/>
      <c r="K21" s="35"/>
      <c r="L21" s="35">
        <v>4.0E-5</v>
      </c>
      <c r="M21" s="55" t="str">
        <f t="shared" si="2"/>
        <v/>
      </c>
      <c r="N21" s="35" t="str">
        <f t="shared" si="3"/>
        <v/>
      </c>
      <c r="O21" s="55" t="str">
        <f t="shared" si="4"/>
        <v/>
      </c>
      <c r="P21" s="58"/>
      <c r="Q21" s="30"/>
      <c r="R21" s="30"/>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0"/>
      <c r="AV21" s="30"/>
      <c r="AW21" s="30"/>
      <c r="AX21" s="30"/>
      <c r="AY21" s="30"/>
      <c r="AZ21" s="30"/>
    </row>
    <row r="22" ht="20.25" customHeight="1">
      <c r="A22" s="59"/>
      <c r="B22" s="30"/>
      <c r="C22" s="50"/>
      <c r="D22" s="51"/>
      <c r="E22" s="51"/>
      <c r="F22" s="52"/>
      <c r="G22" s="53" t="str">
        <f t="shared" si="5"/>
        <v/>
      </c>
      <c r="H22" s="35"/>
      <c r="I22" s="35" t="s">
        <v>60</v>
      </c>
      <c r="J22" s="54">
        <v>5.0</v>
      </c>
      <c r="K22" s="35"/>
      <c r="L22" s="35">
        <v>3.0E-5</v>
      </c>
      <c r="M22" s="55" t="str">
        <f t="shared" si="2"/>
        <v/>
      </c>
      <c r="N22" s="35" t="str">
        <f t="shared" si="3"/>
        <v/>
      </c>
      <c r="O22" s="55" t="str">
        <f t="shared" si="4"/>
        <v/>
      </c>
      <c r="P22" s="58"/>
      <c r="Q22" s="30"/>
      <c r="R22" s="30"/>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0"/>
      <c r="AV22" s="30"/>
      <c r="AW22" s="30"/>
      <c r="AX22" s="30"/>
      <c r="AY22" s="30"/>
      <c r="AZ22" s="30"/>
    </row>
    <row r="23" ht="20.25" customHeight="1">
      <c r="A23" s="59"/>
      <c r="B23" s="30"/>
      <c r="C23" s="50"/>
      <c r="D23" s="51"/>
      <c r="E23" s="51"/>
      <c r="F23" s="52"/>
      <c r="G23" s="53" t="str">
        <f t="shared" si="5"/>
        <v/>
      </c>
      <c r="H23" s="35"/>
      <c r="I23" s="35" t="s">
        <v>61</v>
      </c>
      <c r="J23" s="54">
        <v>4.0</v>
      </c>
      <c r="K23" s="35"/>
      <c r="L23" s="35">
        <v>2.0E-5</v>
      </c>
      <c r="M23" s="55" t="str">
        <f t="shared" si="2"/>
        <v/>
      </c>
      <c r="N23" s="35" t="str">
        <f t="shared" si="3"/>
        <v/>
      </c>
      <c r="O23" s="55" t="str">
        <f t="shared" si="4"/>
        <v/>
      </c>
      <c r="P23" s="58"/>
      <c r="Q23" s="30"/>
      <c r="R23" s="30"/>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0"/>
      <c r="AV23" s="30"/>
      <c r="AW23" s="30"/>
      <c r="AX23" s="30"/>
      <c r="AY23" s="30"/>
      <c r="AZ23" s="30"/>
    </row>
    <row r="24" ht="20.25" customHeight="1">
      <c r="A24" s="30"/>
      <c r="B24" s="30"/>
      <c r="C24" s="50"/>
      <c r="D24" s="51"/>
      <c r="E24" s="51"/>
      <c r="F24" s="52"/>
      <c r="G24" s="53" t="str">
        <f t="shared" si="5"/>
        <v/>
      </c>
      <c r="H24" s="35"/>
      <c r="I24" s="35" t="s">
        <v>62</v>
      </c>
      <c r="J24" s="54">
        <v>3.0</v>
      </c>
      <c r="K24" s="35"/>
      <c r="L24" s="35">
        <v>1.0E-5</v>
      </c>
      <c r="M24" s="55" t="str">
        <f t="shared" si="2"/>
        <v/>
      </c>
      <c r="N24" s="35" t="str">
        <f t="shared" si="3"/>
        <v/>
      </c>
      <c r="O24" s="55" t="str">
        <f t="shared" si="4"/>
        <v/>
      </c>
      <c r="P24" s="58"/>
      <c r="Q24" s="30"/>
      <c r="R24" s="30"/>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0"/>
      <c r="AV24" s="30"/>
      <c r="AW24" s="30"/>
      <c r="AX24" s="30"/>
      <c r="AY24" s="30"/>
      <c r="AZ24" s="30"/>
    </row>
    <row r="25" ht="20.25" customHeight="1">
      <c r="A25" s="30"/>
      <c r="B25" s="30"/>
      <c r="C25" s="60" t="s">
        <v>63</v>
      </c>
      <c r="D25" s="61"/>
      <c r="E25" s="61"/>
      <c r="F25" s="62" t="s">
        <v>64</v>
      </c>
      <c r="G25" s="63">
        <f>SUM(G6:G24)</f>
        <v>0</v>
      </c>
      <c r="H25" s="35"/>
      <c r="I25" s="35" t="s">
        <v>65</v>
      </c>
      <c r="J25" s="54">
        <v>2.0</v>
      </c>
      <c r="K25" s="35"/>
      <c r="L25" s="35"/>
      <c r="M25" s="55">
        <f t="shared" si="2"/>
        <v>0</v>
      </c>
      <c r="N25" s="35" t="str">
        <f t="shared" si="3"/>
        <v>Pontuação geral das suas Forças</v>
      </c>
      <c r="O25" s="55">
        <f t="shared" si="4"/>
        <v>0</v>
      </c>
      <c r="P25" s="58"/>
      <c r="Q25" s="30"/>
      <c r="R25" s="30"/>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0"/>
      <c r="AV25" s="30"/>
      <c r="AW25" s="30"/>
      <c r="AX25" s="30"/>
      <c r="AY25" s="30"/>
      <c r="AZ25" s="30"/>
    </row>
    <row r="26" ht="20.25" customHeight="1">
      <c r="A26" s="30"/>
      <c r="B26" s="30"/>
      <c r="C26" s="64"/>
      <c r="H26" s="35"/>
      <c r="I26" s="35" t="s">
        <v>66</v>
      </c>
      <c r="J26" s="54">
        <v>1.0</v>
      </c>
      <c r="K26" s="35"/>
      <c r="L26" s="35"/>
      <c r="M26" s="55" t="str">
        <f t="shared" si="2"/>
        <v/>
      </c>
      <c r="N26" s="35" t="str">
        <f t="shared" si="3"/>
        <v/>
      </c>
      <c r="O26" s="55" t="str">
        <f t="shared" si="4"/>
        <v/>
      </c>
      <c r="P26" s="58"/>
      <c r="Q26" s="30"/>
      <c r="R26" s="30"/>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0"/>
      <c r="AV26" s="30"/>
      <c r="AW26" s="30"/>
      <c r="AX26" s="30"/>
      <c r="AY26" s="30"/>
      <c r="AZ26" s="30"/>
    </row>
    <row r="27" ht="20.25" customHeight="1">
      <c r="A27" s="30"/>
      <c r="B27" s="30"/>
      <c r="C27" s="64"/>
      <c r="H27" s="35"/>
      <c r="I27" s="35"/>
      <c r="J27" s="30"/>
      <c r="K27" s="35"/>
      <c r="L27" s="35"/>
      <c r="M27" s="55" t="str">
        <f t="shared" si="2"/>
        <v/>
      </c>
      <c r="N27" s="35" t="str">
        <f t="shared" si="3"/>
        <v/>
      </c>
      <c r="O27" s="55" t="str">
        <f t="shared" si="4"/>
        <v/>
      </c>
      <c r="P27" s="58"/>
      <c r="Q27" s="30"/>
      <c r="R27" s="30"/>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0"/>
      <c r="AV27" s="30"/>
      <c r="AW27" s="30"/>
      <c r="AX27" s="30"/>
      <c r="AY27" s="30"/>
      <c r="AZ27" s="30"/>
    </row>
    <row r="28" ht="20.25" customHeight="1">
      <c r="A28" s="30"/>
      <c r="B28" s="30"/>
      <c r="C28" s="64"/>
      <c r="H28" s="35"/>
      <c r="I28" s="35"/>
      <c r="J28" s="30"/>
      <c r="K28" s="30"/>
      <c r="L28" s="30"/>
      <c r="M28" s="55" t="str">
        <f t="shared" si="2"/>
        <v/>
      </c>
      <c r="N28" s="35" t="str">
        <f t="shared" si="3"/>
        <v/>
      </c>
      <c r="O28" s="55" t="str">
        <f t="shared" si="4"/>
        <v/>
      </c>
      <c r="P28" s="58"/>
      <c r="Q28" s="30"/>
      <c r="R28" s="30"/>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0"/>
      <c r="AV28" s="30"/>
      <c r="AW28" s="30"/>
      <c r="AX28" s="30"/>
      <c r="AY28" s="30"/>
      <c r="AZ28" s="30"/>
    </row>
    <row r="29" ht="20.25" customHeight="1">
      <c r="A29" s="30"/>
      <c r="B29" s="30"/>
      <c r="C29" s="64"/>
      <c r="H29" s="35"/>
      <c r="I29" s="35"/>
      <c r="J29" s="30"/>
      <c r="K29" s="30"/>
      <c r="L29" s="30"/>
      <c r="M29" s="55" t="str">
        <f t="shared" si="2"/>
        <v/>
      </c>
      <c r="N29" s="30"/>
      <c r="O29" s="55" t="str">
        <f t="shared" si="4"/>
        <v/>
      </c>
      <c r="P29" s="58"/>
      <c r="Q29" s="30"/>
      <c r="R29" s="30"/>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0"/>
      <c r="AV29" s="30"/>
      <c r="AW29" s="30"/>
      <c r="AX29" s="30"/>
      <c r="AY29" s="30"/>
      <c r="AZ29" s="30"/>
    </row>
    <row r="30" ht="20.25" customHeight="1">
      <c r="A30" s="30"/>
      <c r="B30" s="30"/>
      <c r="C30" s="64"/>
      <c r="H30" s="35"/>
      <c r="I30" s="35"/>
      <c r="J30" s="30"/>
      <c r="K30" s="30"/>
      <c r="L30" s="30"/>
      <c r="M30" s="55" t="str">
        <f t="shared" si="2"/>
        <v/>
      </c>
      <c r="N30" s="30"/>
      <c r="O30" s="65"/>
      <c r="P30" s="58"/>
      <c r="Q30" s="30"/>
      <c r="R30" s="30"/>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0"/>
      <c r="AV30" s="30"/>
      <c r="AW30" s="30"/>
      <c r="AX30" s="30"/>
      <c r="AY30" s="30"/>
      <c r="AZ30" s="30"/>
    </row>
    <row r="31" ht="20.25" customHeight="1">
      <c r="A31" s="30"/>
      <c r="B31" s="30"/>
      <c r="C31" s="64"/>
      <c r="H31" s="35"/>
      <c r="I31" s="35"/>
      <c r="J31" s="30"/>
      <c r="K31" s="30"/>
      <c r="L31" s="30"/>
      <c r="M31" s="30"/>
      <c r="N31" s="30"/>
      <c r="O31" s="65"/>
      <c r="P31" s="58"/>
      <c r="Q31" s="30"/>
      <c r="R31" s="30"/>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0"/>
      <c r="AV31" s="30"/>
      <c r="AW31" s="30"/>
      <c r="AX31" s="30"/>
      <c r="AY31" s="30"/>
      <c r="AZ31" s="30"/>
    </row>
    <row r="32" ht="20.25" customHeight="1">
      <c r="A32" s="30"/>
      <c r="B32" s="30"/>
      <c r="C32" s="64"/>
      <c r="H32" s="35"/>
      <c r="I32" s="35"/>
      <c r="J32" s="30"/>
      <c r="K32" s="30"/>
      <c r="L32" s="30"/>
      <c r="M32" s="30"/>
      <c r="N32" s="30"/>
      <c r="O32" s="65"/>
      <c r="P32" s="58"/>
      <c r="Q32" s="30"/>
      <c r="R32" s="30"/>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0"/>
      <c r="AV32" s="30"/>
      <c r="AW32" s="30"/>
      <c r="AX32" s="30"/>
      <c r="AY32" s="30"/>
      <c r="AZ32" s="30"/>
    </row>
    <row r="33" ht="20.25" customHeight="1">
      <c r="A33" s="30"/>
      <c r="B33" s="30"/>
      <c r="C33" s="64"/>
      <c r="H33" s="35"/>
      <c r="I33" s="35"/>
      <c r="J33" s="30"/>
      <c r="K33" s="30"/>
      <c r="L33" s="30"/>
      <c r="M33" s="30"/>
      <c r="N33" s="30"/>
      <c r="O33" s="65"/>
      <c r="P33" s="58"/>
      <c r="Q33" s="30"/>
      <c r="R33" s="30"/>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0"/>
      <c r="AV33" s="30"/>
      <c r="AW33" s="30"/>
      <c r="AX33" s="30"/>
      <c r="AY33" s="30"/>
      <c r="AZ33" s="30"/>
    </row>
    <row r="34" ht="20.25" customHeight="1">
      <c r="A34" s="30"/>
      <c r="B34" s="30"/>
      <c r="C34" s="64"/>
      <c r="H34" s="35"/>
      <c r="I34" s="35"/>
      <c r="J34" s="30"/>
      <c r="K34" s="30"/>
      <c r="L34" s="30"/>
      <c r="M34" s="30"/>
      <c r="N34" s="30"/>
      <c r="O34" s="65"/>
      <c r="P34" s="58"/>
      <c r="Q34" s="30"/>
      <c r="R34" s="30"/>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0"/>
      <c r="AV34" s="30"/>
      <c r="AW34" s="30"/>
      <c r="AX34" s="30"/>
      <c r="AY34" s="30"/>
      <c r="AZ34" s="30"/>
    </row>
    <row r="35" ht="20.25" customHeight="1">
      <c r="A35" s="30"/>
      <c r="B35" s="30"/>
      <c r="C35" s="64"/>
      <c r="H35" s="35"/>
      <c r="I35" s="35"/>
      <c r="J35" s="30"/>
      <c r="K35" s="30"/>
      <c r="L35" s="30"/>
      <c r="M35" s="30"/>
      <c r="N35" s="30"/>
      <c r="O35" s="65"/>
      <c r="P35" s="58"/>
      <c r="Q35" s="30"/>
      <c r="R35" s="30"/>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0"/>
      <c r="AV35" s="30"/>
      <c r="AW35" s="30"/>
      <c r="AX35" s="30"/>
      <c r="AY35" s="30"/>
      <c r="AZ35" s="30"/>
    </row>
    <row r="36" ht="20.25" customHeight="1">
      <c r="A36" s="30"/>
      <c r="B36" s="30"/>
      <c r="C36" s="64"/>
      <c r="H36" s="35"/>
      <c r="I36" s="35"/>
      <c r="J36" s="30"/>
      <c r="K36" s="30"/>
      <c r="L36" s="30"/>
      <c r="M36" s="30"/>
      <c r="N36" s="30"/>
      <c r="O36" s="65"/>
      <c r="P36" s="58"/>
      <c r="Q36" s="30"/>
      <c r="R36" s="30"/>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0"/>
      <c r="AV36" s="30"/>
      <c r="AW36" s="30"/>
      <c r="AX36" s="30"/>
      <c r="AY36" s="30"/>
      <c r="AZ36" s="30"/>
    </row>
    <row r="37" ht="20.25" customHeight="1">
      <c r="A37" s="30"/>
      <c r="B37" s="30"/>
      <c r="C37" s="64"/>
      <c r="H37" s="35"/>
      <c r="I37" s="35"/>
      <c r="J37" s="30"/>
      <c r="K37" s="30"/>
      <c r="L37" s="30"/>
      <c r="M37" s="30"/>
      <c r="N37" s="30"/>
      <c r="O37" s="65"/>
      <c r="P37" s="58"/>
      <c r="Q37" s="30"/>
      <c r="R37" s="30"/>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0"/>
      <c r="AV37" s="30"/>
      <c r="AW37" s="30"/>
      <c r="AX37" s="30"/>
      <c r="AY37" s="30"/>
      <c r="AZ37" s="30"/>
    </row>
    <row r="38" ht="20.25" customHeight="1">
      <c r="A38" s="30"/>
      <c r="B38" s="30"/>
      <c r="C38" s="64"/>
      <c r="H38" s="35"/>
      <c r="I38" s="35"/>
      <c r="J38" s="30"/>
      <c r="K38" s="30"/>
      <c r="L38" s="30"/>
      <c r="M38" s="30"/>
      <c r="N38" s="30"/>
      <c r="O38" s="65"/>
      <c r="P38" s="58"/>
      <c r="Q38" s="30"/>
      <c r="R38" s="30"/>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0"/>
      <c r="AV38" s="30"/>
      <c r="AW38" s="30"/>
      <c r="AX38" s="30"/>
      <c r="AY38" s="30"/>
      <c r="AZ38" s="30"/>
    </row>
    <row r="39" ht="20.25" customHeight="1">
      <c r="A39" s="30"/>
      <c r="B39" s="30"/>
      <c r="C39" s="64"/>
      <c r="H39" s="35"/>
      <c r="I39" s="35"/>
      <c r="J39" s="30"/>
      <c r="K39" s="30"/>
      <c r="L39" s="30"/>
      <c r="M39" s="30"/>
      <c r="N39" s="30"/>
      <c r="O39" s="65"/>
      <c r="P39" s="58"/>
      <c r="Q39" s="30"/>
      <c r="R39" s="30"/>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0"/>
      <c r="AV39" s="30"/>
      <c r="AW39" s="30"/>
      <c r="AX39" s="30"/>
      <c r="AY39" s="30"/>
      <c r="AZ39" s="30"/>
    </row>
    <row r="40" ht="20.25" customHeight="1">
      <c r="A40" s="30"/>
      <c r="B40" s="30"/>
      <c r="C40" s="64"/>
      <c r="H40" s="35"/>
      <c r="I40" s="35"/>
      <c r="J40" s="30"/>
      <c r="K40" s="30"/>
      <c r="L40" s="30"/>
      <c r="M40" s="30"/>
      <c r="N40" s="30"/>
      <c r="O40" s="65"/>
      <c r="P40" s="58"/>
      <c r="Q40" s="30"/>
      <c r="R40" s="30"/>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0"/>
      <c r="AV40" s="30"/>
      <c r="AW40" s="30"/>
      <c r="AX40" s="30"/>
      <c r="AY40" s="30"/>
      <c r="AZ40" s="30"/>
    </row>
    <row r="41" ht="20.25" customHeight="1">
      <c r="A41" s="30"/>
      <c r="B41" s="30"/>
      <c r="C41" s="64"/>
      <c r="H41" s="35"/>
      <c r="I41" s="35"/>
      <c r="J41" s="30"/>
      <c r="K41" s="30"/>
      <c r="L41" s="30"/>
      <c r="M41" s="30"/>
      <c r="N41" s="30"/>
      <c r="O41" s="65"/>
      <c r="P41" s="58"/>
      <c r="Q41" s="30"/>
      <c r="R41" s="30"/>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0"/>
      <c r="AV41" s="30"/>
      <c r="AW41" s="30"/>
      <c r="AX41" s="30"/>
      <c r="AY41" s="30"/>
      <c r="AZ41" s="30"/>
    </row>
    <row r="42" ht="20.25" customHeight="1">
      <c r="A42" s="30"/>
      <c r="B42" s="30"/>
      <c r="C42" s="64"/>
      <c r="H42" s="35"/>
      <c r="I42" s="35"/>
      <c r="J42" s="30"/>
      <c r="K42" s="30"/>
      <c r="L42" s="30"/>
      <c r="M42" s="30"/>
      <c r="N42" s="30"/>
      <c r="O42" s="65"/>
      <c r="P42" s="58"/>
      <c r="Q42" s="30"/>
      <c r="R42" s="30"/>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0"/>
      <c r="AV42" s="30"/>
      <c r="AW42" s="30"/>
      <c r="AX42" s="30"/>
      <c r="AY42" s="30"/>
      <c r="AZ42" s="30"/>
    </row>
    <row r="43" ht="20.25" customHeight="1">
      <c r="A43" s="30"/>
      <c r="B43" s="30"/>
      <c r="C43" s="64"/>
      <c r="H43" s="35"/>
      <c r="I43" s="35"/>
      <c r="J43" s="30"/>
      <c r="K43" s="30"/>
      <c r="L43" s="30"/>
      <c r="M43" s="30"/>
      <c r="N43" s="30"/>
      <c r="O43" s="65"/>
      <c r="P43" s="58"/>
      <c r="Q43" s="30"/>
      <c r="R43" s="30"/>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0"/>
      <c r="AV43" s="30"/>
      <c r="AW43" s="30"/>
      <c r="AX43" s="30"/>
      <c r="AY43" s="30"/>
      <c r="AZ43" s="30"/>
    </row>
    <row r="44" ht="20.25" customHeight="1">
      <c r="A44" s="30"/>
      <c r="B44" s="30"/>
      <c r="C44" s="64"/>
      <c r="H44" s="35"/>
      <c r="I44" s="35"/>
      <c r="J44" s="30"/>
      <c r="K44" s="30"/>
      <c r="L44" s="30"/>
      <c r="M44" s="30"/>
      <c r="N44" s="30"/>
      <c r="O44" s="65"/>
      <c r="P44" s="58"/>
      <c r="Q44" s="30"/>
      <c r="R44" s="30"/>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0"/>
      <c r="AV44" s="30"/>
      <c r="AW44" s="30"/>
      <c r="AX44" s="30"/>
      <c r="AY44" s="30"/>
      <c r="AZ44" s="30"/>
    </row>
    <row r="45" ht="20.25" customHeight="1">
      <c r="A45" s="30"/>
      <c r="B45" s="30"/>
      <c r="C45" s="64"/>
      <c r="H45" s="35"/>
      <c r="I45" s="35"/>
      <c r="J45" s="30"/>
      <c r="K45" s="30"/>
      <c r="L45" s="30"/>
      <c r="M45" s="30"/>
      <c r="N45" s="58"/>
      <c r="O45" s="30"/>
      <c r="P45" s="30"/>
      <c r="Q45" s="30"/>
      <c r="R45" s="30"/>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0"/>
      <c r="AV45" s="30"/>
      <c r="AW45" s="30"/>
      <c r="AX45" s="30"/>
      <c r="AY45" s="30"/>
      <c r="AZ45" s="30"/>
    </row>
    <row r="46" ht="20.25" customHeight="1">
      <c r="A46" s="30"/>
      <c r="B46" s="30"/>
      <c r="C46" s="64"/>
      <c r="H46" s="35"/>
      <c r="I46" s="35"/>
      <c r="J46" s="30"/>
      <c r="K46" s="30"/>
      <c r="L46" s="30"/>
      <c r="M46" s="30"/>
      <c r="N46" s="58"/>
      <c r="O46" s="30"/>
      <c r="P46" s="30"/>
      <c r="Q46" s="30"/>
      <c r="R46" s="30"/>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0"/>
      <c r="AV46" s="30"/>
      <c r="AW46" s="30"/>
      <c r="AX46" s="30"/>
      <c r="AY46" s="30"/>
      <c r="AZ46" s="30"/>
    </row>
    <row r="47" ht="20.25" customHeight="1">
      <c r="A47" s="30"/>
      <c r="B47" s="30"/>
      <c r="C47" s="64"/>
      <c r="H47" s="35"/>
      <c r="I47" s="35"/>
      <c r="J47" s="30"/>
      <c r="K47" s="30"/>
      <c r="L47" s="30"/>
      <c r="M47" s="30"/>
      <c r="N47" s="58"/>
      <c r="O47" s="30"/>
      <c r="P47" s="30"/>
      <c r="Q47" s="30"/>
      <c r="R47" s="30"/>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0"/>
      <c r="AV47" s="30"/>
      <c r="AW47" s="30"/>
      <c r="AX47" s="30"/>
      <c r="AY47" s="30"/>
      <c r="AZ47" s="30"/>
    </row>
    <row r="48" ht="20.25" customHeight="1">
      <c r="A48" s="30"/>
      <c r="B48" s="30"/>
      <c r="C48" s="64"/>
      <c r="D48" s="66"/>
      <c r="E48" s="66"/>
      <c r="H48" s="35"/>
      <c r="I48" s="35"/>
      <c r="J48" s="30"/>
      <c r="K48" s="30"/>
      <c r="L48" s="30"/>
      <c r="M48" s="30"/>
      <c r="N48" s="58"/>
      <c r="O48" s="30"/>
      <c r="P48" s="30"/>
      <c r="Q48" s="30"/>
      <c r="R48" s="30"/>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0"/>
      <c r="AV48" s="30"/>
      <c r="AW48" s="30"/>
      <c r="AX48" s="30"/>
      <c r="AY48" s="30"/>
      <c r="AZ48" s="30"/>
    </row>
    <row r="49" ht="20.25" customHeight="1">
      <c r="A49" s="30"/>
      <c r="B49" s="30"/>
      <c r="C49" s="64"/>
      <c r="D49" s="66"/>
      <c r="E49" s="66"/>
      <c r="H49" s="35"/>
      <c r="I49" s="35"/>
      <c r="J49" s="30"/>
      <c r="K49" s="30"/>
      <c r="L49" s="30"/>
      <c r="M49" s="30"/>
      <c r="N49" s="58"/>
      <c r="O49" s="30"/>
      <c r="P49" s="30"/>
      <c r="Q49" s="30"/>
      <c r="R49" s="30"/>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0"/>
      <c r="AV49" s="30"/>
      <c r="AW49" s="30"/>
      <c r="AX49" s="30"/>
      <c r="AY49" s="30"/>
      <c r="AZ49" s="30"/>
    </row>
    <row r="50" ht="20.25" customHeight="1">
      <c r="A50" s="30"/>
      <c r="B50" s="30"/>
      <c r="C50" s="64"/>
      <c r="D50" s="66"/>
      <c r="E50" s="66"/>
      <c r="H50" s="35"/>
      <c r="I50" s="35"/>
      <c r="J50" s="30"/>
      <c r="K50" s="30"/>
      <c r="L50" s="30"/>
      <c r="M50" s="30"/>
      <c r="N50" s="58"/>
      <c r="O50" s="30"/>
      <c r="P50" s="30"/>
      <c r="Q50" s="30"/>
      <c r="R50" s="30"/>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0"/>
      <c r="AV50" s="30"/>
      <c r="AW50" s="30"/>
      <c r="AX50" s="30"/>
      <c r="AY50" s="30"/>
      <c r="AZ50" s="30"/>
    </row>
    <row r="51" ht="20.25" customHeight="1">
      <c r="A51" s="30"/>
      <c r="B51" s="30"/>
      <c r="C51" s="64"/>
      <c r="D51" s="66"/>
      <c r="E51" s="66"/>
      <c r="H51" s="35"/>
      <c r="I51" s="35"/>
      <c r="J51" s="30"/>
      <c r="K51" s="30"/>
      <c r="L51" s="30"/>
      <c r="M51" s="30"/>
      <c r="N51" s="58"/>
      <c r="O51" s="30"/>
      <c r="P51" s="30"/>
      <c r="Q51" s="30"/>
      <c r="R51" s="30"/>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0"/>
      <c r="AV51" s="30"/>
      <c r="AW51" s="30"/>
      <c r="AX51" s="30"/>
      <c r="AY51" s="30"/>
      <c r="AZ51" s="30"/>
    </row>
    <row r="52" ht="20.25" customHeight="1">
      <c r="A52" s="30"/>
      <c r="B52" s="30"/>
      <c r="C52" s="64"/>
      <c r="D52" s="66"/>
      <c r="E52" s="66"/>
      <c r="H52" s="35"/>
      <c r="I52" s="35"/>
      <c r="J52" s="30"/>
      <c r="K52" s="30"/>
      <c r="L52" s="30"/>
      <c r="M52" s="30"/>
      <c r="N52" s="58"/>
      <c r="O52" s="30"/>
      <c r="P52" s="30"/>
      <c r="Q52" s="30"/>
      <c r="R52" s="30"/>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0"/>
      <c r="AV52" s="30"/>
      <c r="AW52" s="30"/>
      <c r="AX52" s="30"/>
      <c r="AY52" s="30"/>
      <c r="AZ52" s="30"/>
    </row>
    <row r="53" ht="20.25" customHeight="1">
      <c r="A53" s="30"/>
      <c r="B53" s="30"/>
      <c r="C53" s="64"/>
      <c r="D53" s="66"/>
      <c r="E53" s="66"/>
      <c r="H53" s="35"/>
      <c r="I53" s="35"/>
      <c r="J53" s="30"/>
      <c r="K53" s="30"/>
      <c r="L53" s="30"/>
      <c r="M53" s="30"/>
      <c r="N53" s="58"/>
      <c r="O53" s="30"/>
      <c r="P53" s="30"/>
      <c r="Q53" s="30"/>
      <c r="R53" s="30"/>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0"/>
      <c r="AV53" s="30"/>
      <c r="AW53" s="30"/>
      <c r="AX53" s="30"/>
      <c r="AY53" s="30"/>
      <c r="AZ53" s="30"/>
    </row>
    <row r="54" ht="20.25" customHeight="1">
      <c r="A54" s="59"/>
      <c r="B54" s="30"/>
      <c r="C54" s="64"/>
      <c r="D54" s="66"/>
      <c r="E54" s="66"/>
      <c r="H54" s="35"/>
      <c r="I54" s="35"/>
      <c r="J54" s="30"/>
      <c r="K54" s="30"/>
      <c r="L54" s="30"/>
      <c r="M54" s="30"/>
      <c r="N54" s="58"/>
      <c r="O54" s="30"/>
      <c r="P54" s="30"/>
      <c r="Q54" s="30"/>
      <c r="R54" s="30"/>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0"/>
      <c r="AV54" s="30"/>
      <c r="AW54" s="30"/>
      <c r="AX54" s="30"/>
      <c r="AY54" s="30"/>
      <c r="AZ54" s="30"/>
    </row>
    <row r="55" ht="20.25" customHeight="1">
      <c r="A55" s="59"/>
      <c r="B55" s="30"/>
      <c r="C55" s="64"/>
      <c r="D55" s="66"/>
      <c r="E55" s="66"/>
      <c r="H55" s="35"/>
      <c r="I55" s="35"/>
      <c r="J55" s="30"/>
      <c r="K55" s="30"/>
      <c r="L55" s="30"/>
      <c r="M55" s="30"/>
      <c r="N55" s="58"/>
      <c r="O55" s="30"/>
      <c r="P55" s="30"/>
      <c r="Q55" s="30"/>
      <c r="R55" s="30"/>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0"/>
      <c r="AV55" s="30"/>
      <c r="AW55" s="30"/>
      <c r="AX55" s="30"/>
      <c r="AY55" s="30"/>
      <c r="AZ55" s="30"/>
    </row>
    <row r="56" ht="20.25" customHeight="1">
      <c r="A56" s="59"/>
      <c r="B56" s="30"/>
      <c r="C56" s="64"/>
      <c r="D56" s="66"/>
      <c r="E56" s="66"/>
      <c r="H56" s="35"/>
      <c r="I56" s="35"/>
      <c r="J56" s="30"/>
      <c r="K56" s="30"/>
      <c r="L56" s="30"/>
      <c r="M56" s="30"/>
      <c r="N56" s="58"/>
      <c r="O56" s="30"/>
      <c r="P56" s="30"/>
      <c r="Q56" s="30"/>
      <c r="R56" s="30"/>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0"/>
      <c r="AV56" s="30"/>
      <c r="AW56" s="30"/>
      <c r="AX56" s="30"/>
      <c r="AY56" s="30"/>
      <c r="AZ56" s="30"/>
    </row>
    <row r="57" ht="20.25" customHeight="1">
      <c r="A57" s="30"/>
      <c r="B57" s="30"/>
      <c r="C57" s="64"/>
      <c r="D57" s="66"/>
      <c r="E57" s="66"/>
      <c r="H57" s="35"/>
      <c r="I57" s="35"/>
      <c r="J57" s="30"/>
      <c r="K57" s="30"/>
      <c r="L57" s="30"/>
      <c r="M57" s="30"/>
      <c r="N57" s="58"/>
      <c r="O57" s="30"/>
      <c r="P57" s="30"/>
      <c r="Q57" s="30"/>
      <c r="R57" s="30"/>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0"/>
      <c r="AV57" s="30"/>
      <c r="AW57" s="30"/>
      <c r="AX57" s="30"/>
      <c r="AY57" s="30"/>
      <c r="AZ57" s="30"/>
    </row>
    <row r="58" ht="20.25" customHeight="1">
      <c r="A58" s="30"/>
      <c r="B58" s="30"/>
      <c r="C58" s="64"/>
      <c r="D58" s="66"/>
      <c r="E58" s="66"/>
      <c r="H58" s="35"/>
      <c r="I58" s="35"/>
      <c r="J58" s="30"/>
      <c r="K58" s="30"/>
      <c r="L58" s="30"/>
      <c r="M58" s="30"/>
      <c r="N58" s="58"/>
      <c r="O58" s="30"/>
      <c r="P58" s="30"/>
      <c r="Q58" s="30"/>
      <c r="R58" s="30"/>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0"/>
      <c r="AV58" s="30"/>
      <c r="AW58" s="30"/>
      <c r="AX58" s="30"/>
      <c r="AY58" s="30"/>
      <c r="AZ58" s="30"/>
    </row>
    <row r="59" ht="20.25" customHeight="1">
      <c r="A59" s="30"/>
      <c r="B59" s="30"/>
      <c r="C59" s="64"/>
      <c r="D59" s="66"/>
      <c r="E59" s="66"/>
      <c r="H59" s="35"/>
      <c r="I59" s="35"/>
      <c r="J59" s="30"/>
      <c r="K59" s="30"/>
      <c r="L59" s="30"/>
      <c r="M59" s="30"/>
      <c r="N59" s="58"/>
      <c r="O59" s="30"/>
      <c r="P59" s="30"/>
      <c r="Q59" s="30"/>
      <c r="R59" s="30"/>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0"/>
      <c r="AV59" s="30"/>
      <c r="AW59" s="30"/>
      <c r="AX59" s="30"/>
      <c r="AY59" s="30"/>
      <c r="AZ59" s="30"/>
    </row>
    <row r="60" ht="20.25" customHeight="1">
      <c r="A60" s="30"/>
      <c r="B60" s="30"/>
      <c r="C60" s="64"/>
      <c r="D60" s="66"/>
      <c r="E60" s="66"/>
      <c r="H60" s="35"/>
      <c r="I60" s="35"/>
      <c r="J60" s="30"/>
      <c r="K60" s="30"/>
      <c r="L60" s="30"/>
      <c r="M60" s="30"/>
      <c r="N60" s="58"/>
      <c r="O60" s="30"/>
      <c r="P60" s="30"/>
      <c r="Q60" s="30"/>
      <c r="R60" s="30"/>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0"/>
      <c r="AV60" s="30"/>
      <c r="AW60" s="30"/>
      <c r="AX60" s="30"/>
      <c r="AY60" s="30"/>
      <c r="AZ60" s="30"/>
    </row>
    <row r="61" ht="20.25" customHeight="1">
      <c r="A61" s="30"/>
      <c r="B61" s="30"/>
      <c r="C61" s="64"/>
      <c r="D61" s="66"/>
      <c r="E61" s="66"/>
      <c r="H61" s="35"/>
      <c r="I61" s="35"/>
      <c r="J61" s="30"/>
      <c r="K61" s="30"/>
      <c r="L61" s="30"/>
      <c r="M61" s="30"/>
      <c r="N61" s="58"/>
      <c r="O61" s="30"/>
      <c r="P61" s="30"/>
      <c r="Q61" s="30"/>
      <c r="R61" s="30"/>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0"/>
      <c r="AV61" s="30"/>
      <c r="AW61" s="30"/>
      <c r="AX61" s="30"/>
      <c r="AY61" s="30"/>
      <c r="AZ61" s="30"/>
    </row>
    <row r="62" ht="20.25" customHeight="1">
      <c r="A62" s="30"/>
      <c r="B62" s="30"/>
      <c r="C62" s="64"/>
      <c r="D62" s="66"/>
      <c r="E62" s="66"/>
      <c r="H62" s="35"/>
      <c r="I62" s="35"/>
      <c r="J62" s="30"/>
      <c r="K62" s="30"/>
      <c r="L62" s="30"/>
      <c r="M62" s="30"/>
      <c r="N62" s="58"/>
      <c r="O62" s="30"/>
      <c r="P62" s="30"/>
      <c r="Q62" s="30"/>
      <c r="R62" s="30"/>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0"/>
      <c r="AV62" s="30"/>
      <c r="AW62" s="30"/>
      <c r="AX62" s="30"/>
      <c r="AY62" s="30"/>
      <c r="AZ62" s="30"/>
    </row>
    <row r="63" ht="20.25" customHeight="1">
      <c r="A63" s="30"/>
      <c r="B63" s="30"/>
      <c r="C63" s="64"/>
      <c r="D63" s="66"/>
      <c r="E63" s="66"/>
      <c r="H63" s="35"/>
      <c r="I63" s="35"/>
      <c r="J63" s="30"/>
      <c r="K63" s="30"/>
      <c r="L63" s="30"/>
      <c r="M63" s="30"/>
      <c r="N63" s="58"/>
      <c r="O63" s="30"/>
      <c r="P63" s="30"/>
      <c r="Q63" s="30"/>
      <c r="R63" s="30"/>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0"/>
      <c r="AV63" s="30"/>
      <c r="AW63" s="30"/>
      <c r="AX63" s="30"/>
      <c r="AY63" s="30"/>
      <c r="AZ63" s="30"/>
    </row>
    <row r="64" ht="20.25" customHeight="1">
      <c r="A64" s="30"/>
      <c r="B64" s="30"/>
      <c r="C64" s="64"/>
      <c r="D64" s="66"/>
      <c r="E64" s="66"/>
      <c r="H64" s="35"/>
      <c r="I64" s="35"/>
      <c r="J64" s="30"/>
      <c r="K64" s="30"/>
      <c r="L64" s="30"/>
      <c r="M64" s="30"/>
      <c r="N64" s="30"/>
      <c r="O64" s="30"/>
      <c r="P64" s="30"/>
      <c r="Q64" s="30"/>
      <c r="R64" s="30"/>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0"/>
      <c r="AV64" s="30"/>
      <c r="AW64" s="30"/>
      <c r="AX64" s="30"/>
      <c r="AY64" s="30"/>
      <c r="AZ64" s="30"/>
    </row>
    <row r="65" ht="20.25" customHeight="1">
      <c r="A65" s="30"/>
      <c r="B65" s="30"/>
      <c r="C65" s="64"/>
      <c r="D65" s="66"/>
      <c r="E65" s="66"/>
      <c r="H65" s="35"/>
      <c r="I65" s="35"/>
      <c r="J65" s="30"/>
      <c r="K65" s="30"/>
      <c r="L65" s="30"/>
      <c r="M65" s="30"/>
      <c r="N65" s="30"/>
      <c r="O65" s="30"/>
      <c r="P65" s="30"/>
      <c r="Q65" s="30"/>
      <c r="R65" s="30"/>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0"/>
      <c r="AV65" s="30"/>
      <c r="AW65" s="30"/>
      <c r="AX65" s="30"/>
      <c r="AY65" s="30"/>
      <c r="AZ65" s="30"/>
    </row>
    <row r="66" ht="20.25" customHeight="1">
      <c r="A66" s="30"/>
      <c r="B66" s="30"/>
      <c r="C66" s="64"/>
      <c r="D66" s="66"/>
      <c r="E66" s="66"/>
      <c r="H66" s="35"/>
      <c r="I66" s="35"/>
      <c r="J66" s="30"/>
      <c r="K66" s="30"/>
      <c r="L66" s="30"/>
      <c r="M66" s="30"/>
      <c r="N66" s="30"/>
      <c r="O66" s="30"/>
      <c r="P66" s="30"/>
      <c r="Q66" s="30"/>
      <c r="R66" s="30"/>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0"/>
      <c r="AV66" s="30"/>
      <c r="AW66" s="30"/>
      <c r="AX66" s="30"/>
      <c r="AY66" s="30"/>
      <c r="AZ66" s="30"/>
    </row>
    <row r="67" ht="20.25" customHeight="1">
      <c r="A67" s="30"/>
      <c r="B67" s="30"/>
      <c r="C67" s="64"/>
      <c r="D67" s="66"/>
      <c r="E67" s="66"/>
      <c r="H67" s="35"/>
      <c r="I67" s="35"/>
      <c r="J67" s="30"/>
      <c r="K67" s="30"/>
      <c r="L67" s="30"/>
      <c r="M67" s="30"/>
      <c r="N67" s="30"/>
      <c r="O67" s="30"/>
      <c r="P67" s="30"/>
      <c r="Q67" s="30"/>
      <c r="R67" s="30"/>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0"/>
      <c r="AV67" s="30"/>
      <c r="AW67" s="30"/>
      <c r="AX67" s="30"/>
      <c r="AY67" s="30"/>
      <c r="AZ67" s="30"/>
    </row>
    <row r="68" ht="20.25" customHeight="1">
      <c r="A68" s="30"/>
      <c r="B68" s="30"/>
      <c r="C68" s="64"/>
      <c r="D68" s="66"/>
      <c r="E68" s="66"/>
      <c r="H68" s="35"/>
      <c r="I68" s="35"/>
      <c r="J68" s="30"/>
      <c r="K68" s="30"/>
      <c r="L68" s="30"/>
      <c r="M68" s="30"/>
      <c r="N68" s="30"/>
      <c r="O68" s="30"/>
      <c r="P68" s="30"/>
      <c r="Q68" s="30"/>
      <c r="R68" s="30"/>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0"/>
      <c r="AV68" s="30"/>
      <c r="AW68" s="30"/>
      <c r="AX68" s="30"/>
      <c r="AY68" s="30"/>
      <c r="AZ68" s="30"/>
    </row>
    <row r="69" ht="20.25" customHeight="1">
      <c r="A69" s="30"/>
      <c r="B69" s="30"/>
      <c r="C69" s="64"/>
      <c r="D69" s="66"/>
      <c r="E69" s="66"/>
      <c r="H69" s="35"/>
      <c r="I69" s="35"/>
      <c r="J69" s="30"/>
      <c r="K69" s="30"/>
      <c r="L69" s="30"/>
      <c r="M69" s="30"/>
      <c r="N69" s="30"/>
      <c r="O69" s="30"/>
      <c r="P69" s="30"/>
      <c r="Q69" s="30"/>
      <c r="R69" s="30"/>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0"/>
      <c r="AV69" s="30"/>
      <c r="AW69" s="30"/>
      <c r="AX69" s="30"/>
      <c r="AY69" s="30"/>
      <c r="AZ69" s="30"/>
    </row>
    <row r="70" ht="20.25" customHeight="1">
      <c r="A70" s="30"/>
      <c r="B70" s="30"/>
      <c r="C70" s="64"/>
      <c r="D70" s="66"/>
      <c r="E70" s="66"/>
      <c r="H70" s="35"/>
      <c r="I70" s="35"/>
      <c r="J70" s="30"/>
      <c r="K70" s="30"/>
      <c r="L70" s="30"/>
      <c r="M70" s="30"/>
      <c r="N70" s="30"/>
      <c r="O70" s="30"/>
      <c r="P70" s="30"/>
      <c r="Q70" s="30"/>
      <c r="R70" s="30"/>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0"/>
      <c r="AV70" s="30"/>
      <c r="AW70" s="30"/>
      <c r="AX70" s="30"/>
      <c r="AY70" s="30"/>
      <c r="AZ70" s="30"/>
    </row>
    <row r="71" ht="20.25" customHeight="1">
      <c r="A71" s="30"/>
      <c r="B71" s="30"/>
      <c r="C71" s="64"/>
      <c r="D71" s="66"/>
      <c r="E71" s="66"/>
      <c r="H71" s="35"/>
      <c r="I71" s="35"/>
      <c r="J71" s="30"/>
      <c r="K71" s="30"/>
      <c r="L71" s="30"/>
      <c r="M71" s="30"/>
      <c r="N71" s="30"/>
      <c r="O71" s="30"/>
      <c r="P71" s="30"/>
      <c r="Q71" s="30"/>
      <c r="R71" s="30"/>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0"/>
      <c r="AV71" s="30"/>
      <c r="AW71" s="30"/>
      <c r="AX71" s="30"/>
      <c r="AY71" s="30"/>
      <c r="AZ71" s="30"/>
    </row>
    <row r="72" ht="20.25" customHeight="1">
      <c r="A72" s="30"/>
      <c r="B72" s="30"/>
      <c r="C72" s="64"/>
      <c r="D72" s="66"/>
      <c r="E72" s="66"/>
      <c r="H72" s="35"/>
      <c r="I72" s="35"/>
      <c r="J72" s="30"/>
      <c r="K72" s="30"/>
      <c r="L72" s="30"/>
      <c r="M72" s="30"/>
      <c r="N72" s="30"/>
      <c r="O72" s="30"/>
      <c r="P72" s="30"/>
      <c r="Q72" s="30"/>
      <c r="R72" s="30"/>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0"/>
      <c r="AV72" s="30"/>
      <c r="AW72" s="30"/>
      <c r="AX72" s="30"/>
      <c r="AY72" s="30"/>
      <c r="AZ72" s="30"/>
    </row>
    <row r="73" ht="20.25" customHeight="1">
      <c r="A73" s="30"/>
      <c r="B73" s="30"/>
      <c r="C73" s="64"/>
      <c r="D73" s="66"/>
      <c r="E73" s="66"/>
      <c r="H73" s="35"/>
      <c r="I73" s="35"/>
      <c r="J73" s="30"/>
      <c r="K73" s="30"/>
      <c r="L73" s="30"/>
      <c r="M73" s="30"/>
      <c r="N73" s="30"/>
      <c r="O73" s="30"/>
      <c r="P73" s="30"/>
      <c r="Q73" s="30"/>
      <c r="R73" s="30"/>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0"/>
      <c r="AV73" s="30"/>
      <c r="AW73" s="30"/>
      <c r="AX73" s="30"/>
      <c r="AY73" s="30"/>
      <c r="AZ73" s="30"/>
    </row>
    <row r="74" ht="20.25" customHeight="1">
      <c r="A74" s="30"/>
      <c r="B74" s="30"/>
      <c r="C74" s="64"/>
      <c r="D74" s="66"/>
      <c r="E74" s="66"/>
      <c r="H74" s="35"/>
      <c r="I74" s="35"/>
      <c r="J74" s="30"/>
      <c r="K74" s="30"/>
      <c r="L74" s="30"/>
      <c r="M74" s="30"/>
      <c r="N74" s="30"/>
      <c r="O74" s="30"/>
      <c r="P74" s="30"/>
      <c r="Q74" s="30"/>
      <c r="R74" s="30"/>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0"/>
      <c r="AV74" s="30"/>
      <c r="AW74" s="30"/>
      <c r="AX74" s="30"/>
      <c r="AY74" s="30"/>
      <c r="AZ74" s="30"/>
    </row>
    <row r="75" ht="20.25" customHeight="1">
      <c r="A75" s="30"/>
      <c r="B75" s="30"/>
      <c r="C75" s="64"/>
      <c r="D75" s="66"/>
      <c r="E75" s="66"/>
      <c r="H75" s="35"/>
      <c r="I75" s="35"/>
      <c r="J75" s="30"/>
      <c r="K75" s="30"/>
      <c r="L75" s="30"/>
      <c r="M75" s="30"/>
      <c r="N75" s="30"/>
      <c r="O75" s="30"/>
      <c r="P75" s="30"/>
      <c r="Q75" s="30"/>
      <c r="R75" s="30"/>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0"/>
      <c r="AV75" s="30"/>
      <c r="AW75" s="30"/>
      <c r="AX75" s="30"/>
      <c r="AY75" s="30"/>
      <c r="AZ75" s="30"/>
    </row>
    <row r="76" ht="20.25" customHeight="1">
      <c r="A76" s="30"/>
      <c r="B76" s="30"/>
      <c r="C76" s="64"/>
      <c r="D76" s="66"/>
      <c r="E76" s="66"/>
      <c r="H76" s="35"/>
      <c r="I76" s="35"/>
      <c r="J76" s="30"/>
      <c r="K76" s="30"/>
      <c r="L76" s="30"/>
      <c r="M76" s="30"/>
      <c r="N76" s="30"/>
      <c r="O76" s="30"/>
      <c r="P76" s="30"/>
      <c r="Q76" s="30"/>
      <c r="R76" s="30"/>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0"/>
      <c r="AV76" s="30"/>
      <c r="AW76" s="30"/>
      <c r="AX76" s="30"/>
      <c r="AY76" s="30"/>
      <c r="AZ76" s="30"/>
    </row>
    <row r="77" ht="20.25" customHeight="1">
      <c r="A77" s="30"/>
      <c r="B77" s="30"/>
      <c r="C77" s="64"/>
      <c r="D77" s="66"/>
      <c r="E77" s="66"/>
      <c r="H77" s="35"/>
      <c r="I77" s="35"/>
      <c r="J77" s="30"/>
      <c r="K77" s="30"/>
      <c r="L77" s="30"/>
      <c r="M77" s="30"/>
      <c r="N77" s="30"/>
      <c r="O77" s="30"/>
      <c r="P77" s="30"/>
      <c r="Q77" s="30"/>
      <c r="R77" s="30"/>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0"/>
      <c r="AV77" s="30"/>
      <c r="AW77" s="30"/>
      <c r="AX77" s="30"/>
      <c r="AY77" s="30"/>
      <c r="AZ77" s="30"/>
    </row>
    <row r="78" ht="20.25" customHeight="1">
      <c r="A78" s="30"/>
      <c r="B78" s="30"/>
      <c r="C78" s="64"/>
      <c r="D78" s="66"/>
      <c r="E78" s="66"/>
      <c r="H78" s="35"/>
      <c r="I78" s="35"/>
      <c r="J78" s="30"/>
      <c r="K78" s="30"/>
      <c r="L78" s="30"/>
      <c r="M78" s="30"/>
      <c r="N78" s="30"/>
      <c r="O78" s="30"/>
      <c r="P78" s="30"/>
      <c r="Q78" s="30"/>
      <c r="R78" s="30"/>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0"/>
      <c r="AV78" s="30"/>
      <c r="AW78" s="30"/>
      <c r="AX78" s="30"/>
      <c r="AY78" s="30"/>
      <c r="AZ78" s="30"/>
    </row>
    <row r="79" ht="20.25" customHeight="1">
      <c r="A79" s="30"/>
      <c r="B79" s="30"/>
      <c r="C79" s="64"/>
      <c r="D79" s="66"/>
      <c r="E79" s="66"/>
      <c r="H79" s="35"/>
      <c r="I79" s="35"/>
      <c r="J79" s="30"/>
      <c r="K79" s="30"/>
      <c r="L79" s="30"/>
      <c r="M79" s="30"/>
      <c r="N79" s="30"/>
      <c r="O79" s="30"/>
      <c r="P79" s="30"/>
      <c r="Q79" s="30"/>
      <c r="R79" s="30"/>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0"/>
      <c r="AV79" s="30"/>
      <c r="AW79" s="30"/>
      <c r="AX79" s="30"/>
      <c r="AY79" s="30"/>
      <c r="AZ79" s="30"/>
    </row>
    <row r="80" ht="20.25" customHeight="1">
      <c r="A80" s="30"/>
      <c r="B80" s="30"/>
      <c r="C80" s="64"/>
      <c r="D80" s="66"/>
      <c r="E80" s="66"/>
      <c r="H80" s="35"/>
      <c r="I80" s="35"/>
      <c r="J80" s="30"/>
      <c r="K80" s="30"/>
      <c r="L80" s="30"/>
      <c r="M80" s="30"/>
      <c r="N80" s="30"/>
      <c r="O80" s="30"/>
      <c r="P80" s="30"/>
      <c r="Q80" s="30"/>
      <c r="R80" s="30"/>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0"/>
      <c r="AV80" s="30"/>
      <c r="AW80" s="30"/>
      <c r="AX80" s="30"/>
      <c r="AY80" s="30"/>
      <c r="AZ80" s="30"/>
    </row>
    <row r="81" ht="20.25" customHeight="1">
      <c r="A81" s="30"/>
      <c r="B81" s="30"/>
      <c r="C81" s="64"/>
      <c r="D81" s="66"/>
      <c r="E81" s="66"/>
      <c r="H81" s="35"/>
      <c r="I81" s="35"/>
      <c r="J81" s="30"/>
      <c r="K81" s="30"/>
      <c r="L81" s="30"/>
      <c r="M81" s="30"/>
      <c r="N81" s="30"/>
      <c r="O81" s="30"/>
      <c r="P81" s="30"/>
      <c r="Q81" s="30"/>
      <c r="R81" s="30"/>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0"/>
      <c r="AV81" s="30"/>
      <c r="AW81" s="30"/>
      <c r="AX81" s="30"/>
      <c r="AY81" s="30"/>
      <c r="AZ81" s="30"/>
    </row>
    <row r="82" ht="20.25" customHeight="1">
      <c r="A82" s="30"/>
      <c r="B82" s="30"/>
      <c r="C82" s="64"/>
      <c r="D82" s="66"/>
      <c r="E82" s="66"/>
      <c r="H82" s="35"/>
      <c r="I82" s="35"/>
      <c r="J82" s="30"/>
      <c r="K82" s="30"/>
      <c r="L82" s="30"/>
      <c r="M82" s="30"/>
      <c r="N82" s="30"/>
      <c r="O82" s="30"/>
      <c r="P82" s="30"/>
      <c r="Q82" s="30"/>
      <c r="R82" s="30"/>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0"/>
      <c r="AV82" s="30"/>
      <c r="AW82" s="30"/>
      <c r="AX82" s="30"/>
      <c r="AY82" s="30"/>
      <c r="AZ82" s="30"/>
    </row>
    <row r="83" ht="20.25" customHeight="1">
      <c r="A83" s="30"/>
      <c r="B83" s="30"/>
      <c r="C83" s="64"/>
      <c r="D83" s="66"/>
      <c r="E83" s="66"/>
      <c r="H83" s="35"/>
      <c r="I83" s="35"/>
      <c r="J83" s="30"/>
      <c r="K83" s="30"/>
      <c r="L83" s="30"/>
      <c r="M83" s="30"/>
      <c r="N83" s="30"/>
      <c r="O83" s="30"/>
      <c r="P83" s="30"/>
      <c r="Q83" s="30"/>
      <c r="R83" s="30"/>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0"/>
      <c r="AV83" s="30"/>
      <c r="AW83" s="30"/>
      <c r="AX83" s="30"/>
      <c r="AY83" s="30"/>
      <c r="AZ83" s="30"/>
    </row>
    <row r="84" ht="20.25" customHeight="1">
      <c r="A84" s="30"/>
      <c r="B84" s="30"/>
      <c r="C84" s="64"/>
      <c r="D84" s="66"/>
      <c r="E84" s="66"/>
      <c r="H84" s="35"/>
      <c r="I84" s="35"/>
      <c r="J84" s="30"/>
      <c r="K84" s="30"/>
      <c r="L84" s="30"/>
      <c r="M84" s="30"/>
      <c r="N84" s="30"/>
      <c r="O84" s="30"/>
      <c r="P84" s="30"/>
      <c r="Q84" s="30"/>
      <c r="R84" s="30"/>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0"/>
      <c r="AV84" s="30"/>
      <c r="AW84" s="30"/>
      <c r="AX84" s="30"/>
      <c r="AY84" s="30"/>
      <c r="AZ84" s="30"/>
    </row>
    <row r="85" ht="20.25" customHeight="1">
      <c r="A85" s="30"/>
      <c r="B85" s="30"/>
      <c r="C85" s="64"/>
      <c r="D85" s="66"/>
      <c r="E85" s="66"/>
      <c r="H85" s="35"/>
      <c r="I85" s="35"/>
      <c r="J85" s="30"/>
      <c r="K85" s="30"/>
      <c r="L85" s="30"/>
      <c r="M85" s="30"/>
      <c r="N85" s="30"/>
      <c r="O85" s="30"/>
      <c r="P85" s="30"/>
      <c r="Q85" s="30"/>
      <c r="R85" s="30"/>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0"/>
      <c r="AV85" s="30"/>
      <c r="AW85" s="30"/>
      <c r="AX85" s="30"/>
      <c r="AY85" s="30"/>
      <c r="AZ85" s="30"/>
    </row>
    <row r="86" ht="20.25" customHeight="1">
      <c r="A86" s="30"/>
      <c r="B86" s="30"/>
      <c r="C86" s="64"/>
      <c r="D86" s="66"/>
      <c r="E86" s="66"/>
      <c r="H86" s="35"/>
      <c r="I86" s="35"/>
      <c r="J86" s="30"/>
      <c r="K86" s="30"/>
      <c r="L86" s="30"/>
      <c r="M86" s="30"/>
      <c r="N86" s="30"/>
      <c r="O86" s="30"/>
      <c r="P86" s="30"/>
      <c r="Q86" s="30"/>
      <c r="R86" s="30"/>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0"/>
      <c r="AV86" s="30"/>
      <c r="AW86" s="30"/>
      <c r="AX86" s="30"/>
      <c r="AY86" s="30"/>
      <c r="AZ86" s="30"/>
    </row>
    <row r="87" ht="20.25" customHeight="1">
      <c r="A87" s="30"/>
      <c r="B87" s="30"/>
      <c r="C87" s="64"/>
      <c r="D87" s="66"/>
      <c r="E87" s="66"/>
      <c r="H87" s="35"/>
      <c r="I87" s="35"/>
      <c r="J87" s="30"/>
      <c r="K87" s="30"/>
      <c r="L87" s="30"/>
      <c r="M87" s="30"/>
      <c r="N87" s="30"/>
      <c r="O87" s="30"/>
      <c r="P87" s="30"/>
      <c r="Q87" s="30"/>
      <c r="R87" s="30"/>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0"/>
      <c r="AV87" s="30"/>
      <c r="AW87" s="30"/>
      <c r="AX87" s="30"/>
      <c r="AY87" s="30"/>
      <c r="AZ87" s="30"/>
    </row>
    <row r="88" ht="20.25" customHeight="1">
      <c r="A88" s="30"/>
      <c r="B88" s="30"/>
      <c r="C88" s="64"/>
      <c r="D88" s="66"/>
      <c r="E88" s="66"/>
      <c r="H88" s="35"/>
      <c r="I88" s="35"/>
      <c r="J88" s="30"/>
      <c r="K88" s="30"/>
      <c r="L88" s="30"/>
      <c r="M88" s="30"/>
      <c r="N88" s="30"/>
      <c r="O88" s="30"/>
      <c r="P88" s="30"/>
      <c r="Q88" s="30"/>
      <c r="R88" s="30"/>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0"/>
      <c r="AV88" s="30"/>
      <c r="AW88" s="30"/>
      <c r="AX88" s="30"/>
      <c r="AY88" s="30"/>
      <c r="AZ88" s="30"/>
    </row>
    <row r="89" ht="20.25" customHeight="1">
      <c r="A89" s="30"/>
      <c r="B89" s="30"/>
      <c r="C89" s="64"/>
      <c r="D89" s="66"/>
      <c r="E89" s="66"/>
      <c r="H89" s="35"/>
      <c r="I89" s="35"/>
      <c r="J89" s="30"/>
      <c r="K89" s="30"/>
      <c r="L89" s="30"/>
      <c r="M89" s="30"/>
      <c r="N89" s="30"/>
      <c r="O89" s="30"/>
      <c r="P89" s="30"/>
      <c r="Q89" s="30"/>
      <c r="R89" s="30"/>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0"/>
      <c r="AV89" s="30"/>
      <c r="AW89" s="30"/>
      <c r="AX89" s="30"/>
      <c r="AY89" s="30"/>
      <c r="AZ89" s="30"/>
    </row>
    <row r="90" ht="20.25" customHeight="1">
      <c r="A90" s="30"/>
      <c r="B90" s="30"/>
      <c r="C90" s="64"/>
      <c r="D90" s="66"/>
      <c r="E90" s="66"/>
      <c r="H90" s="35"/>
      <c r="I90" s="35"/>
      <c r="J90" s="30"/>
      <c r="K90" s="30"/>
      <c r="L90" s="30"/>
      <c r="M90" s="30"/>
      <c r="N90" s="30"/>
      <c r="O90" s="30"/>
      <c r="P90" s="30"/>
      <c r="Q90" s="30"/>
      <c r="R90" s="30"/>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0"/>
      <c r="AV90" s="30"/>
      <c r="AW90" s="30"/>
      <c r="AX90" s="30"/>
      <c r="AY90" s="30"/>
      <c r="AZ90" s="30"/>
    </row>
    <row r="91" ht="20.25" customHeight="1">
      <c r="A91" s="30"/>
      <c r="B91" s="30"/>
      <c r="C91" s="64"/>
      <c r="D91" s="66"/>
      <c r="E91" s="66"/>
      <c r="H91" s="35"/>
      <c r="I91" s="35"/>
      <c r="J91" s="30"/>
      <c r="K91" s="30"/>
      <c r="L91" s="30"/>
      <c r="M91" s="30"/>
      <c r="N91" s="30"/>
      <c r="O91" s="30"/>
      <c r="P91" s="30"/>
      <c r="Q91" s="30"/>
      <c r="R91" s="30"/>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0"/>
      <c r="AV91" s="30"/>
      <c r="AW91" s="30"/>
      <c r="AX91" s="30"/>
      <c r="AY91" s="30"/>
      <c r="AZ91" s="30"/>
    </row>
    <row r="92" ht="20.25" customHeight="1">
      <c r="A92" s="30"/>
      <c r="B92" s="30"/>
      <c r="C92" s="64"/>
      <c r="D92" s="66"/>
      <c r="E92" s="66"/>
      <c r="H92" s="35"/>
      <c r="I92" s="35"/>
      <c r="J92" s="30"/>
      <c r="K92" s="30"/>
      <c r="L92" s="30"/>
      <c r="M92" s="30"/>
      <c r="N92" s="30"/>
      <c r="O92" s="30"/>
      <c r="P92" s="30"/>
      <c r="Q92" s="30"/>
      <c r="R92" s="30"/>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0"/>
      <c r="AV92" s="30"/>
      <c r="AW92" s="30"/>
      <c r="AX92" s="30"/>
      <c r="AY92" s="30"/>
      <c r="AZ92" s="30"/>
    </row>
    <row r="93" ht="20.25" customHeight="1">
      <c r="A93" s="30"/>
      <c r="B93" s="30"/>
      <c r="C93" s="64"/>
      <c r="D93" s="66"/>
      <c r="E93" s="66"/>
      <c r="H93" s="35"/>
      <c r="I93" s="35"/>
      <c r="J93" s="30"/>
      <c r="K93" s="30"/>
      <c r="L93" s="30"/>
      <c r="M93" s="30"/>
      <c r="N93" s="30"/>
      <c r="O93" s="30"/>
      <c r="P93" s="30"/>
      <c r="Q93" s="30"/>
      <c r="R93" s="30"/>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0"/>
      <c r="AV93" s="30"/>
      <c r="AW93" s="30"/>
      <c r="AX93" s="30"/>
      <c r="AY93" s="30"/>
      <c r="AZ93" s="30"/>
    </row>
    <row r="94" ht="20.25" customHeight="1">
      <c r="A94" s="30"/>
      <c r="B94" s="30"/>
      <c r="C94" s="64"/>
      <c r="D94" s="66"/>
      <c r="E94" s="66"/>
      <c r="H94" s="35"/>
      <c r="I94" s="35"/>
      <c r="J94" s="30"/>
      <c r="K94" s="30"/>
      <c r="L94" s="30"/>
      <c r="M94" s="30"/>
      <c r="N94" s="30"/>
      <c r="O94" s="30"/>
      <c r="P94" s="30"/>
      <c r="Q94" s="30"/>
      <c r="R94" s="30"/>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0"/>
      <c r="AV94" s="30"/>
      <c r="AW94" s="30"/>
      <c r="AX94" s="30"/>
      <c r="AY94" s="30"/>
      <c r="AZ94" s="30"/>
    </row>
    <row r="95" ht="20.25" customHeight="1">
      <c r="A95" s="30"/>
      <c r="B95" s="30"/>
      <c r="C95" s="64"/>
      <c r="D95" s="66"/>
      <c r="E95" s="66"/>
      <c r="H95" s="35"/>
      <c r="I95" s="35"/>
      <c r="J95" s="30"/>
      <c r="K95" s="30"/>
      <c r="L95" s="30"/>
      <c r="M95" s="30"/>
      <c r="N95" s="30"/>
      <c r="O95" s="30"/>
      <c r="P95" s="30"/>
      <c r="Q95" s="30"/>
      <c r="R95" s="30"/>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0"/>
      <c r="AV95" s="30"/>
      <c r="AW95" s="30"/>
      <c r="AX95" s="30"/>
      <c r="AY95" s="30"/>
      <c r="AZ95" s="30"/>
    </row>
    <row r="96" ht="20.25" customHeight="1">
      <c r="A96" s="30"/>
      <c r="B96" s="30"/>
      <c r="C96" s="64"/>
      <c r="D96" s="66"/>
      <c r="E96" s="66"/>
      <c r="H96" s="35"/>
      <c r="I96" s="35"/>
      <c r="J96" s="30"/>
      <c r="K96" s="30"/>
      <c r="L96" s="30"/>
      <c r="M96" s="30"/>
      <c r="N96" s="30"/>
      <c r="O96" s="30"/>
      <c r="P96" s="30"/>
      <c r="Q96" s="30"/>
      <c r="R96" s="30"/>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0"/>
      <c r="AV96" s="30"/>
      <c r="AW96" s="30"/>
      <c r="AX96" s="30"/>
      <c r="AY96" s="30"/>
      <c r="AZ96" s="30"/>
    </row>
    <row r="97" ht="20.25" customHeight="1">
      <c r="A97" s="30"/>
      <c r="B97" s="30"/>
      <c r="C97" s="64"/>
      <c r="D97" s="66"/>
      <c r="E97" s="66"/>
      <c r="H97" s="35"/>
      <c r="I97" s="35"/>
      <c r="J97" s="30"/>
      <c r="K97" s="30"/>
      <c r="L97" s="30"/>
      <c r="M97" s="30"/>
      <c r="N97" s="30"/>
      <c r="O97" s="30"/>
      <c r="P97" s="30"/>
      <c r="Q97" s="30"/>
      <c r="R97" s="30"/>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0"/>
      <c r="AV97" s="30"/>
      <c r="AW97" s="30"/>
      <c r="AX97" s="30"/>
      <c r="AY97" s="30"/>
      <c r="AZ97" s="30"/>
    </row>
    <row r="98" ht="20.25" customHeight="1">
      <c r="A98" s="30"/>
      <c r="B98" s="30"/>
      <c r="C98" s="64"/>
      <c r="D98" s="66"/>
      <c r="E98" s="66"/>
      <c r="H98" s="35"/>
      <c r="I98" s="35"/>
      <c r="J98" s="30"/>
      <c r="K98" s="30"/>
      <c r="L98" s="30"/>
      <c r="M98" s="30"/>
      <c r="N98" s="30"/>
      <c r="O98" s="30"/>
      <c r="P98" s="30"/>
      <c r="Q98" s="30"/>
      <c r="R98" s="30"/>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0"/>
      <c r="AV98" s="30"/>
      <c r="AW98" s="30"/>
      <c r="AX98" s="30"/>
      <c r="AY98" s="30"/>
      <c r="AZ98" s="30"/>
    </row>
    <row r="99" ht="20.25" customHeight="1">
      <c r="A99" s="30"/>
      <c r="B99" s="30"/>
      <c r="C99" s="64"/>
      <c r="D99" s="66"/>
      <c r="E99" s="66"/>
      <c r="H99" s="35"/>
      <c r="I99" s="35"/>
      <c r="J99" s="30"/>
      <c r="K99" s="30"/>
      <c r="L99" s="30"/>
      <c r="M99" s="30"/>
      <c r="N99" s="30"/>
      <c r="O99" s="30"/>
      <c r="P99" s="30"/>
      <c r="Q99" s="30"/>
      <c r="R99" s="30"/>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0"/>
      <c r="AV99" s="30"/>
      <c r="AW99" s="30"/>
      <c r="AX99" s="30"/>
      <c r="AY99" s="30"/>
      <c r="AZ99" s="30"/>
    </row>
    <row r="100" ht="20.25" customHeight="1">
      <c r="A100" s="30"/>
      <c r="B100" s="30"/>
      <c r="C100" s="64"/>
      <c r="D100" s="66"/>
      <c r="E100" s="66"/>
      <c r="H100" s="35"/>
      <c r="I100" s="35"/>
      <c r="J100" s="30"/>
      <c r="K100" s="30"/>
      <c r="L100" s="30"/>
      <c r="M100" s="30"/>
      <c r="N100" s="30"/>
      <c r="O100" s="30"/>
      <c r="P100" s="30"/>
      <c r="Q100" s="30"/>
      <c r="R100" s="30"/>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0"/>
      <c r="AV100" s="30"/>
      <c r="AW100" s="30"/>
      <c r="AX100" s="30"/>
      <c r="AY100" s="30"/>
      <c r="AZ100" s="30"/>
    </row>
    <row r="101" ht="20.25" customHeight="1">
      <c r="A101" s="30"/>
      <c r="B101" s="30"/>
      <c r="C101" s="64"/>
      <c r="D101" s="66"/>
      <c r="E101" s="66"/>
      <c r="H101" s="35"/>
      <c r="I101" s="35"/>
      <c r="J101" s="30"/>
      <c r="K101" s="30"/>
      <c r="L101" s="30"/>
      <c r="M101" s="30"/>
      <c r="N101" s="30"/>
      <c r="O101" s="30"/>
      <c r="P101" s="30"/>
      <c r="Q101" s="30"/>
      <c r="R101" s="30"/>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0"/>
      <c r="AV101" s="30"/>
      <c r="AW101" s="30"/>
      <c r="AX101" s="30"/>
      <c r="AY101" s="30"/>
      <c r="AZ101" s="30"/>
    </row>
    <row r="102" ht="20.25" customHeight="1">
      <c r="A102" s="30"/>
      <c r="B102" s="30"/>
      <c r="C102" s="64"/>
      <c r="D102" s="66"/>
      <c r="E102" s="66"/>
      <c r="H102" s="35"/>
      <c r="I102" s="35"/>
      <c r="J102" s="30"/>
      <c r="K102" s="30"/>
      <c r="L102" s="30"/>
      <c r="M102" s="30"/>
      <c r="N102" s="30"/>
      <c r="O102" s="30"/>
      <c r="P102" s="30"/>
      <c r="Q102" s="30"/>
      <c r="R102" s="30"/>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0"/>
      <c r="AV102" s="30"/>
      <c r="AW102" s="30"/>
      <c r="AX102" s="30"/>
      <c r="AY102" s="30"/>
      <c r="AZ102" s="30"/>
    </row>
    <row r="103" ht="20.25" customHeight="1">
      <c r="A103" s="30"/>
      <c r="B103" s="30"/>
      <c r="C103" s="64"/>
      <c r="D103" s="66"/>
      <c r="E103" s="66"/>
      <c r="H103" s="35"/>
      <c r="I103" s="35"/>
      <c r="J103" s="30"/>
      <c r="K103" s="30"/>
      <c r="L103" s="30"/>
      <c r="M103" s="30"/>
      <c r="N103" s="30"/>
      <c r="O103" s="30"/>
      <c r="P103" s="30"/>
      <c r="Q103" s="30"/>
      <c r="R103" s="30"/>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0"/>
      <c r="AV103" s="30"/>
      <c r="AW103" s="30"/>
      <c r="AX103" s="30"/>
      <c r="AY103" s="30"/>
      <c r="AZ103" s="30"/>
    </row>
    <row r="104" ht="20.25" customHeight="1">
      <c r="A104" s="30"/>
      <c r="B104" s="30"/>
      <c r="C104" s="64"/>
      <c r="D104" s="66"/>
      <c r="E104" s="66"/>
      <c r="H104" s="35"/>
      <c r="I104" s="35"/>
      <c r="J104" s="30"/>
      <c r="K104" s="30"/>
      <c r="L104" s="30"/>
      <c r="M104" s="30"/>
      <c r="N104" s="30"/>
      <c r="O104" s="30"/>
      <c r="P104" s="30"/>
      <c r="Q104" s="30"/>
      <c r="R104" s="30"/>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0"/>
      <c r="AV104" s="30"/>
      <c r="AW104" s="30"/>
      <c r="AX104" s="30"/>
      <c r="AY104" s="30"/>
      <c r="AZ104" s="30"/>
    </row>
    <row r="105" ht="20.25" customHeight="1">
      <c r="A105" s="30"/>
      <c r="B105" s="30"/>
      <c r="C105" s="64"/>
      <c r="D105" s="66"/>
      <c r="E105" s="66"/>
      <c r="H105" s="35"/>
      <c r="I105" s="35"/>
      <c r="J105" s="30"/>
      <c r="K105" s="30"/>
      <c r="L105" s="30"/>
      <c r="M105" s="30"/>
      <c r="N105" s="30"/>
      <c r="O105" s="30"/>
      <c r="P105" s="30"/>
      <c r="Q105" s="30"/>
      <c r="R105" s="30"/>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0"/>
      <c r="AV105" s="30"/>
      <c r="AW105" s="30"/>
      <c r="AX105" s="30"/>
      <c r="AY105" s="30"/>
      <c r="AZ105" s="30"/>
    </row>
    <row r="106" ht="20.25" customHeight="1">
      <c r="A106" s="30"/>
      <c r="B106" s="30"/>
      <c r="C106" s="64"/>
      <c r="D106" s="66"/>
      <c r="E106" s="66"/>
      <c r="H106" s="35"/>
      <c r="I106" s="35"/>
      <c r="J106" s="30"/>
      <c r="K106" s="30"/>
      <c r="L106" s="30"/>
      <c r="M106" s="30"/>
      <c r="N106" s="30"/>
      <c r="O106" s="30"/>
      <c r="P106" s="30"/>
      <c r="Q106" s="30"/>
      <c r="R106" s="30"/>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0"/>
      <c r="AV106" s="30"/>
      <c r="AW106" s="30"/>
      <c r="AX106" s="30"/>
      <c r="AY106" s="30"/>
      <c r="AZ106" s="30"/>
    </row>
    <row r="107" ht="20.25" customHeight="1">
      <c r="A107" s="30"/>
      <c r="B107" s="30"/>
      <c r="C107" s="64"/>
      <c r="D107" s="66"/>
      <c r="E107" s="66"/>
      <c r="H107" s="35"/>
      <c r="I107" s="35"/>
      <c r="J107" s="30"/>
      <c r="K107" s="30"/>
      <c r="L107" s="30"/>
      <c r="M107" s="30"/>
      <c r="N107" s="30"/>
      <c r="O107" s="30"/>
      <c r="P107" s="30"/>
      <c r="Q107" s="30"/>
      <c r="R107" s="30"/>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0"/>
      <c r="AV107" s="30"/>
      <c r="AW107" s="30"/>
      <c r="AX107" s="30"/>
      <c r="AY107" s="30"/>
      <c r="AZ107" s="30"/>
    </row>
    <row r="108" ht="20.25" customHeight="1">
      <c r="A108" s="30"/>
      <c r="B108" s="30"/>
      <c r="C108" s="64"/>
      <c r="D108" s="66"/>
      <c r="E108" s="66"/>
      <c r="H108" s="35"/>
      <c r="I108" s="35"/>
      <c r="J108" s="30"/>
      <c r="K108" s="30"/>
      <c r="L108" s="30"/>
      <c r="M108" s="30"/>
      <c r="N108" s="30"/>
      <c r="O108" s="30"/>
      <c r="P108" s="30"/>
      <c r="Q108" s="30"/>
      <c r="R108" s="30"/>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0"/>
      <c r="AV108" s="30"/>
      <c r="AW108" s="30"/>
      <c r="AX108" s="30"/>
      <c r="AY108" s="30"/>
      <c r="AZ108" s="30"/>
    </row>
    <row r="109" ht="20.25" customHeight="1">
      <c r="A109" s="30"/>
      <c r="B109" s="30"/>
      <c r="C109" s="64"/>
      <c r="D109" s="66"/>
      <c r="E109" s="66"/>
      <c r="H109" s="35"/>
      <c r="I109" s="35"/>
      <c r="J109" s="30"/>
      <c r="K109" s="30"/>
      <c r="L109" s="30"/>
      <c r="M109" s="30"/>
      <c r="N109" s="30"/>
      <c r="O109" s="30"/>
      <c r="P109" s="30"/>
      <c r="Q109" s="30"/>
      <c r="R109" s="30"/>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0"/>
      <c r="AV109" s="30"/>
      <c r="AW109" s="30"/>
      <c r="AX109" s="30"/>
      <c r="AY109" s="30"/>
      <c r="AZ109" s="30"/>
    </row>
    <row r="110" ht="20.25" customHeight="1">
      <c r="A110" s="30"/>
      <c r="B110" s="30"/>
      <c r="C110" s="64"/>
      <c r="D110" s="66"/>
      <c r="E110" s="66"/>
      <c r="H110" s="35"/>
      <c r="I110" s="35"/>
      <c r="J110" s="30"/>
      <c r="K110" s="30"/>
      <c r="L110" s="30"/>
      <c r="M110" s="30"/>
      <c r="N110" s="30"/>
      <c r="O110" s="30"/>
      <c r="P110" s="30"/>
      <c r="Q110" s="30"/>
      <c r="R110" s="30"/>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0"/>
      <c r="AV110" s="30"/>
      <c r="AW110" s="30"/>
      <c r="AX110" s="30"/>
      <c r="AY110" s="30"/>
      <c r="AZ110" s="30"/>
    </row>
    <row r="111" ht="20.25" customHeight="1">
      <c r="A111" s="30"/>
      <c r="B111" s="30"/>
      <c r="C111" s="64"/>
      <c r="D111" s="66"/>
      <c r="E111" s="66"/>
      <c r="H111" s="35"/>
      <c r="I111" s="35"/>
      <c r="J111" s="30"/>
      <c r="K111" s="30"/>
      <c r="L111" s="30"/>
      <c r="M111" s="30"/>
      <c r="N111" s="30"/>
      <c r="O111" s="30"/>
      <c r="P111" s="30"/>
      <c r="Q111" s="30"/>
      <c r="R111" s="30"/>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0"/>
      <c r="AV111" s="30"/>
      <c r="AW111" s="30"/>
      <c r="AX111" s="30"/>
      <c r="AY111" s="30"/>
      <c r="AZ111" s="30"/>
    </row>
    <row r="112" ht="20.25" customHeight="1">
      <c r="A112" s="30"/>
      <c r="B112" s="30"/>
      <c r="C112" s="64"/>
      <c r="D112" s="66"/>
      <c r="E112" s="66"/>
      <c r="H112" s="35"/>
      <c r="I112" s="35"/>
      <c r="J112" s="30"/>
      <c r="K112" s="30"/>
      <c r="L112" s="30"/>
      <c r="M112" s="30"/>
      <c r="N112" s="30"/>
      <c r="O112" s="30"/>
      <c r="P112" s="30"/>
      <c r="Q112" s="30"/>
      <c r="R112" s="30"/>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0"/>
      <c r="AV112" s="30"/>
      <c r="AW112" s="30"/>
      <c r="AX112" s="30"/>
      <c r="AY112" s="30"/>
      <c r="AZ112" s="30"/>
    </row>
    <row r="113" ht="20.25" customHeight="1">
      <c r="A113" s="30"/>
      <c r="B113" s="30"/>
      <c r="C113" s="64"/>
      <c r="D113" s="66"/>
      <c r="E113" s="66"/>
      <c r="H113" s="35"/>
      <c r="I113" s="35"/>
      <c r="J113" s="30"/>
      <c r="K113" s="30"/>
      <c r="L113" s="30"/>
      <c r="M113" s="30"/>
      <c r="N113" s="30"/>
      <c r="O113" s="30"/>
      <c r="P113" s="30"/>
      <c r="Q113" s="30"/>
      <c r="R113" s="30"/>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0"/>
      <c r="AV113" s="30"/>
      <c r="AW113" s="30"/>
      <c r="AX113" s="30"/>
      <c r="AY113" s="30"/>
      <c r="AZ113" s="30"/>
    </row>
    <row r="114" ht="20.25" customHeight="1">
      <c r="A114" s="30"/>
      <c r="B114" s="30"/>
      <c r="C114" s="64"/>
      <c r="D114" s="66"/>
      <c r="E114" s="66"/>
      <c r="H114" s="35"/>
      <c r="I114" s="35"/>
      <c r="J114" s="30"/>
      <c r="K114" s="30"/>
      <c r="L114" s="30"/>
      <c r="M114" s="30"/>
      <c r="N114" s="30"/>
      <c r="O114" s="30"/>
      <c r="P114" s="30"/>
      <c r="Q114" s="30"/>
      <c r="R114" s="30"/>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0"/>
      <c r="AV114" s="30"/>
      <c r="AW114" s="30"/>
      <c r="AX114" s="30"/>
      <c r="AY114" s="30"/>
      <c r="AZ114" s="30"/>
    </row>
    <row r="115" ht="20.25" customHeight="1">
      <c r="A115" s="30"/>
      <c r="B115" s="30"/>
      <c r="C115" s="64"/>
      <c r="D115" s="66"/>
      <c r="E115" s="66"/>
      <c r="H115" s="35"/>
      <c r="I115" s="35"/>
      <c r="J115" s="30"/>
      <c r="K115" s="30"/>
      <c r="L115" s="30"/>
      <c r="M115" s="30"/>
      <c r="N115" s="30"/>
      <c r="O115" s="30"/>
      <c r="P115" s="30"/>
      <c r="Q115" s="30"/>
      <c r="R115" s="30"/>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0"/>
      <c r="AV115" s="30"/>
      <c r="AW115" s="30"/>
      <c r="AX115" s="30"/>
      <c r="AY115" s="30"/>
      <c r="AZ115" s="30"/>
    </row>
    <row r="116" ht="20.25" customHeight="1">
      <c r="A116" s="30"/>
      <c r="B116" s="30"/>
      <c r="C116" s="64"/>
      <c r="D116" s="66"/>
      <c r="E116" s="66"/>
      <c r="H116" s="35"/>
      <c r="I116" s="35"/>
      <c r="J116" s="30"/>
      <c r="K116" s="30"/>
      <c r="L116" s="30"/>
      <c r="M116" s="30"/>
      <c r="N116" s="30"/>
      <c r="O116" s="30"/>
      <c r="P116" s="30"/>
      <c r="Q116" s="30"/>
      <c r="R116" s="30"/>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0"/>
      <c r="AV116" s="30"/>
      <c r="AW116" s="30"/>
      <c r="AX116" s="30"/>
      <c r="AY116" s="30"/>
      <c r="AZ116" s="30"/>
    </row>
    <row r="117" ht="20.25" customHeight="1">
      <c r="A117" s="30"/>
      <c r="B117" s="30"/>
      <c r="C117" s="64"/>
      <c r="D117" s="66"/>
      <c r="E117" s="66"/>
      <c r="H117" s="35"/>
      <c r="I117" s="35"/>
      <c r="J117" s="30"/>
      <c r="K117" s="30"/>
      <c r="L117" s="30"/>
      <c r="M117" s="30"/>
      <c r="N117" s="30"/>
      <c r="O117" s="30"/>
      <c r="P117" s="30"/>
      <c r="Q117" s="30"/>
      <c r="R117" s="30"/>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0"/>
      <c r="AV117" s="30"/>
      <c r="AW117" s="30"/>
      <c r="AX117" s="30"/>
      <c r="AY117" s="30"/>
      <c r="AZ117" s="30"/>
    </row>
    <row r="118" ht="20.25" customHeight="1">
      <c r="A118" s="30"/>
      <c r="B118" s="30"/>
      <c r="C118" s="64"/>
      <c r="D118" s="66"/>
      <c r="E118" s="66"/>
      <c r="H118" s="35"/>
      <c r="I118" s="35"/>
      <c r="J118" s="30"/>
      <c r="K118" s="30"/>
      <c r="L118" s="30"/>
      <c r="M118" s="30"/>
      <c r="N118" s="30"/>
      <c r="O118" s="30"/>
      <c r="P118" s="30"/>
      <c r="Q118" s="30"/>
      <c r="R118" s="30"/>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0"/>
      <c r="AV118" s="30"/>
      <c r="AW118" s="30"/>
      <c r="AX118" s="30"/>
      <c r="AY118" s="30"/>
      <c r="AZ118" s="30"/>
    </row>
    <row r="119" ht="20.25" customHeight="1">
      <c r="A119" s="30"/>
      <c r="B119" s="30"/>
      <c r="C119" s="64"/>
      <c r="D119" s="66"/>
      <c r="E119" s="66"/>
      <c r="H119" s="35"/>
      <c r="I119" s="35"/>
      <c r="J119" s="30"/>
      <c r="K119" s="30"/>
      <c r="L119" s="30"/>
      <c r="M119" s="30"/>
      <c r="N119" s="30"/>
      <c r="O119" s="30"/>
      <c r="P119" s="30"/>
      <c r="Q119" s="30"/>
      <c r="R119" s="30"/>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0"/>
      <c r="AV119" s="30"/>
      <c r="AW119" s="30"/>
      <c r="AX119" s="30"/>
      <c r="AY119" s="30"/>
      <c r="AZ119" s="30"/>
    </row>
    <row r="120" ht="20.25" customHeight="1">
      <c r="A120" s="30"/>
      <c r="B120" s="30"/>
      <c r="C120" s="64"/>
      <c r="D120" s="66"/>
      <c r="E120" s="66"/>
      <c r="H120" s="35"/>
      <c r="I120" s="35"/>
      <c r="J120" s="30"/>
      <c r="K120" s="30"/>
      <c r="L120" s="30"/>
      <c r="M120" s="30"/>
      <c r="N120" s="30"/>
      <c r="O120" s="30"/>
      <c r="P120" s="30"/>
      <c r="Q120" s="30"/>
      <c r="R120" s="30"/>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0"/>
      <c r="AV120" s="30"/>
      <c r="AW120" s="30"/>
      <c r="AX120" s="30"/>
      <c r="AY120" s="30"/>
      <c r="AZ120" s="30"/>
    </row>
    <row r="121" ht="20.25" customHeight="1">
      <c r="A121" s="30"/>
      <c r="B121" s="30"/>
      <c r="C121" s="64"/>
      <c r="D121" s="66"/>
      <c r="E121" s="66"/>
      <c r="H121" s="35"/>
      <c r="I121" s="35"/>
      <c r="J121" s="30"/>
      <c r="K121" s="30"/>
      <c r="L121" s="30"/>
      <c r="M121" s="30"/>
      <c r="N121" s="30"/>
      <c r="O121" s="30"/>
      <c r="P121" s="30"/>
      <c r="Q121" s="30"/>
      <c r="R121" s="30"/>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0"/>
      <c r="AV121" s="30"/>
      <c r="AW121" s="30"/>
      <c r="AX121" s="30"/>
      <c r="AY121" s="30"/>
      <c r="AZ121" s="30"/>
    </row>
    <row r="122" ht="20.25" customHeight="1">
      <c r="A122" s="30"/>
      <c r="B122" s="30"/>
      <c r="C122" s="64"/>
      <c r="D122" s="66"/>
      <c r="E122" s="66"/>
      <c r="H122" s="35"/>
      <c r="I122" s="35"/>
      <c r="J122" s="30"/>
      <c r="K122" s="30"/>
      <c r="L122" s="30"/>
      <c r="M122" s="30"/>
      <c r="N122" s="30"/>
      <c r="O122" s="30"/>
      <c r="P122" s="30"/>
      <c r="Q122" s="30"/>
      <c r="R122" s="30"/>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0"/>
      <c r="AV122" s="30"/>
      <c r="AW122" s="30"/>
      <c r="AX122" s="30"/>
      <c r="AY122" s="30"/>
      <c r="AZ122" s="30"/>
    </row>
    <row r="123" ht="20.25" customHeight="1">
      <c r="A123" s="30"/>
      <c r="B123" s="30"/>
      <c r="C123" s="64"/>
      <c r="D123" s="66"/>
      <c r="E123" s="66"/>
      <c r="H123" s="35"/>
      <c r="I123" s="35"/>
      <c r="J123" s="30"/>
      <c r="K123" s="30"/>
      <c r="L123" s="30"/>
      <c r="M123" s="30"/>
      <c r="N123" s="30"/>
      <c r="O123" s="30"/>
      <c r="P123" s="30"/>
      <c r="Q123" s="30"/>
      <c r="R123" s="30"/>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0"/>
      <c r="AV123" s="30"/>
      <c r="AW123" s="30"/>
      <c r="AX123" s="30"/>
      <c r="AY123" s="30"/>
      <c r="AZ123" s="30"/>
    </row>
    <row r="124" ht="20.25" customHeight="1">
      <c r="A124" s="30"/>
      <c r="B124" s="30"/>
      <c r="C124" s="64"/>
      <c r="D124" s="66"/>
      <c r="E124" s="66"/>
      <c r="H124" s="35"/>
      <c r="I124" s="35"/>
      <c r="J124" s="30"/>
      <c r="K124" s="30"/>
      <c r="L124" s="30"/>
      <c r="M124" s="30"/>
      <c r="N124" s="30"/>
      <c r="O124" s="30"/>
      <c r="P124" s="30"/>
      <c r="Q124" s="30"/>
      <c r="R124" s="30"/>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0"/>
      <c r="AV124" s="30"/>
      <c r="AW124" s="30"/>
      <c r="AX124" s="30"/>
      <c r="AY124" s="30"/>
      <c r="AZ124" s="30"/>
    </row>
    <row r="125" ht="20.25" customHeight="1">
      <c r="A125" s="30"/>
      <c r="B125" s="30"/>
      <c r="C125" s="64"/>
      <c r="D125" s="66"/>
      <c r="E125" s="66"/>
      <c r="H125" s="35"/>
      <c r="I125" s="35"/>
      <c r="J125" s="30"/>
      <c r="K125" s="30"/>
      <c r="L125" s="30"/>
      <c r="M125" s="30"/>
      <c r="N125" s="30"/>
      <c r="O125" s="30"/>
      <c r="P125" s="30"/>
      <c r="Q125" s="30"/>
      <c r="R125" s="30"/>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0"/>
      <c r="AV125" s="30"/>
      <c r="AW125" s="30"/>
      <c r="AX125" s="30"/>
      <c r="AY125" s="30"/>
      <c r="AZ125" s="30"/>
    </row>
    <row r="126" ht="20.25" customHeight="1">
      <c r="A126" s="30"/>
      <c r="B126" s="30"/>
      <c r="C126" s="64"/>
      <c r="D126" s="66"/>
      <c r="E126" s="66"/>
      <c r="H126" s="35"/>
      <c r="I126" s="35"/>
      <c r="J126" s="30"/>
      <c r="K126" s="30"/>
      <c r="L126" s="30"/>
      <c r="M126" s="30"/>
      <c r="N126" s="30"/>
      <c r="O126" s="30"/>
      <c r="P126" s="30"/>
      <c r="Q126" s="30"/>
      <c r="R126" s="30"/>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0"/>
      <c r="AV126" s="30"/>
      <c r="AW126" s="30"/>
      <c r="AX126" s="30"/>
      <c r="AY126" s="30"/>
      <c r="AZ126" s="30"/>
    </row>
    <row r="127" ht="20.25" customHeight="1">
      <c r="A127" s="30"/>
      <c r="B127" s="30"/>
      <c r="C127" s="64"/>
      <c r="D127" s="66"/>
      <c r="E127" s="66"/>
      <c r="H127" s="35"/>
      <c r="I127" s="35"/>
      <c r="J127" s="30"/>
      <c r="K127" s="30"/>
      <c r="L127" s="30"/>
      <c r="M127" s="30"/>
      <c r="N127" s="30"/>
      <c r="O127" s="30"/>
      <c r="P127" s="30"/>
      <c r="Q127" s="30"/>
      <c r="R127" s="30"/>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0"/>
      <c r="AV127" s="30"/>
      <c r="AW127" s="30"/>
      <c r="AX127" s="30"/>
      <c r="AY127" s="30"/>
      <c r="AZ127" s="30"/>
    </row>
    <row r="128" ht="20.25" customHeight="1">
      <c r="A128" s="30"/>
      <c r="B128" s="30"/>
      <c r="C128" s="64"/>
      <c r="D128" s="66"/>
      <c r="E128" s="66"/>
      <c r="H128" s="35"/>
      <c r="I128" s="35"/>
      <c r="J128" s="30"/>
      <c r="K128" s="30"/>
      <c r="L128" s="30"/>
      <c r="M128" s="30"/>
      <c r="N128" s="30"/>
      <c r="O128" s="30"/>
      <c r="P128" s="30"/>
      <c r="Q128" s="30"/>
      <c r="R128" s="30"/>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0"/>
      <c r="AV128" s="30"/>
      <c r="AW128" s="30"/>
      <c r="AX128" s="30"/>
      <c r="AY128" s="30"/>
      <c r="AZ128" s="30"/>
    </row>
    <row r="129" ht="20.25" customHeight="1">
      <c r="A129" s="30"/>
      <c r="B129" s="30"/>
      <c r="C129" s="64"/>
      <c r="D129" s="66"/>
      <c r="E129" s="66"/>
      <c r="H129" s="35"/>
      <c r="I129" s="35"/>
      <c r="J129" s="30"/>
      <c r="K129" s="30"/>
      <c r="L129" s="30"/>
      <c r="M129" s="30"/>
      <c r="N129" s="30"/>
      <c r="O129" s="30"/>
      <c r="P129" s="30"/>
      <c r="Q129" s="30"/>
      <c r="R129" s="30"/>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0"/>
      <c r="AV129" s="30"/>
      <c r="AW129" s="30"/>
      <c r="AX129" s="30"/>
      <c r="AY129" s="30"/>
      <c r="AZ129" s="30"/>
    </row>
    <row r="130" ht="20.25" customHeight="1">
      <c r="A130" s="30"/>
      <c r="B130" s="30"/>
      <c r="C130" s="64"/>
      <c r="D130" s="66"/>
      <c r="E130" s="66"/>
      <c r="H130" s="35"/>
      <c r="I130" s="35"/>
      <c r="J130" s="30"/>
      <c r="K130" s="30"/>
      <c r="L130" s="30"/>
      <c r="M130" s="30"/>
      <c r="N130" s="30"/>
      <c r="O130" s="30"/>
      <c r="P130" s="30"/>
      <c r="Q130" s="30"/>
      <c r="R130" s="30"/>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0"/>
      <c r="AV130" s="30"/>
      <c r="AW130" s="30"/>
      <c r="AX130" s="30"/>
      <c r="AY130" s="30"/>
      <c r="AZ130" s="30"/>
    </row>
    <row r="131" ht="20.25" customHeight="1">
      <c r="A131" s="30"/>
      <c r="B131" s="30"/>
      <c r="C131" s="64"/>
      <c r="D131" s="66"/>
      <c r="E131" s="66"/>
      <c r="H131" s="35"/>
      <c r="I131" s="35"/>
      <c r="J131" s="30"/>
      <c r="K131" s="30"/>
      <c r="L131" s="30"/>
      <c r="M131" s="30"/>
      <c r="N131" s="30"/>
      <c r="O131" s="30"/>
      <c r="P131" s="30"/>
      <c r="Q131" s="30"/>
      <c r="R131" s="30"/>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0"/>
      <c r="AV131" s="30"/>
      <c r="AW131" s="30"/>
      <c r="AX131" s="30"/>
      <c r="AY131" s="30"/>
      <c r="AZ131" s="30"/>
    </row>
    <row r="132" ht="20.25" customHeight="1">
      <c r="A132" s="30"/>
      <c r="B132" s="30"/>
      <c r="C132" s="64"/>
      <c r="D132" s="66"/>
      <c r="E132" s="66"/>
      <c r="H132" s="35"/>
      <c r="I132" s="35"/>
      <c r="J132" s="30"/>
      <c r="K132" s="30"/>
      <c r="L132" s="30"/>
      <c r="M132" s="30"/>
      <c r="N132" s="30"/>
      <c r="O132" s="30"/>
      <c r="P132" s="30"/>
      <c r="Q132" s="30"/>
      <c r="R132" s="30"/>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0"/>
      <c r="AV132" s="30"/>
      <c r="AW132" s="30"/>
      <c r="AX132" s="30"/>
      <c r="AY132" s="30"/>
      <c r="AZ132" s="30"/>
    </row>
    <row r="133" ht="20.25" customHeight="1">
      <c r="A133" s="30"/>
      <c r="B133" s="30"/>
      <c r="C133" s="64"/>
      <c r="D133" s="66"/>
      <c r="E133" s="66"/>
      <c r="H133" s="35"/>
      <c r="I133" s="35"/>
      <c r="J133" s="30"/>
      <c r="K133" s="30"/>
      <c r="L133" s="30"/>
      <c r="M133" s="30"/>
      <c r="N133" s="30"/>
      <c r="O133" s="30"/>
      <c r="P133" s="30"/>
      <c r="Q133" s="30"/>
      <c r="R133" s="30"/>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0"/>
      <c r="AV133" s="30"/>
      <c r="AW133" s="30"/>
      <c r="AX133" s="30"/>
      <c r="AY133" s="30"/>
      <c r="AZ133" s="30"/>
    </row>
    <row r="134" ht="20.25" customHeight="1">
      <c r="A134" s="30"/>
      <c r="B134" s="30"/>
      <c r="C134" s="64"/>
      <c r="D134" s="66"/>
      <c r="E134" s="66"/>
      <c r="H134" s="35"/>
      <c r="I134" s="35"/>
      <c r="J134" s="30"/>
      <c r="K134" s="30"/>
      <c r="L134" s="30"/>
      <c r="M134" s="30"/>
      <c r="N134" s="30"/>
      <c r="O134" s="30"/>
      <c r="P134" s="30"/>
      <c r="Q134" s="30"/>
      <c r="R134" s="30"/>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0"/>
      <c r="AV134" s="30"/>
      <c r="AW134" s="30"/>
      <c r="AX134" s="30"/>
      <c r="AY134" s="30"/>
      <c r="AZ134" s="30"/>
    </row>
    <row r="135" ht="20.25" customHeight="1">
      <c r="A135" s="30"/>
      <c r="B135" s="30"/>
      <c r="C135" s="64"/>
      <c r="D135" s="66"/>
      <c r="E135" s="66"/>
      <c r="H135" s="35"/>
      <c r="I135" s="35"/>
      <c r="J135" s="30"/>
      <c r="K135" s="30"/>
      <c r="L135" s="30"/>
      <c r="M135" s="30"/>
      <c r="N135" s="30"/>
      <c r="O135" s="30"/>
      <c r="P135" s="30"/>
      <c r="Q135" s="30"/>
      <c r="R135" s="30"/>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0"/>
      <c r="AV135" s="30"/>
      <c r="AW135" s="30"/>
      <c r="AX135" s="30"/>
      <c r="AY135" s="30"/>
      <c r="AZ135" s="30"/>
    </row>
    <row r="136" ht="20.25" customHeight="1">
      <c r="A136" s="30"/>
      <c r="B136" s="30"/>
      <c r="C136" s="64"/>
      <c r="D136" s="66"/>
      <c r="E136" s="66"/>
      <c r="H136" s="35"/>
      <c r="I136" s="35"/>
      <c r="J136" s="30"/>
      <c r="K136" s="30"/>
      <c r="L136" s="30"/>
      <c r="M136" s="30"/>
      <c r="N136" s="30"/>
      <c r="O136" s="30"/>
      <c r="P136" s="30"/>
      <c r="Q136" s="30"/>
      <c r="R136" s="30"/>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0"/>
      <c r="AV136" s="30"/>
      <c r="AW136" s="30"/>
      <c r="AX136" s="30"/>
      <c r="AY136" s="30"/>
      <c r="AZ136" s="30"/>
    </row>
    <row r="137" ht="20.25" customHeight="1">
      <c r="A137" s="30"/>
      <c r="B137" s="30"/>
      <c r="C137" s="64"/>
      <c r="D137" s="66"/>
      <c r="E137" s="66"/>
      <c r="H137" s="35"/>
      <c r="I137" s="35"/>
      <c r="J137" s="30"/>
      <c r="K137" s="30"/>
      <c r="L137" s="30"/>
      <c r="M137" s="30"/>
      <c r="N137" s="30"/>
      <c r="O137" s="30"/>
      <c r="P137" s="30"/>
      <c r="Q137" s="30"/>
      <c r="R137" s="30"/>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0"/>
      <c r="AV137" s="30"/>
      <c r="AW137" s="30"/>
      <c r="AX137" s="30"/>
      <c r="AY137" s="30"/>
      <c r="AZ137" s="30"/>
    </row>
    <row r="138" ht="20.25" customHeight="1">
      <c r="A138" s="30"/>
      <c r="B138" s="30"/>
      <c r="C138" s="64"/>
      <c r="D138" s="66"/>
      <c r="E138" s="66"/>
      <c r="H138" s="35"/>
      <c r="I138" s="35"/>
      <c r="J138" s="30"/>
      <c r="K138" s="30"/>
      <c r="L138" s="30"/>
      <c r="M138" s="30"/>
      <c r="N138" s="30"/>
      <c r="O138" s="30"/>
      <c r="P138" s="30"/>
      <c r="Q138" s="30"/>
      <c r="R138" s="30"/>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0"/>
      <c r="AV138" s="30"/>
      <c r="AW138" s="30"/>
      <c r="AX138" s="30"/>
      <c r="AY138" s="30"/>
      <c r="AZ138" s="30"/>
    </row>
    <row r="139" ht="20.25" customHeight="1">
      <c r="A139" s="30"/>
      <c r="B139" s="30"/>
      <c r="C139" s="64"/>
      <c r="D139" s="66"/>
      <c r="E139" s="66"/>
      <c r="H139" s="35"/>
      <c r="I139" s="35"/>
      <c r="J139" s="30"/>
      <c r="K139" s="30"/>
      <c r="L139" s="30"/>
      <c r="M139" s="30"/>
      <c r="N139" s="30"/>
      <c r="O139" s="30"/>
      <c r="P139" s="30"/>
      <c r="Q139" s="30"/>
      <c r="R139" s="30"/>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0"/>
      <c r="AV139" s="30"/>
      <c r="AW139" s="30"/>
      <c r="AX139" s="30"/>
      <c r="AY139" s="30"/>
      <c r="AZ139" s="30"/>
    </row>
    <row r="140" ht="20.25" customHeight="1">
      <c r="A140" s="30"/>
      <c r="B140" s="30"/>
      <c r="C140" s="64"/>
      <c r="D140" s="66"/>
      <c r="E140" s="66"/>
      <c r="H140" s="35"/>
      <c r="I140" s="35"/>
      <c r="J140" s="30"/>
      <c r="K140" s="30"/>
      <c r="L140" s="30"/>
      <c r="M140" s="30"/>
      <c r="N140" s="30"/>
      <c r="O140" s="30"/>
      <c r="P140" s="30"/>
      <c r="Q140" s="30"/>
      <c r="R140" s="30"/>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0"/>
      <c r="AV140" s="30"/>
      <c r="AW140" s="30"/>
      <c r="AX140" s="30"/>
      <c r="AY140" s="30"/>
      <c r="AZ140" s="30"/>
    </row>
    <row r="141" ht="20.25" customHeight="1">
      <c r="A141" s="30"/>
      <c r="B141" s="30"/>
      <c r="C141" s="64"/>
      <c r="D141" s="66"/>
      <c r="E141" s="66"/>
      <c r="H141" s="35"/>
      <c r="I141" s="35"/>
      <c r="J141" s="30"/>
      <c r="K141" s="30"/>
      <c r="L141" s="30"/>
      <c r="M141" s="30"/>
      <c r="N141" s="30"/>
      <c r="O141" s="30"/>
      <c r="P141" s="30"/>
      <c r="Q141" s="30"/>
      <c r="R141" s="30"/>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0"/>
      <c r="AV141" s="30"/>
      <c r="AW141" s="30"/>
      <c r="AX141" s="30"/>
      <c r="AY141" s="30"/>
      <c r="AZ141" s="30"/>
    </row>
    <row r="142" ht="20.25" customHeight="1">
      <c r="A142" s="30"/>
      <c r="B142" s="30"/>
      <c r="C142" s="64"/>
      <c r="D142" s="66"/>
      <c r="E142" s="66"/>
      <c r="H142" s="35"/>
      <c r="I142" s="35"/>
      <c r="J142" s="30"/>
      <c r="K142" s="30"/>
      <c r="L142" s="30"/>
      <c r="M142" s="30"/>
      <c r="N142" s="30"/>
      <c r="O142" s="30"/>
      <c r="P142" s="30"/>
      <c r="Q142" s="30"/>
      <c r="R142" s="30"/>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0"/>
      <c r="AV142" s="30"/>
      <c r="AW142" s="30"/>
      <c r="AX142" s="30"/>
      <c r="AY142" s="30"/>
      <c r="AZ142" s="30"/>
    </row>
    <row r="143" ht="20.25" customHeight="1">
      <c r="A143" s="30"/>
      <c r="B143" s="30"/>
      <c r="C143" s="64"/>
      <c r="D143" s="66"/>
      <c r="E143" s="66"/>
      <c r="H143" s="35"/>
      <c r="I143" s="35"/>
      <c r="J143" s="30"/>
      <c r="K143" s="30"/>
      <c r="L143" s="30"/>
      <c r="M143" s="30"/>
      <c r="N143" s="30"/>
      <c r="O143" s="30"/>
      <c r="P143" s="30"/>
      <c r="Q143" s="30"/>
      <c r="R143" s="30"/>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0"/>
      <c r="AV143" s="30"/>
      <c r="AW143" s="30"/>
      <c r="AX143" s="30"/>
      <c r="AY143" s="30"/>
      <c r="AZ143" s="30"/>
    </row>
    <row r="144" ht="20.25" customHeight="1">
      <c r="A144" s="30"/>
      <c r="B144" s="30"/>
      <c r="C144" s="64"/>
      <c r="D144" s="66"/>
      <c r="E144" s="66"/>
      <c r="H144" s="35"/>
      <c r="I144" s="35"/>
      <c r="J144" s="30"/>
      <c r="K144" s="30"/>
      <c r="L144" s="30"/>
      <c r="M144" s="30"/>
      <c r="N144" s="30"/>
      <c r="O144" s="30"/>
      <c r="P144" s="30"/>
      <c r="Q144" s="30"/>
      <c r="R144" s="30"/>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0"/>
      <c r="AV144" s="30"/>
      <c r="AW144" s="30"/>
      <c r="AX144" s="30"/>
      <c r="AY144" s="30"/>
      <c r="AZ144" s="30"/>
    </row>
    <row r="145" ht="20.25" customHeight="1">
      <c r="A145" s="30"/>
      <c r="B145" s="30"/>
      <c r="C145" s="64"/>
      <c r="D145" s="66"/>
      <c r="E145" s="66"/>
      <c r="H145" s="35"/>
      <c r="I145" s="35"/>
      <c r="J145" s="30"/>
      <c r="K145" s="30"/>
      <c r="L145" s="30"/>
      <c r="M145" s="30"/>
      <c r="N145" s="30"/>
      <c r="O145" s="30"/>
      <c r="P145" s="30"/>
      <c r="Q145" s="30"/>
      <c r="R145" s="30"/>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0"/>
      <c r="AV145" s="30"/>
      <c r="AW145" s="30"/>
      <c r="AX145" s="30"/>
      <c r="AY145" s="30"/>
      <c r="AZ145" s="30"/>
    </row>
    <row r="146" ht="20.25" customHeight="1">
      <c r="A146" s="30"/>
      <c r="B146" s="30"/>
      <c r="C146" s="64"/>
      <c r="D146" s="66"/>
      <c r="E146" s="66"/>
      <c r="H146" s="35"/>
      <c r="I146" s="35"/>
      <c r="J146" s="30"/>
      <c r="K146" s="30"/>
      <c r="L146" s="30"/>
      <c r="M146" s="30"/>
      <c r="N146" s="30"/>
      <c r="O146" s="30"/>
      <c r="P146" s="30"/>
      <c r="Q146" s="30"/>
      <c r="R146" s="30"/>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0"/>
      <c r="AV146" s="30"/>
      <c r="AW146" s="30"/>
      <c r="AX146" s="30"/>
      <c r="AY146" s="30"/>
      <c r="AZ146" s="30"/>
    </row>
    <row r="147" ht="20.25" customHeight="1">
      <c r="A147" s="30"/>
      <c r="B147" s="30"/>
      <c r="C147" s="64"/>
      <c r="D147" s="66"/>
      <c r="E147" s="66"/>
      <c r="H147" s="35"/>
      <c r="I147" s="35"/>
      <c r="J147" s="30"/>
      <c r="K147" s="30"/>
      <c r="L147" s="30"/>
      <c r="M147" s="30"/>
      <c r="N147" s="30"/>
      <c r="O147" s="30"/>
      <c r="P147" s="30"/>
      <c r="Q147" s="30"/>
      <c r="R147" s="30"/>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0"/>
      <c r="AV147" s="30"/>
      <c r="AW147" s="30"/>
      <c r="AX147" s="30"/>
      <c r="AY147" s="30"/>
      <c r="AZ147" s="30"/>
    </row>
    <row r="148" ht="20.25" customHeight="1">
      <c r="A148" s="30"/>
      <c r="B148" s="30"/>
      <c r="C148" s="64"/>
      <c r="D148" s="66"/>
      <c r="E148" s="66"/>
      <c r="H148" s="35"/>
      <c r="I148" s="35"/>
      <c r="J148" s="30"/>
      <c r="K148" s="30"/>
      <c r="L148" s="30"/>
      <c r="M148" s="30"/>
      <c r="N148" s="30"/>
      <c r="O148" s="30"/>
      <c r="P148" s="30"/>
      <c r="Q148" s="30"/>
      <c r="R148" s="30"/>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0"/>
      <c r="AV148" s="30"/>
      <c r="AW148" s="30"/>
      <c r="AX148" s="30"/>
      <c r="AY148" s="30"/>
      <c r="AZ148" s="30"/>
    </row>
    <row r="149" ht="20.25" customHeight="1">
      <c r="A149" s="30"/>
      <c r="B149" s="30"/>
      <c r="C149" s="64"/>
      <c r="D149" s="66"/>
      <c r="E149" s="66"/>
      <c r="H149" s="35"/>
      <c r="I149" s="35"/>
      <c r="J149" s="30"/>
      <c r="K149" s="30"/>
      <c r="L149" s="30"/>
      <c r="M149" s="30"/>
      <c r="N149" s="30"/>
      <c r="O149" s="30"/>
      <c r="P149" s="30"/>
      <c r="Q149" s="30"/>
      <c r="R149" s="30"/>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0"/>
      <c r="AV149" s="30"/>
      <c r="AW149" s="30"/>
      <c r="AX149" s="30"/>
      <c r="AY149" s="30"/>
      <c r="AZ149" s="30"/>
    </row>
    <row r="150" ht="20.25" customHeight="1">
      <c r="A150" s="30"/>
      <c r="B150" s="30"/>
      <c r="C150" s="64"/>
      <c r="D150" s="66"/>
      <c r="E150" s="66"/>
      <c r="H150" s="35"/>
      <c r="I150" s="35"/>
      <c r="J150" s="30"/>
      <c r="K150" s="30"/>
      <c r="L150" s="30"/>
      <c r="M150" s="30"/>
      <c r="N150" s="30"/>
      <c r="O150" s="30"/>
      <c r="P150" s="30"/>
      <c r="Q150" s="30"/>
      <c r="R150" s="30"/>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0"/>
      <c r="AV150" s="30"/>
      <c r="AW150" s="30"/>
      <c r="AX150" s="30"/>
      <c r="AY150" s="30"/>
      <c r="AZ150" s="30"/>
    </row>
    <row r="151" ht="20.25" customHeight="1">
      <c r="A151" s="30"/>
      <c r="B151" s="30"/>
      <c r="C151" s="64"/>
      <c r="D151" s="66"/>
      <c r="E151" s="66"/>
      <c r="H151" s="35"/>
      <c r="I151" s="35"/>
      <c r="J151" s="30"/>
      <c r="K151" s="30"/>
      <c r="L151" s="30"/>
      <c r="M151" s="30"/>
      <c r="N151" s="30"/>
      <c r="O151" s="30"/>
      <c r="P151" s="30"/>
      <c r="Q151" s="30"/>
      <c r="R151" s="30"/>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0"/>
      <c r="AV151" s="30"/>
      <c r="AW151" s="30"/>
      <c r="AX151" s="30"/>
      <c r="AY151" s="30"/>
      <c r="AZ151" s="30"/>
    </row>
    <row r="152" ht="20.25" customHeight="1">
      <c r="A152" s="30"/>
      <c r="B152" s="30"/>
      <c r="C152" s="64"/>
      <c r="D152" s="66"/>
      <c r="E152" s="66"/>
      <c r="H152" s="35"/>
      <c r="I152" s="35"/>
      <c r="J152" s="30"/>
      <c r="K152" s="30"/>
      <c r="L152" s="30"/>
      <c r="M152" s="30"/>
      <c r="N152" s="30"/>
      <c r="O152" s="30"/>
      <c r="P152" s="30"/>
      <c r="Q152" s="30"/>
      <c r="R152" s="30"/>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0"/>
      <c r="AV152" s="30"/>
      <c r="AW152" s="30"/>
      <c r="AX152" s="30"/>
      <c r="AY152" s="30"/>
      <c r="AZ152" s="30"/>
    </row>
    <row r="153" ht="20.25" customHeight="1">
      <c r="A153" s="30"/>
      <c r="B153" s="30"/>
      <c r="C153" s="64"/>
      <c r="D153" s="66"/>
      <c r="E153" s="66"/>
      <c r="H153" s="35"/>
      <c r="I153" s="35"/>
      <c r="J153" s="30"/>
      <c r="K153" s="30"/>
      <c r="L153" s="30"/>
      <c r="M153" s="30"/>
      <c r="N153" s="30"/>
      <c r="O153" s="30"/>
      <c r="P153" s="30"/>
      <c r="Q153" s="30"/>
      <c r="R153" s="30"/>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0"/>
      <c r="AV153" s="30"/>
      <c r="AW153" s="30"/>
      <c r="AX153" s="30"/>
      <c r="AY153" s="30"/>
      <c r="AZ153" s="30"/>
    </row>
    <row r="154" ht="20.25" customHeight="1">
      <c r="A154" s="30"/>
      <c r="B154" s="30"/>
      <c r="C154" s="64"/>
      <c r="D154" s="66"/>
      <c r="E154" s="66"/>
      <c r="H154" s="35"/>
      <c r="I154" s="35"/>
      <c r="J154" s="30"/>
      <c r="K154" s="30"/>
      <c r="L154" s="30"/>
      <c r="M154" s="30"/>
      <c r="N154" s="30"/>
      <c r="O154" s="30"/>
      <c r="P154" s="30"/>
      <c r="Q154" s="30"/>
      <c r="R154" s="30"/>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0"/>
      <c r="AV154" s="30"/>
      <c r="AW154" s="30"/>
      <c r="AX154" s="30"/>
      <c r="AY154" s="30"/>
      <c r="AZ154" s="30"/>
    </row>
    <row r="155" ht="20.25" customHeight="1">
      <c r="A155" s="30"/>
      <c r="B155" s="30"/>
      <c r="C155" s="64"/>
      <c r="D155" s="66"/>
      <c r="E155" s="66"/>
      <c r="H155" s="35"/>
      <c r="I155" s="35"/>
      <c r="J155" s="30"/>
      <c r="K155" s="30"/>
      <c r="L155" s="30"/>
      <c r="M155" s="30"/>
      <c r="N155" s="30"/>
      <c r="O155" s="30"/>
      <c r="P155" s="30"/>
      <c r="Q155" s="30"/>
      <c r="R155" s="30"/>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0"/>
      <c r="AV155" s="30"/>
      <c r="AW155" s="30"/>
      <c r="AX155" s="30"/>
      <c r="AY155" s="30"/>
      <c r="AZ155" s="30"/>
    </row>
    <row r="156" ht="20.25" customHeight="1">
      <c r="A156" s="30"/>
      <c r="B156" s="30"/>
      <c r="C156" s="64"/>
      <c r="D156" s="66"/>
      <c r="E156" s="66"/>
      <c r="H156" s="35"/>
      <c r="I156" s="35"/>
      <c r="J156" s="30"/>
      <c r="K156" s="30"/>
      <c r="L156" s="30"/>
      <c r="M156" s="30"/>
      <c r="N156" s="30"/>
      <c r="O156" s="30"/>
      <c r="P156" s="30"/>
      <c r="Q156" s="30"/>
      <c r="R156" s="30"/>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0"/>
      <c r="AV156" s="30"/>
      <c r="AW156" s="30"/>
      <c r="AX156" s="30"/>
      <c r="AY156" s="30"/>
      <c r="AZ156" s="30"/>
    </row>
    <row r="157" ht="20.25" customHeight="1">
      <c r="A157" s="30"/>
      <c r="B157" s="30"/>
      <c r="C157" s="64"/>
      <c r="D157" s="66"/>
      <c r="E157" s="66"/>
      <c r="H157" s="35"/>
      <c r="I157" s="35"/>
      <c r="J157" s="30"/>
      <c r="K157" s="30"/>
      <c r="L157" s="30"/>
      <c r="M157" s="30"/>
      <c r="N157" s="30"/>
      <c r="O157" s="30"/>
      <c r="P157" s="30"/>
      <c r="Q157" s="30"/>
      <c r="R157" s="30"/>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0"/>
      <c r="AV157" s="30"/>
      <c r="AW157" s="30"/>
      <c r="AX157" s="30"/>
      <c r="AY157" s="30"/>
      <c r="AZ157" s="30"/>
    </row>
    <row r="158" ht="20.25" customHeight="1">
      <c r="A158" s="30"/>
      <c r="B158" s="30"/>
      <c r="C158" s="64"/>
      <c r="D158" s="66"/>
      <c r="E158" s="66"/>
      <c r="H158" s="35"/>
      <c r="I158" s="35"/>
      <c r="J158" s="30"/>
      <c r="K158" s="30"/>
      <c r="L158" s="30"/>
      <c r="M158" s="30"/>
      <c r="N158" s="30"/>
      <c r="O158" s="30"/>
      <c r="P158" s="30"/>
      <c r="Q158" s="30"/>
      <c r="R158" s="30"/>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0"/>
      <c r="AV158" s="30"/>
      <c r="AW158" s="30"/>
      <c r="AX158" s="30"/>
      <c r="AY158" s="30"/>
      <c r="AZ158" s="30"/>
    </row>
    <row r="159" ht="20.25" customHeight="1">
      <c r="A159" s="30"/>
      <c r="B159" s="30"/>
      <c r="C159" s="64"/>
      <c r="D159" s="66"/>
      <c r="E159" s="66"/>
      <c r="H159" s="35"/>
      <c r="I159" s="35"/>
      <c r="J159" s="30"/>
      <c r="K159" s="30"/>
      <c r="L159" s="30"/>
      <c r="M159" s="30"/>
      <c r="N159" s="30"/>
      <c r="O159" s="30"/>
      <c r="P159" s="30"/>
      <c r="Q159" s="30"/>
      <c r="R159" s="30"/>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0"/>
      <c r="AV159" s="30"/>
      <c r="AW159" s="30"/>
      <c r="AX159" s="30"/>
      <c r="AY159" s="30"/>
      <c r="AZ159" s="30"/>
    </row>
    <row r="160" ht="20.25" customHeight="1">
      <c r="A160" s="30"/>
      <c r="B160" s="30"/>
      <c r="C160" s="64"/>
      <c r="D160" s="66"/>
      <c r="E160" s="66"/>
      <c r="H160" s="35"/>
      <c r="I160" s="35"/>
      <c r="J160" s="30"/>
      <c r="K160" s="30"/>
      <c r="L160" s="30"/>
      <c r="M160" s="30"/>
      <c r="N160" s="30"/>
      <c r="O160" s="30"/>
      <c r="P160" s="30"/>
      <c r="Q160" s="30"/>
      <c r="R160" s="30"/>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0"/>
      <c r="AV160" s="30"/>
      <c r="AW160" s="30"/>
      <c r="AX160" s="30"/>
      <c r="AY160" s="30"/>
      <c r="AZ160" s="30"/>
    </row>
    <row r="161" ht="20.25" customHeight="1">
      <c r="A161" s="30"/>
      <c r="B161" s="30"/>
      <c r="C161" s="64"/>
      <c r="D161" s="66"/>
      <c r="E161" s="66"/>
      <c r="H161" s="35"/>
      <c r="I161" s="35"/>
      <c r="J161" s="30"/>
      <c r="K161" s="30"/>
      <c r="L161" s="30"/>
      <c r="M161" s="30"/>
      <c r="N161" s="30"/>
      <c r="O161" s="30"/>
      <c r="P161" s="30"/>
      <c r="Q161" s="30"/>
      <c r="R161" s="30"/>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0"/>
      <c r="AV161" s="30"/>
      <c r="AW161" s="30"/>
      <c r="AX161" s="30"/>
      <c r="AY161" s="30"/>
      <c r="AZ161" s="30"/>
    </row>
    <row r="162" ht="20.25" customHeight="1">
      <c r="A162" s="30"/>
      <c r="B162" s="30"/>
      <c r="C162" s="64"/>
      <c r="D162" s="66"/>
      <c r="E162" s="66"/>
      <c r="H162" s="35"/>
      <c r="I162" s="35"/>
      <c r="J162" s="30"/>
      <c r="K162" s="30"/>
      <c r="L162" s="30"/>
      <c r="M162" s="30"/>
      <c r="N162" s="30"/>
      <c r="O162" s="30"/>
      <c r="P162" s="30"/>
      <c r="Q162" s="30"/>
      <c r="R162" s="30"/>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0"/>
      <c r="AV162" s="30"/>
      <c r="AW162" s="30"/>
      <c r="AX162" s="30"/>
      <c r="AY162" s="30"/>
      <c r="AZ162" s="30"/>
    </row>
    <row r="163" ht="20.25" customHeight="1">
      <c r="A163" s="30"/>
      <c r="B163" s="30"/>
      <c r="C163" s="64"/>
      <c r="D163" s="66"/>
      <c r="E163" s="66"/>
      <c r="H163" s="35"/>
      <c r="I163" s="35"/>
      <c r="J163" s="30"/>
      <c r="K163" s="30"/>
      <c r="L163" s="30"/>
      <c r="M163" s="30"/>
      <c r="N163" s="30"/>
      <c r="O163" s="30"/>
      <c r="P163" s="30"/>
      <c r="Q163" s="30"/>
      <c r="R163" s="30"/>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0"/>
      <c r="AV163" s="30"/>
      <c r="AW163" s="30"/>
      <c r="AX163" s="30"/>
      <c r="AY163" s="30"/>
      <c r="AZ163" s="30"/>
    </row>
    <row r="164" ht="20.25" customHeight="1">
      <c r="A164" s="30"/>
      <c r="B164" s="30"/>
      <c r="C164" s="64"/>
      <c r="D164" s="66"/>
      <c r="E164" s="66"/>
      <c r="H164" s="35"/>
      <c r="I164" s="35"/>
      <c r="J164" s="30"/>
      <c r="K164" s="30"/>
      <c r="L164" s="30"/>
      <c r="M164" s="30"/>
      <c r="N164" s="30"/>
      <c r="O164" s="30"/>
      <c r="P164" s="30"/>
      <c r="Q164" s="30"/>
      <c r="R164" s="30"/>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0"/>
      <c r="AV164" s="30"/>
      <c r="AW164" s="30"/>
      <c r="AX164" s="30"/>
      <c r="AY164" s="30"/>
      <c r="AZ164" s="30"/>
    </row>
    <row r="165" ht="20.25" customHeight="1">
      <c r="A165" s="30"/>
      <c r="B165" s="30"/>
      <c r="C165" s="64"/>
      <c r="D165" s="66"/>
      <c r="E165" s="66"/>
      <c r="H165" s="35"/>
      <c r="I165" s="35"/>
      <c r="J165" s="30"/>
      <c r="K165" s="30"/>
      <c r="L165" s="30"/>
      <c r="M165" s="30"/>
      <c r="N165" s="30"/>
      <c r="O165" s="30"/>
      <c r="P165" s="30"/>
      <c r="Q165" s="30"/>
      <c r="R165" s="30"/>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0"/>
      <c r="AV165" s="30"/>
      <c r="AW165" s="30"/>
      <c r="AX165" s="30"/>
      <c r="AY165" s="30"/>
      <c r="AZ165" s="30"/>
    </row>
    <row r="166" ht="20.25" customHeight="1">
      <c r="A166" s="30"/>
      <c r="B166" s="30"/>
      <c r="C166" s="64"/>
      <c r="D166" s="66"/>
      <c r="E166" s="66"/>
      <c r="H166" s="35"/>
      <c r="I166" s="35"/>
      <c r="J166" s="30"/>
      <c r="K166" s="30"/>
      <c r="L166" s="30"/>
      <c r="M166" s="30"/>
      <c r="N166" s="30"/>
      <c r="O166" s="30"/>
      <c r="P166" s="30"/>
      <c r="Q166" s="30"/>
      <c r="R166" s="30"/>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0"/>
      <c r="AV166" s="30"/>
      <c r="AW166" s="30"/>
      <c r="AX166" s="30"/>
      <c r="AY166" s="30"/>
      <c r="AZ166" s="30"/>
    </row>
    <row r="167" ht="20.25" customHeight="1">
      <c r="A167" s="30"/>
      <c r="B167" s="30"/>
      <c r="C167" s="64"/>
      <c r="D167" s="66"/>
      <c r="E167" s="66"/>
      <c r="H167" s="35"/>
      <c r="I167" s="35"/>
      <c r="J167" s="30"/>
      <c r="K167" s="30"/>
      <c r="L167" s="30"/>
      <c r="M167" s="30"/>
      <c r="N167" s="30"/>
      <c r="O167" s="30"/>
      <c r="P167" s="30"/>
      <c r="Q167" s="30"/>
      <c r="R167" s="30"/>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0"/>
      <c r="AV167" s="30"/>
      <c r="AW167" s="30"/>
      <c r="AX167" s="30"/>
      <c r="AY167" s="30"/>
      <c r="AZ167" s="30"/>
    </row>
    <row r="168" ht="20.25" customHeight="1">
      <c r="A168" s="30"/>
      <c r="B168" s="30"/>
      <c r="C168" s="64"/>
      <c r="D168" s="66"/>
      <c r="E168" s="66"/>
      <c r="H168" s="35"/>
      <c r="I168" s="35"/>
      <c r="J168" s="30"/>
      <c r="K168" s="30"/>
      <c r="L168" s="30"/>
      <c r="M168" s="30"/>
      <c r="N168" s="30"/>
      <c r="O168" s="30"/>
      <c r="P168" s="30"/>
      <c r="Q168" s="30"/>
      <c r="R168" s="30"/>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0"/>
      <c r="AV168" s="30"/>
      <c r="AW168" s="30"/>
      <c r="AX168" s="30"/>
      <c r="AY168" s="30"/>
      <c r="AZ168" s="30"/>
    </row>
    <row r="169" ht="20.25" customHeight="1">
      <c r="A169" s="30"/>
      <c r="B169" s="30"/>
      <c r="C169" s="64"/>
      <c r="D169" s="66"/>
      <c r="E169" s="66"/>
      <c r="H169" s="35"/>
      <c r="I169" s="35"/>
      <c r="J169" s="30"/>
      <c r="K169" s="30"/>
      <c r="L169" s="30"/>
      <c r="M169" s="30"/>
      <c r="N169" s="30"/>
      <c r="O169" s="30"/>
      <c r="P169" s="30"/>
      <c r="Q169" s="30"/>
      <c r="R169" s="30"/>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0"/>
      <c r="AV169" s="30"/>
      <c r="AW169" s="30"/>
      <c r="AX169" s="30"/>
      <c r="AY169" s="30"/>
      <c r="AZ169" s="30"/>
    </row>
    <row r="170" ht="20.25" customHeight="1">
      <c r="A170" s="30"/>
      <c r="B170" s="30"/>
      <c r="C170" s="64"/>
      <c r="D170" s="66"/>
      <c r="E170" s="66"/>
      <c r="H170" s="35"/>
      <c r="I170" s="35"/>
      <c r="J170" s="30"/>
      <c r="K170" s="30"/>
      <c r="L170" s="30"/>
      <c r="M170" s="30"/>
      <c r="N170" s="30"/>
      <c r="O170" s="30"/>
      <c r="P170" s="30"/>
      <c r="Q170" s="30"/>
      <c r="R170" s="30"/>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0"/>
      <c r="AV170" s="30"/>
      <c r="AW170" s="30"/>
      <c r="AX170" s="30"/>
      <c r="AY170" s="30"/>
      <c r="AZ170" s="30"/>
    </row>
    <row r="171" ht="20.25" customHeight="1">
      <c r="A171" s="30"/>
      <c r="B171" s="30"/>
      <c r="C171" s="64"/>
      <c r="D171" s="66"/>
      <c r="E171" s="66"/>
      <c r="H171" s="35"/>
      <c r="I171" s="35"/>
      <c r="J171" s="30"/>
      <c r="K171" s="30"/>
      <c r="L171" s="30"/>
      <c r="M171" s="30"/>
      <c r="N171" s="30"/>
      <c r="O171" s="30"/>
      <c r="P171" s="30"/>
      <c r="Q171" s="30"/>
      <c r="R171" s="30"/>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0"/>
      <c r="AV171" s="30"/>
      <c r="AW171" s="30"/>
      <c r="AX171" s="30"/>
      <c r="AY171" s="30"/>
      <c r="AZ171" s="30"/>
    </row>
    <row r="172" ht="20.25" customHeight="1">
      <c r="A172" s="30"/>
      <c r="B172" s="30"/>
      <c r="C172" s="64"/>
      <c r="D172" s="66"/>
      <c r="E172" s="66"/>
      <c r="H172" s="35"/>
      <c r="I172" s="35"/>
      <c r="J172" s="30"/>
      <c r="K172" s="30"/>
      <c r="L172" s="30"/>
      <c r="M172" s="30"/>
      <c r="N172" s="30"/>
      <c r="O172" s="30"/>
      <c r="P172" s="30"/>
      <c r="Q172" s="30"/>
      <c r="R172" s="30"/>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0"/>
      <c r="AV172" s="30"/>
      <c r="AW172" s="30"/>
      <c r="AX172" s="30"/>
      <c r="AY172" s="30"/>
      <c r="AZ172" s="30"/>
    </row>
    <row r="173" ht="20.25" customHeight="1">
      <c r="A173" s="30"/>
      <c r="B173" s="30"/>
      <c r="C173" s="64"/>
      <c r="D173" s="66"/>
      <c r="E173" s="66"/>
      <c r="H173" s="35"/>
      <c r="I173" s="35"/>
      <c r="J173" s="30"/>
      <c r="K173" s="30"/>
      <c r="L173" s="30"/>
      <c r="M173" s="30"/>
      <c r="N173" s="30"/>
      <c r="O173" s="30"/>
      <c r="P173" s="30"/>
      <c r="Q173" s="30"/>
      <c r="R173" s="30"/>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0"/>
      <c r="AV173" s="30"/>
      <c r="AW173" s="30"/>
      <c r="AX173" s="30"/>
      <c r="AY173" s="30"/>
      <c r="AZ173" s="30"/>
    </row>
    <row r="174" ht="20.25" customHeight="1">
      <c r="A174" s="30"/>
      <c r="B174" s="30"/>
      <c r="C174" s="64"/>
      <c r="D174" s="66"/>
      <c r="E174" s="66"/>
      <c r="H174" s="35"/>
      <c r="I174" s="35"/>
      <c r="J174" s="30"/>
      <c r="K174" s="30"/>
      <c r="L174" s="30"/>
      <c r="M174" s="30"/>
      <c r="N174" s="30"/>
      <c r="O174" s="30"/>
      <c r="P174" s="30"/>
      <c r="Q174" s="30"/>
      <c r="R174" s="30"/>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0"/>
      <c r="AV174" s="30"/>
      <c r="AW174" s="30"/>
      <c r="AX174" s="30"/>
      <c r="AY174" s="30"/>
      <c r="AZ174" s="30"/>
    </row>
    <row r="175" ht="20.25" customHeight="1">
      <c r="A175" s="30"/>
      <c r="B175" s="30"/>
      <c r="C175" s="64"/>
      <c r="D175" s="66"/>
      <c r="E175" s="66"/>
      <c r="H175" s="35"/>
      <c r="I175" s="35"/>
      <c r="J175" s="30"/>
      <c r="K175" s="30"/>
      <c r="L175" s="30"/>
      <c r="M175" s="30"/>
      <c r="N175" s="30"/>
      <c r="O175" s="30"/>
      <c r="P175" s="30"/>
      <c r="Q175" s="30"/>
      <c r="R175" s="30"/>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0"/>
      <c r="AV175" s="30"/>
      <c r="AW175" s="30"/>
      <c r="AX175" s="30"/>
      <c r="AY175" s="30"/>
      <c r="AZ175" s="30"/>
    </row>
    <row r="176" ht="20.25" customHeight="1">
      <c r="A176" s="30"/>
      <c r="B176" s="30"/>
      <c r="C176" s="64"/>
      <c r="D176" s="66"/>
      <c r="E176" s="66"/>
      <c r="H176" s="35"/>
      <c r="I176" s="35"/>
      <c r="J176" s="30"/>
      <c r="K176" s="30"/>
      <c r="L176" s="30"/>
      <c r="M176" s="30"/>
      <c r="N176" s="30"/>
      <c r="O176" s="30"/>
      <c r="P176" s="30"/>
      <c r="Q176" s="30"/>
      <c r="R176" s="30"/>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0"/>
      <c r="AV176" s="30"/>
      <c r="AW176" s="30"/>
      <c r="AX176" s="30"/>
      <c r="AY176" s="30"/>
      <c r="AZ176" s="30"/>
    </row>
    <row r="177" ht="20.25" customHeight="1">
      <c r="A177" s="30"/>
      <c r="B177" s="30"/>
      <c r="C177" s="64"/>
      <c r="D177" s="66"/>
      <c r="E177" s="66"/>
      <c r="H177" s="35"/>
      <c r="I177" s="35"/>
      <c r="J177" s="30"/>
      <c r="K177" s="30"/>
      <c r="L177" s="30"/>
      <c r="M177" s="30"/>
      <c r="N177" s="30"/>
      <c r="O177" s="30"/>
      <c r="P177" s="30"/>
      <c r="Q177" s="30"/>
      <c r="R177" s="30"/>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0"/>
      <c r="AV177" s="30"/>
      <c r="AW177" s="30"/>
      <c r="AX177" s="30"/>
      <c r="AY177" s="30"/>
      <c r="AZ177" s="30"/>
    </row>
    <row r="178" ht="20.25" customHeight="1">
      <c r="A178" s="30"/>
      <c r="B178" s="30"/>
      <c r="C178" s="64"/>
      <c r="D178" s="66"/>
      <c r="E178" s="66"/>
      <c r="H178" s="35"/>
      <c r="I178" s="35"/>
      <c r="J178" s="30"/>
      <c r="K178" s="30"/>
      <c r="L178" s="30"/>
      <c r="M178" s="30"/>
      <c r="N178" s="30"/>
      <c r="O178" s="30"/>
      <c r="P178" s="30"/>
      <c r="Q178" s="30"/>
      <c r="R178" s="30"/>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0"/>
      <c r="AV178" s="30"/>
      <c r="AW178" s="30"/>
      <c r="AX178" s="30"/>
      <c r="AY178" s="30"/>
      <c r="AZ178" s="30"/>
    </row>
    <row r="179" ht="20.25" customHeight="1">
      <c r="A179" s="30"/>
      <c r="B179" s="30"/>
      <c r="C179" s="64"/>
      <c r="D179" s="66"/>
      <c r="E179" s="66"/>
      <c r="H179" s="35"/>
      <c r="I179" s="35"/>
      <c r="J179" s="30"/>
      <c r="K179" s="30"/>
      <c r="L179" s="30"/>
      <c r="M179" s="30"/>
      <c r="N179" s="30"/>
      <c r="O179" s="30"/>
      <c r="P179" s="30"/>
      <c r="Q179" s="30"/>
      <c r="R179" s="30"/>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0"/>
      <c r="AV179" s="30"/>
      <c r="AW179" s="30"/>
      <c r="AX179" s="30"/>
      <c r="AY179" s="30"/>
      <c r="AZ179" s="30"/>
    </row>
    <row r="180" ht="20.25" customHeight="1">
      <c r="A180" s="30"/>
      <c r="B180" s="30"/>
      <c r="C180" s="64"/>
      <c r="D180" s="66"/>
      <c r="E180" s="66"/>
      <c r="H180" s="35"/>
      <c r="I180" s="35"/>
      <c r="J180" s="30"/>
      <c r="K180" s="30"/>
      <c r="L180" s="30"/>
      <c r="M180" s="30"/>
      <c r="N180" s="30"/>
      <c r="O180" s="30"/>
      <c r="P180" s="30"/>
      <c r="Q180" s="30"/>
      <c r="R180" s="30"/>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0"/>
      <c r="AV180" s="30"/>
      <c r="AW180" s="30"/>
      <c r="AX180" s="30"/>
      <c r="AY180" s="30"/>
      <c r="AZ180" s="30"/>
    </row>
    <row r="181" ht="20.25" customHeight="1">
      <c r="A181" s="30"/>
      <c r="B181" s="30"/>
      <c r="C181" s="64"/>
      <c r="D181" s="66"/>
      <c r="E181" s="66"/>
      <c r="H181" s="35"/>
      <c r="I181" s="35"/>
      <c r="J181" s="30"/>
      <c r="K181" s="30"/>
      <c r="L181" s="30"/>
      <c r="M181" s="30"/>
      <c r="N181" s="30"/>
      <c r="O181" s="30"/>
      <c r="P181" s="30"/>
      <c r="Q181" s="30"/>
      <c r="R181" s="30"/>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0"/>
      <c r="AV181" s="30"/>
      <c r="AW181" s="30"/>
      <c r="AX181" s="30"/>
      <c r="AY181" s="30"/>
      <c r="AZ181" s="30"/>
    </row>
    <row r="182" ht="20.25" customHeight="1">
      <c r="A182" s="30"/>
      <c r="B182" s="30"/>
      <c r="C182" s="64"/>
      <c r="D182" s="66"/>
      <c r="E182" s="66"/>
      <c r="H182" s="35"/>
      <c r="I182" s="35"/>
      <c r="J182" s="30"/>
      <c r="K182" s="30"/>
      <c r="L182" s="30"/>
      <c r="M182" s="30"/>
      <c r="N182" s="30"/>
      <c r="O182" s="30"/>
      <c r="P182" s="30"/>
      <c r="Q182" s="30"/>
      <c r="R182" s="30"/>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0"/>
      <c r="AV182" s="30"/>
      <c r="AW182" s="30"/>
      <c r="AX182" s="30"/>
      <c r="AY182" s="30"/>
      <c r="AZ182" s="30"/>
    </row>
    <row r="183" ht="20.25" customHeight="1">
      <c r="A183" s="30"/>
      <c r="B183" s="30"/>
      <c r="C183" s="64"/>
      <c r="D183" s="66"/>
      <c r="E183" s="66"/>
      <c r="H183" s="35"/>
      <c r="I183" s="35"/>
      <c r="J183" s="30"/>
      <c r="K183" s="30"/>
      <c r="L183" s="30"/>
      <c r="M183" s="30"/>
      <c r="N183" s="30"/>
      <c r="O183" s="30"/>
      <c r="P183" s="30"/>
      <c r="Q183" s="30"/>
      <c r="R183" s="30"/>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0"/>
      <c r="AV183" s="30"/>
      <c r="AW183" s="30"/>
      <c r="AX183" s="30"/>
      <c r="AY183" s="30"/>
      <c r="AZ183" s="30"/>
    </row>
    <row r="184" ht="20.25" customHeight="1">
      <c r="A184" s="30"/>
      <c r="B184" s="30"/>
      <c r="C184" s="64"/>
      <c r="D184" s="66"/>
      <c r="E184" s="66"/>
      <c r="H184" s="35"/>
      <c r="I184" s="35"/>
      <c r="J184" s="30"/>
      <c r="K184" s="30"/>
      <c r="L184" s="30"/>
      <c r="M184" s="30"/>
      <c r="N184" s="30"/>
      <c r="O184" s="30"/>
      <c r="P184" s="30"/>
      <c r="Q184" s="30"/>
      <c r="R184" s="30"/>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0"/>
      <c r="AV184" s="30"/>
      <c r="AW184" s="30"/>
      <c r="AX184" s="30"/>
      <c r="AY184" s="30"/>
      <c r="AZ184" s="30"/>
    </row>
    <row r="185" ht="20.25" customHeight="1">
      <c r="A185" s="30"/>
      <c r="B185" s="30"/>
      <c r="C185" s="64"/>
      <c r="D185" s="66"/>
      <c r="E185" s="66"/>
      <c r="H185" s="35"/>
      <c r="I185" s="35"/>
      <c r="J185" s="30"/>
      <c r="K185" s="30"/>
      <c r="L185" s="30"/>
      <c r="M185" s="30"/>
      <c r="N185" s="30"/>
      <c r="O185" s="30"/>
      <c r="P185" s="30"/>
      <c r="Q185" s="30"/>
      <c r="R185" s="30"/>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0"/>
      <c r="AV185" s="30"/>
      <c r="AW185" s="30"/>
      <c r="AX185" s="30"/>
      <c r="AY185" s="30"/>
      <c r="AZ185" s="30"/>
    </row>
    <row r="186" ht="20.25" customHeight="1">
      <c r="A186" s="30"/>
      <c r="B186" s="30"/>
      <c r="C186" s="64"/>
      <c r="D186" s="66"/>
      <c r="E186" s="66"/>
      <c r="H186" s="35"/>
      <c r="I186" s="35"/>
      <c r="J186" s="30"/>
      <c r="K186" s="30"/>
      <c r="L186" s="30"/>
      <c r="M186" s="30"/>
      <c r="N186" s="30"/>
      <c r="O186" s="30"/>
      <c r="P186" s="30"/>
      <c r="Q186" s="30"/>
      <c r="R186" s="30"/>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0"/>
      <c r="AV186" s="30"/>
      <c r="AW186" s="30"/>
      <c r="AX186" s="30"/>
      <c r="AY186" s="30"/>
      <c r="AZ186" s="30"/>
    </row>
    <row r="187" ht="20.25" customHeight="1">
      <c r="A187" s="30"/>
      <c r="B187" s="30"/>
      <c r="C187" s="64"/>
      <c r="D187" s="66"/>
      <c r="E187" s="66"/>
      <c r="H187" s="35"/>
      <c r="I187" s="35"/>
      <c r="J187" s="30"/>
      <c r="K187" s="30"/>
      <c r="L187" s="30"/>
      <c r="M187" s="30"/>
      <c r="N187" s="30"/>
      <c r="O187" s="30"/>
      <c r="P187" s="30"/>
      <c r="Q187" s="30"/>
      <c r="R187" s="30"/>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0"/>
      <c r="AV187" s="30"/>
      <c r="AW187" s="30"/>
      <c r="AX187" s="30"/>
      <c r="AY187" s="30"/>
      <c r="AZ187" s="30"/>
    </row>
    <row r="188" ht="20.25" customHeight="1">
      <c r="A188" s="30"/>
      <c r="B188" s="30"/>
      <c r="C188" s="64"/>
      <c r="D188" s="66"/>
      <c r="E188" s="66"/>
      <c r="H188" s="35"/>
      <c r="I188" s="35"/>
      <c r="J188" s="30"/>
      <c r="K188" s="30"/>
      <c r="L188" s="30"/>
      <c r="M188" s="30"/>
      <c r="N188" s="30"/>
      <c r="O188" s="30"/>
      <c r="P188" s="30"/>
      <c r="Q188" s="30"/>
      <c r="R188" s="30"/>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0"/>
      <c r="AV188" s="30"/>
      <c r="AW188" s="30"/>
      <c r="AX188" s="30"/>
      <c r="AY188" s="30"/>
      <c r="AZ188" s="30"/>
    </row>
    <row r="189" ht="20.25" customHeight="1">
      <c r="A189" s="30"/>
      <c r="B189" s="30"/>
      <c r="C189" s="64"/>
      <c r="D189" s="66"/>
      <c r="E189" s="66"/>
      <c r="H189" s="35"/>
      <c r="I189" s="35"/>
      <c r="J189" s="30"/>
      <c r="K189" s="30"/>
      <c r="L189" s="30"/>
      <c r="M189" s="30"/>
      <c r="N189" s="30"/>
      <c r="O189" s="30"/>
      <c r="P189" s="30"/>
      <c r="Q189" s="30"/>
      <c r="R189" s="30"/>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0"/>
      <c r="AV189" s="30"/>
      <c r="AW189" s="30"/>
      <c r="AX189" s="30"/>
      <c r="AY189" s="30"/>
      <c r="AZ189" s="30"/>
    </row>
    <row r="190" ht="20.25" customHeight="1">
      <c r="A190" s="30"/>
      <c r="B190" s="30"/>
      <c r="C190" s="64"/>
      <c r="D190" s="66"/>
      <c r="E190" s="66"/>
      <c r="H190" s="35"/>
      <c r="I190" s="35"/>
      <c r="J190" s="30"/>
      <c r="K190" s="30"/>
      <c r="L190" s="30"/>
      <c r="M190" s="30"/>
      <c r="N190" s="30"/>
      <c r="O190" s="30"/>
      <c r="P190" s="30"/>
      <c r="Q190" s="30"/>
      <c r="R190" s="30"/>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0"/>
      <c r="AV190" s="30"/>
      <c r="AW190" s="30"/>
      <c r="AX190" s="30"/>
      <c r="AY190" s="30"/>
      <c r="AZ190" s="30"/>
    </row>
    <row r="191" ht="20.25" customHeight="1">
      <c r="A191" s="30"/>
      <c r="B191" s="30"/>
      <c r="C191" s="64"/>
      <c r="D191" s="66"/>
      <c r="E191" s="66"/>
      <c r="H191" s="35"/>
      <c r="I191" s="35"/>
      <c r="J191" s="30"/>
      <c r="K191" s="30"/>
      <c r="L191" s="30"/>
      <c r="M191" s="30"/>
      <c r="N191" s="30"/>
      <c r="O191" s="30"/>
      <c r="P191" s="30"/>
      <c r="Q191" s="30"/>
      <c r="R191" s="30"/>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0"/>
      <c r="AV191" s="30"/>
      <c r="AW191" s="30"/>
      <c r="AX191" s="30"/>
      <c r="AY191" s="30"/>
      <c r="AZ191" s="30"/>
    </row>
    <row r="192" ht="20.25" customHeight="1">
      <c r="A192" s="30"/>
      <c r="B192" s="30"/>
      <c r="C192" s="64"/>
      <c r="D192" s="66"/>
      <c r="E192" s="66"/>
      <c r="H192" s="35"/>
      <c r="I192" s="35"/>
      <c r="J192" s="30"/>
      <c r="K192" s="30"/>
      <c r="L192" s="30"/>
      <c r="M192" s="30"/>
      <c r="N192" s="30"/>
      <c r="O192" s="30"/>
      <c r="P192" s="30"/>
      <c r="Q192" s="30"/>
      <c r="R192" s="30"/>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0"/>
      <c r="AV192" s="30"/>
      <c r="AW192" s="30"/>
      <c r="AX192" s="30"/>
      <c r="AY192" s="30"/>
      <c r="AZ192" s="30"/>
    </row>
    <row r="193" ht="20.25" customHeight="1">
      <c r="A193" s="30"/>
      <c r="B193" s="30"/>
      <c r="C193" s="64"/>
      <c r="D193" s="66"/>
      <c r="E193" s="66"/>
      <c r="H193" s="35"/>
      <c r="I193" s="35"/>
      <c r="J193" s="30"/>
      <c r="K193" s="30"/>
      <c r="L193" s="30"/>
      <c r="M193" s="30"/>
      <c r="N193" s="30"/>
      <c r="O193" s="30"/>
      <c r="P193" s="30"/>
      <c r="Q193" s="30"/>
      <c r="R193" s="30"/>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0"/>
      <c r="AV193" s="30"/>
      <c r="AW193" s="30"/>
      <c r="AX193" s="30"/>
      <c r="AY193" s="30"/>
      <c r="AZ193" s="30"/>
    </row>
    <row r="194" ht="20.25" customHeight="1">
      <c r="A194" s="30"/>
      <c r="B194" s="30"/>
      <c r="C194" s="64"/>
      <c r="D194" s="66"/>
      <c r="E194" s="66"/>
      <c r="H194" s="35"/>
      <c r="I194" s="35"/>
      <c r="J194" s="30"/>
      <c r="K194" s="30"/>
      <c r="L194" s="30"/>
      <c r="M194" s="30"/>
      <c r="N194" s="30"/>
      <c r="O194" s="30"/>
      <c r="P194" s="30"/>
      <c r="Q194" s="30"/>
      <c r="R194" s="30"/>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0"/>
      <c r="AV194" s="30"/>
      <c r="AW194" s="30"/>
      <c r="AX194" s="30"/>
      <c r="AY194" s="30"/>
      <c r="AZ194" s="30"/>
    </row>
    <row r="195" ht="20.25" customHeight="1">
      <c r="A195" s="30"/>
      <c r="B195" s="30"/>
      <c r="C195" s="64"/>
      <c r="D195" s="66"/>
      <c r="E195" s="66"/>
      <c r="H195" s="35"/>
      <c r="I195" s="35"/>
      <c r="J195" s="30"/>
      <c r="K195" s="30"/>
      <c r="L195" s="30"/>
      <c r="M195" s="30"/>
      <c r="N195" s="30"/>
      <c r="O195" s="30"/>
      <c r="P195" s="30"/>
      <c r="Q195" s="30"/>
      <c r="R195" s="30"/>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0"/>
      <c r="AV195" s="30"/>
      <c r="AW195" s="30"/>
      <c r="AX195" s="30"/>
      <c r="AY195" s="30"/>
      <c r="AZ195" s="30"/>
    </row>
    <row r="196" ht="20.25" customHeight="1">
      <c r="A196" s="30"/>
      <c r="B196" s="30"/>
      <c r="C196" s="64"/>
      <c r="D196" s="66"/>
      <c r="E196" s="66"/>
      <c r="H196" s="35"/>
      <c r="I196" s="35"/>
      <c r="J196" s="30"/>
      <c r="K196" s="30"/>
      <c r="L196" s="30"/>
      <c r="M196" s="30"/>
      <c r="N196" s="30"/>
      <c r="O196" s="30"/>
      <c r="P196" s="30"/>
      <c r="Q196" s="30"/>
      <c r="R196" s="30"/>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0"/>
      <c r="AV196" s="30"/>
      <c r="AW196" s="30"/>
      <c r="AX196" s="30"/>
      <c r="AY196" s="30"/>
      <c r="AZ196" s="30"/>
    </row>
    <row r="197" ht="20.25" customHeight="1">
      <c r="A197" s="30"/>
      <c r="B197" s="30"/>
      <c r="C197" s="64"/>
      <c r="D197" s="66"/>
      <c r="E197" s="66"/>
      <c r="H197" s="35"/>
      <c r="I197" s="35"/>
      <c r="J197" s="30"/>
      <c r="K197" s="30"/>
      <c r="L197" s="30"/>
      <c r="M197" s="30"/>
      <c r="N197" s="30"/>
      <c r="O197" s="30"/>
      <c r="P197" s="30"/>
      <c r="Q197" s="30"/>
      <c r="R197" s="30"/>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0"/>
      <c r="AV197" s="30"/>
      <c r="AW197" s="30"/>
      <c r="AX197" s="30"/>
      <c r="AY197" s="30"/>
      <c r="AZ197" s="30"/>
    </row>
    <row r="198" ht="20.25" customHeight="1">
      <c r="A198" s="30"/>
      <c r="B198" s="30"/>
      <c r="C198" s="64"/>
      <c r="D198" s="66"/>
      <c r="E198" s="66"/>
      <c r="H198" s="35"/>
      <c r="I198" s="35"/>
      <c r="J198" s="30"/>
      <c r="K198" s="30"/>
      <c r="L198" s="30"/>
      <c r="M198" s="30"/>
      <c r="N198" s="30"/>
      <c r="O198" s="30"/>
      <c r="P198" s="30"/>
      <c r="Q198" s="30"/>
      <c r="R198" s="30"/>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0"/>
      <c r="AV198" s="30"/>
      <c r="AW198" s="30"/>
      <c r="AX198" s="30"/>
      <c r="AY198" s="30"/>
      <c r="AZ198" s="30"/>
    </row>
    <row r="199" ht="20.25" customHeight="1">
      <c r="A199" s="30"/>
      <c r="B199" s="30"/>
      <c r="C199" s="64"/>
      <c r="D199" s="66"/>
      <c r="E199" s="66"/>
      <c r="H199" s="35"/>
      <c r="I199" s="35"/>
      <c r="J199" s="30"/>
      <c r="K199" s="30"/>
      <c r="L199" s="30"/>
      <c r="M199" s="30"/>
      <c r="N199" s="30"/>
      <c r="O199" s="30"/>
      <c r="P199" s="30"/>
      <c r="Q199" s="30"/>
      <c r="R199" s="30"/>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0"/>
      <c r="AV199" s="30"/>
      <c r="AW199" s="30"/>
      <c r="AX199" s="30"/>
      <c r="AY199" s="30"/>
      <c r="AZ199" s="30"/>
    </row>
    <row r="200" ht="20.25" customHeight="1">
      <c r="A200" s="30"/>
      <c r="B200" s="30"/>
      <c r="C200" s="64"/>
      <c r="D200" s="66"/>
      <c r="E200" s="66"/>
      <c r="H200" s="35"/>
      <c r="I200" s="35"/>
      <c r="J200" s="30"/>
      <c r="K200" s="30"/>
      <c r="L200" s="30"/>
      <c r="M200" s="30"/>
      <c r="N200" s="30"/>
      <c r="O200" s="30"/>
      <c r="P200" s="30"/>
      <c r="Q200" s="30"/>
      <c r="R200" s="30"/>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0"/>
      <c r="AV200" s="30"/>
      <c r="AW200" s="30"/>
      <c r="AX200" s="30"/>
      <c r="AY200" s="30"/>
      <c r="AZ200" s="30"/>
    </row>
    <row r="201" ht="20.25" customHeight="1">
      <c r="A201" s="30"/>
      <c r="B201" s="30"/>
      <c r="C201" s="64"/>
      <c r="D201" s="66"/>
      <c r="E201" s="66"/>
      <c r="H201" s="35"/>
      <c r="I201" s="35"/>
      <c r="J201" s="30"/>
      <c r="K201" s="30"/>
      <c r="L201" s="30"/>
      <c r="M201" s="30"/>
      <c r="N201" s="30"/>
      <c r="O201" s="30"/>
      <c r="P201" s="30"/>
      <c r="Q201" s="30"/>
      <c r="R201" s="30"/>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0"/>
      <c r="AV201" s="30"/>
      <c r="AW201" s="30"/>
      <c r="AX201" s="30"/>
      <c r="AY201" s="30"/>
      <c r="AZ201" s="30"/>
    </row>
    <row r="202" ht="20.25" customHeight="1">
      <c r="A202" s="30"/>
      <c r="B202" s="30"/>
      <c r="C202" s="64"/>
      <c r="D202" s="66"/>
      <c r="E202" s="66"/>
      <c r="H202" s="35"/>
      <c r="I202" s="35"/>
      <c r="J202" s="30"/>
      <c r="K202" s="30"/>
      <c r="L202" s="30"/>
      <c r="M202" s="30"/>
      <c r="N202" s="30"/>
      <c r="O202" s="30"/>
      <c r="P202" s="30"/>
      <c r="Q202" s="30"/>
      <c r="R202" s="30"/>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0"/>
      <c r="AV202" s="30"/>
      <c r="AW202" s="30"/>
      <c r="AX202" s="30"/>
      <c r="AY202" s="30"/>
      <c r="AZ202" s="30"/>
    </row>
    <row r="203" ht="20.25" customHeight="1">
      <c r="A203" s="30"/>
      <c r="B203" s="30"/>
      <c r="C203" s="64"/>
      <c r="D203" s="66"/>
      <c r="E203" s="66"/>
      <c r="H203" s="35"/>
      <c r="I203" s="35"/>
      <c r="J203" s="30"/>
      <c r="K203" s="30"/>
      <c r="L203" s="30"/>
      <c r="M203" s="30"/>
      <c r="N203" s="30"/>
      <c r="O203" s="30"/>
      <c r="P203" s="30"/>
      <c r="Q203" s="30"/>
      <c r="R203" s="30"/>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0"/>
      <c r="AV203" s="30"/>
      <c r="AW203" s="30"/>
      <c r="AX203" s="30"/>
      <c r="AY203" s="30"/>
      <c r="AZ203" s="30"/>
    </row>
    <row r="204" ht="20.25" customHeight="1">
      <c r="A204" s="30"/>
      <c r="B204" s="30"/>
      <c r="C204" s="64"/>
      <c r="D204" s="66"/>
      <c r="E204" s="66"/>
      <c r="H204" s="35"/>
      <c r="I204" s="35"/>
      <c r="J204" s="30"/>
      <c r="K204" s="30"/>
      <c r="L204" s="30"/>
      <c r="M204" s="30"/>
      <c r="N204" s="30"/>
      <c r="O204" s="30"/>
      <c r="P204" s="30"/>
      <c r="Q204" s="30"/>
      <c r="R204" s="30"/>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0"/>
      <c r="AV204" s="30"/>
      <c r="AW204" s="30"/>
      <c r="AX204" s="30"/>
      <c r="AY204" s="30"/>
      <c r="AZ204" s="30"/>
    </row>
    <row r="205" ht="20.25" customHeight="1">
      <c r="A205" s="30"/>
      <c r="B205" s="30"/>
      <c r="C205" s="64"/>
      <c r="D205" s="66"/>
      <c r="E205" s="66"/>
      <c r="H205" s="35"/>
      <c r="I205" s="35"/>
      <c r="J205" s="30"/>
      <c r="K205" s="30"/>
      <c r="L205" s="30"/>
      <c r="M205" s="30"/>
      <c r="N205" s="30"/>
      <c r="O205" s="30"/>
      <c r="P205" s="30"/>
      <c r="Q205" s="30"/>
      <c r="R205" s="30"/>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0"/>
      <c r="AV205" s="30"/>
      <c r="AW205" s="30"/>
      <c r="AX205" s="30"/>
      <c r="AY205" s="30"/>
      <c r="AZ205" s="30"/>
    </row>
    <row r="206" ht="20.25" customHeight="1">
      <c r="A206" s="30"/>
      <c r="B206" s="30"/>
      <c r="C206" s="64"/>
      <c r="D206" s="66"/>
      <c r="E206" s="66"/>
      <c r="H206" s="35"/>
      <c r="I206" s="35"/>
      <c r="J206" s="30"/>
      <c r="K206" s="30"/>
      <c r="L206" s="30"/>
      <c r="M206" s="30"/>
      <c r="N206" s="30"/>
      <c r="O206" s="30"/>
      <c r="P206" s="30"/>
      <c r="Q206" s="30"/>
      <c r="R206" s="30"/>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0"/>
      <c r="AV206" s="30"/>
      <c r="AW206" s="30"/>
      <c r="AX206" s="30"/>
      <c r="AY206" s="30"/>
      <c r="AZ206" s="30"/>
    </row>
    <row r="207" ht="20.25" customHeight="1">
      <c r="A207" s="30"/>
      <c r="B207" s="30"/>
      <c r="C207" s="64"/>
      <c r="D207" s="66"/>
      <c r="E207" s="66"/>
      <c r="H207" s="35"/>
      <c r="I207" s="35"/>
      <c r="J207" s="30"/>
      <c r="K207" s="30"/>
      <c r="L207" s="30"/>
      <c r="M207" s="30"/>
      <c r="N207" s="30"/>
      <c r="O207" s="30"/>
      <c r="P207" s="30"/>
      <c r="Q207" s="30"/>
      <c r="R207" s="30"/>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0"/>
      <c r="AV207" s="30"/>
      <c r="AW207" s="30"/>
      <c r="AX207" s="30"/>
      <c r="AY207" s="30"/>
      <c r="AZ207" s="30"/>
    </row>
    <row r="208" ht="20.25" customHeight="1">
      <c r="A208" s="30"/>
      <c r="B208" s="30"/>
      <c r="C208" s="64"/>
      <c r="D208" s="66"/>
      <c r="E208" s="66"/>
      <c r="H208" s="35"/>
      <c r="I208" s="35"/>
      <c r="J208" s="30"/>
      <c r="K208" s="30"/>
      <c r="L208" s="30"/>
      <c r="M208" s="30"/>
      <c r="N208" s="30"/>
      <c r="O208" s="30"/>
      <c r="P208" s="30"/>
      <c r="Q208" s="30"/>
      <c r="R208" s="30"/>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0"/>
      <c r="AV208" s="30"/>
      <c r="AW208" s="30"/>
      <c r="AX208" s="30"/>
      <c r="AY208" s="30"/>
      <c r="AZ208" s="30"/>
    </row>
    <row r="209" ht="20.25" customHeight="1">
      <c r="A209" s="30"/>
      <c r="B209" s="30"/>
      <c r="C209" s="64"/>
      <c r="D209" s="66"/>
      <c r="E209" s="66"/>
      <c r="H209" s="35"/>
      <c r="I209" s="35"/>
      <c r="J209" s="30"/>
      <c r="K209" s="30"/>
      <c r="L209" s="30"/>
      <c r="M209" s="30"/>
      <c r="N209" s="30"/>
      <c r="O209" s="30"/>
      <c r="P209" s="30"/>
      <c r="Q209" s="30"/>
      <c r="R209" s="30"/>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0"/>
      <c r="AV209" s="30"/>
      <c r="AW209" s="30"/>
      <c r="AX209" s="30"/>
      <c r="AY209" s="30"/>
      <c r="AZ209" s="30"/>
    </row>
    <row r="210" ht="20.25" customHeight="1">
      <c r="A210" s="30"/>
      <c r="B210" s="30"/>
      <c r="C210" s="64"/>
      <c r="D210" s="66"/>
      <c r="E210" s="66"/>
      <c r="H210" s="35"/>
      <c r="I210" s="35"/>
      <c r="J210" s="30"/>
      <c r="K210" s="30"/>
      <c r="L210" s="30"/>
      <c r="M210" s="30"/>
      <c r="N210" s="30"/>
      <c r="O210" s="30"/>
      <c r="P210" s="30"/>
      <c r="Q210" s="30"/>
      <c r="R210" s="30"/>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0"/>
      <c r="AV210" s="30"/>
      <c r="AW210" s="30"/>
      <c r="AX210" s="30"/>
      <c r="AY210" s="30"/>
      <c r="AZ210" s="30"/>
    </row>
    <row r="211" ht="20.25" customHeight="1">
      <c r="A211" s="30"/>
      <c r="B211" s="30"/>
      <c r="C211" s="64"/>
      <c r="D211" s="66"/>
      <c r="E211" s="66"/>
      <c r="H211" s="35"/>
      <c r="I211" s="35"/>
      <c r="J211" s="30"/>
      <c r="K211" s="30"/>
      <c r="L211" s="30"/>
      <c r="M211" s="30"/>
      <c r="N211" s="30"/>
      <c r="O211" s="30"/>
      <c r="P211" s="30"/>
      <c r="Q211" s="30"/>
      <c r="R211" s="30"/>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0"/>
      <c r="AV211" s="30"/>
      <c r="AW211" s="30"/>
      <c r="AX211" s="30"/>
      <c r="AY211" s="30"/>
      <c r="AZ211" s="30"/>
    </row>
    <row r="212" ht="20.25" customHeight="1">
      <c r="A212" s="30"/>
      <c r="B212" s="30"/>
      <c r="C212" s="64"/>
      <c r="D212" s="66"/>
      <c r="E212" s="66"/>
      <c r="H212" s="35"/>
      <c r="I212" s="35"/>
      <c r="J212" s="30"/>
      <c r="K212" s="30"/>
      <c r="L212" s="30"/>
      <c r="M212" s="30"/>
      <c r="N212" s="30"/>
      <c r="O212" s="30"/>
      <c r="P212" s="30"/>
      <c r="Q212" s="30"/>
      <c r="R212" s="30"/>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0"/>
      <c r="AV212" s="30"/>
      <c r="AW212" s="30"/>
      <c r="AX212" s="30"/>
      <c r="AY212" s="30"/>
      <c r="AZ212" s="30"/>
    </row>
    <row r="213" ht="20.25" customHeight="1">
      <c r="A213" s="30"/>
      <c r="B213" s="30"/>
      <c r="C213" s="64"/>
      <c r="D213" s="66"/>
      <c r="E213" s="66"/>
      <c r="H213" s="35"/>
      <c r="I213" s="35"/>
      <c r="J213" s="30"/>
      <c r="K213" s="30"/>
      <c r="L213" s="30"/>
      <c r="M213" s="30"/>
      <c r="N213" s="30"/>
      <c r="O213" s="30"/>
      <c r="P213" s="30"/>
      <c r="Q213" s="30"/>
      <c r="R213" s="30"/>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0"/>
      <c r="AV213" s="30"/>
      <c r="AW213" s="30"/>
      <c r="AX213" s="30"/>
      <c r="AY213" s="30"/>
      <c r="AZ213" s="30"/>
    </row>
    <row r="214" ht="20.25" customHeight="1">
      <c r="A214" s="30"/>
      <c r="B214" s="30"/>
      <c r="C214" s="64"/>
      <c r="D214" s="66"/>
      <c r="E214" s="66"/>
      <c r="H214" s="35"/>
      <c r="I214" s="35"/>
      <c r="J214" s="30"/>
      <c r="K214" s="30"/>
      <c r="L214" s="30"/>
      <c r="M214" s="30"/>
      <c r="N214" s="30"/>
      <c r="O214" s="30"/>
      <c r="P214" s="30"/>
      <c r="Q214" s="30"/>
      <c r="R214" s="30"/>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0"/>
      <c r="AV214" s="30"/>
      <c r="AW214" s="30"/>
      <c r="AX214" s="30"/>
      <c r="AY214" s="30"/>
      <c r="AZ214" s="30"/>
    </row>
    <row r="215" ht="20.25" customHeight="1">
      <c r="A215" s="30"/>
      <c r="B215" s="30"/>
      <c r="C215" s="64"/>
      <c r="D215" s="66"/>
      <c r="E215" s="66"/>
      <c r="H215" s="35"/>
      <c r="I215" s="35"/>
      <c r="J215" s="30"/>
      <c r="K215" s="30"/>
      <c r="L215" s="30"/>
      <c r="M215" s="30"/>
      <c r="N215" s="30"/>
      <c r="O215" s="30"/>
      <c r="P215" s="30"/>
      <c r="Q215" s="30"/>
      <c r="R215" s="30"/>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0"/>
      <c r="AV215" s="30"/>
      <c r="AW215" s="30"/>
      <c r="AX215" s="30"/>
      <c r="AY215" s="30"/>
      <c r="AZ215" s="30"/>
    </row>
    <row r="216" ht="20.25" customHeight="1">
      <c r="A216" s="30"/>
      <c r="B216" s="30"/>
      <c r="C216" s="64"/>
      <c r="D216" s="66"/>
      <c r="E216" s="66"/>
      <c r="H216" s="35"/>
      <c r="I216" s="35"/>
      <c r="J216" s="30"/>
      <c r="K216" s="30"/>
      <c r="L216" s="30"/>
      <c r="M216" s="30"/>
      <c r="N216" s="30"/>
      <c r="O216" s="30"/>
      <c r="P216" s="30"/>
      <c r="Q216" s="30"/>
      <c r="R216" s="30"/>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0"/>
      <c r="AV216" s="30"/>
      <c r="AW216" s="30"/>
      <c r="AX216" s="30"/>
      <c r="AY216" s="30"/>
      <c r="AZ216" s="30"/>
    </row>
    <row r="217" ht="20.25" customHeight="1">
      <c r="A217" s="30"/>
      <c r="B217" s="30"/>
      <c r="C217" s="64"/>
      <c r="D217" s="66"/>
      <c r="E217" s="66"/>
      <c r="H217" s="35"/>
      <c r="I217" s="35"/>
      <c r="J217" s="30"/>
      <c r="K217" s="30"/>
      <c r="L217" s="30"/>
      <c r="M217" s="30"/>
      <c r="N217" s="30"/>
      <c r="O217" s="30"/>
      <c r="P217" s="30"/>
      <c r="Q217" s="30"/>
      <c r="R217" s="30"/>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0"/>
      <c r="AV217" s="30"/>
      <c r="AW217" s="30"/>
      <c r="AX217" s="30"/>
      <c r="AY217" s="30"/>
      <c r="AZ217" s="30"/>
    </row>
    <row r="218" ht="20.25" customHeight="1">
      <c r="A218" s="30"/>
      <c r="B218" s="30"/>
      <c r="C218" s="64"/>
      <c r="D218" s="66"/>
      <c r="E218" s="66"/>
      <c r="H218" s="35"/>
      <c r="I218" s="35"/>
      <c r="J218" s="30"/>
      <c r="K218" s="30"/>
      <c r="L218" s="30"/>
      <c r="M218" s="30"/>
      <c r="N218" s="30"/>
      <c r="O218" s="30"/>
      <c r="P218" s="30"/>
      <c r="Q218" s="30"/>
      <c r="R218" s="30"/>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0"/>
      <c r="AV218" s="30"/>
      <c r="AW218" s="30"/>
      <c r="AX218" s="30"/>
      <c r="AY218" s="30"/>
      <c r="AZ218" s="30"/>
    </row>
    <row r="219" ht="20.25" customHeight="1">
      <c r="A219" s="30"/>
      <c r="B219" s="30"/>
      <c r="C219" s="64"/>
      <c r="D219" s="66"/>
      <c r="E219" s="66"/>
      <c r="H219" s="35"/>
      <c r="I219" s="35"/>
      <c r="J219" s="30"/>
      <c r="K219" s="30"/>
      <c r="L219" s="30"/>
      <c r="M219" s="30"/>
      <c r="N219" s="30"/>
      <c r="O219" s="30"/>
      <c r="P219" s="30"/>
      <c r="Q219" s="30"/>
      <c r="R219" s="30"/>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0"/>
      <c r="AV219" s="30"/>
      <c r="AW219" s="30"/>
      <c r="AX219" s="30"/>
      <c r="AY219" s="30"/>
      <c r="AZ219" s="30"/>
    </row>
    <row r="220" ht="20.25" customHeight="1">
      <c r="A220" s="30"/>
      <c r="B220" s="30"/>
      <c r="C220" s="64"/>
      <c r="D220" s="66"/>
      <c r="E220" s="66"/>
      <c r="H220" s="35"/>
      <c r="I220" s="35"/>
      <c r="J220" s="30"/>
      <c r="K220" s="30"/>
      <c r="L220" s="30"/>
      <c r="M220" s="30"/>
      <c r="N220" s="30"/>
      <c r="O220" s="30"/>
      <c r="P220" s="30"/>
      <c r="Q220" s="30"/>
      <c r="R220" s="30"/>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0"/>
      <c r="AV220" s="30"/>
      <c r="AW220" s="30"/>
      <c r="AX220" s="30"/>
      <c r="AY220" s="30"/>
      <c r="AZ220" s="30"/>
    </row>
    <row r="221" ht="20.25" customHeight="1">
      <c r="A221" s="30"/>
      <c r="B221" s="30"/>
      <c r="C221" s="64"/>
      <c r="D221" s="66"/>
      <c r="E221" s="66"/>
      <c r="H221" s="35"/>
      <c r="I221" s="35"/>
      <c r="J221" s="30"/>
      <c r="K221" s="30"/>
      <c r="L221" s="30"/>
      <c r="M221" s="30"/>
      <c r="N221" s="30"/>
      <c r="O221" s="30"/>
      <c r="P221" s="30"/>
      <c r="Q221" s="30"/>
      <c r="R221" s="30"/>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0"/>
      <c r="AV221" s="30"/>
      <c r="AW221" s="30"/>
      <c r="AX221" s="30"/>
      <c r="AY221" s="30"/>
      <c r="AZ221" s="30"/>
    </row>
    <row r="222" ht="20.25" customHeight="1">
      <c r="A222" s="30"/>
      <c r="B222" s="30"/>
      <c r="C222" s="64"/>
      <c r="D222" s="66"/>
      <c r="E222" s="66"/>
      <c r="H222" s="35"/>
      <c r="I222" s="35"/>
      <c r="J222" s="30"/>
      <c r="K222" s="30"/>
      <c r="L222" s="30"/>
      <c r="M222" s="30"/>
      <c r="N222" s="30"/>
      <c r="O222" s="30"/>
      <c r="P222" s="30"/>
      <c r="Q222" s="30"/>
      <c r="R222" s="30"/>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0"/>
      <c r="AV222" s="30"/>
      <c r="AW222" s="30"/>
      <c r="AX222" s="30"/>
      <c r="AY222" s="30"/>
      <c r="AZ222" s="30"/>
    </row>
    <row r="223" ht="20.25" customHeight="1">
      <c r="A223" s="30"/>
      <c r="B223" s="30"/>
      <c r="C223" s="64"/>
      <c r="D223" s="66"/>
      <c r="E223" s="66"/>
      <c r="H223" s="35"/>
      <c r="I223" s="35"/>
      <c r="J223" s="30"/>
      <c r="K223" s="30"/>
      <c r="L223" s="30"/>
      <c r="M223" s="30"/>
      <c r="N223" s="30"/>
      <c r="O223" s="30"/>
      <c r="P223" s="30"/>
      <c r="Q223" s="30"/>
      <c r="R223" s="30"/>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0"/>
      <c r="AV223" s="30"/>
      <c r="AW223" s="30"/>
      <c r="AX223" s="30"/>
      <c r="AY223" s="30"/>
      <c r="AZ223" s="30"/>
    </row>
    <row r="224" ht="20.25" customHeight="1">
      <c r="A224" s="30"/>
      <c r="B224" s="30"/>
      <c r="C224" s="64"/>
      <c r="D224" s="66"/>
      <c r="E224" s="66"/>
      <c r="H224" s="35"/>
      <c r="I224" s="35"/>
      <c r="J224" s="30"/>
      <c r="K224" s="30"/>
      <c r="L224" s="30"/>
      <c r="M224" s="30"/>
      <c r="N224" s="30"/>
      <c r="O224" s="30"/>
      <c r="P224" s="30"/>
      <c r="Q224" s="30"/>
      <c r="R224" s="30"/>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0"/>
      <c r="AV224" s="30"/>
      <c r="AW224" s="30"/>
      <c r="AX224" s="30"/>
      <c r="AY224" s="30"/>
      <c r="AZ224" s="30"/>
    </row>
    <row r="225" ht="20.25" customHeight="1">
      <c r="A225" s="30"/>
      <c r="B225" s="30"/>
      <c r="C225" s="64"/>
      <c r="D225" s="66"/>
      <c r="E225" s="66"/>
      <c r="H225" s="35"/>
      <c r="I225" s="35"/>
      <c r="J225" s="30"/>
      <c r="K225" s="30"/>
      <c r="L225" s="30"/>
      <c r="M225" s="30"/>
      <c r="N225" s="30"/>
      <c r="O225" s="30"/>
      <c r="P225" s="30"/>
      <c r="Q225" s="30"/>
      <c r="R225" s="30"/>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0"/>
      <c r="AV225" s="30"/>
      <c r="AW225" s="30"/>
      <c r="AX225" s="30"/>
      <c r="AY225" s="30"/>
      <c r="AZ225" s="30"/>
    </row>
    <row r="226" ht="20.25" customHeight="1">
      <c r="A226" s="30"/>
      <c r="B226" s="30"/>
      <c r="C226" s="64"/>
      <c r="D226" s="66"/>
      <c r="E226" s="66"/>
      <c r="H226" s="35"/>
      <c r="I226" s="35"/>
      <c r="J226" s="30"/>
      <c r="K226" s="30"/>
      <c r="L226" s="30"/>
      <c r="M226" s="30"/>
      <c r="N226" s="30"/>
      <c r="O226" s="30"/>
      <c r="P226" s="30"/>
      <c r="Q226" s="30"/>
      <c r="R226" s="30"/>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0"/>
      <c r="AV226" s="30"/>
      <c r="AW226" s="30"/>
      <c r="AX226" s="30"/>
      <c r="AY226" s="30"/>
      <c r="AZ226" s="30"/>
    </row>
    <row r="227" ht="20.25" customHeight="1">
      <c r="A227" s="30"/>
      <c r="B227" s="30"/>
      <c r="C227" s="64"/>
      <c r="D227" s="66"/>
      <c r="E227" s="66"/>
      <c r="H227" s="35"/>
      <c r="I227" s="35"/>
      <c r="J227" s="30"/>
      <c r="K227" s="30"/>
      <c r="L227" s="30"/>
      <c r="M227" s="30"/>
      <c r="N227" s="30"/>
      <c r="O227" s="30"/>
      <c r="P227" s="30"/>
      <c r="Q227" s="30"/>
      <c r="R227" s="30"/>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0"/>
      <c r="AV227" s="30"/>
      <c r="AW227" s="30"/>
      <c r="AX227" s="30"/>
      <c r="AY227" s="30"/>
      <c r="AZ227" s="30"/>
    </row>
    <row r="228" ht="20.25" customHeight="1">
      <c r="A228" s="64"/>
      <c r="B228" s="30"/>
      <c r="C228" s="64"/>
      <c r="H228" s="35"/>
      <c r="I228" s="35"/>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row>
    <row r="229" ht="20.25" customHeight="1">
      <c r="A229" s="64"/>
      <c r="B229" s="30"/>
      <c r="C229" s="64"/>
      <c r="H229" s="35"/>
      <c r="I229" s="35"/>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row>
    <row r="230" ht="20.25" customHeight="1">
      <c r="A230" s="64"/>
      <c r="B230" s="30"/>
      <c r="C230" s="64"/>
      <c r="H230" s="35"/>
      <c r="I230" s="35"/>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5:E25"/>
  </mergeCells>
  <conditionalFormatting sqref="D6:D24">
    <cfRule type="containsText" dxfId="0" priority="1" operator="containsText" text="Pouco">
      <formula>NOT(ISERROR(SEARCH(("Pouco"),(D6))))</formula>
    </cfRule>
  </conditionalFormatting>
  <conditionalFormatting sqref="D6:D24">
    <cfRule type="containsText" dxfId="1" priority="2" operator="containsText" text="Sem">
      <formula>NOT(ISERROR(SEARCH(("Sem"),(D6))))</formula>
    </cfRule>
  </conditionalFormatting>
  <conditionalFormatting sqref="D6:D24">
    <cfRule type="containsText" dxfId="2" priority="3" operator="containsText" text="Muito">
      <formula>NOT(ISERROR(SEARCH(("Muito"),(D6))))</formula>
    </cfRule>
  </conditionalFormatting>
  <conditionalFormatting sqref="D6:D24">
    <cfRule type="containsText" dxfId="3" priority="4" operator="containsText" text="Totalmente">
      <formula>NOT(ISERROR(SEARCH(("Totalmente"),(D6))))</formula>
    </cfRule>
  </conditionalFormatting>
  <conditionalFormatting sqref="E6:E24">
    <cfRule type="containsText" dxfId="1" priority="5" operator="containsText" text="Muito fraca">
      <formula>NOT(ISERROR(SEARCH(("Muito fraca"),(E6))))</formula>
    </cfRule>
  </conditionalFormatting>
  <conditionalFormatting sqref="E6:E24">
    <cfRule type="containsText" dxfId="0" priority="6" operator="containsText" text="Fraca">
      <formula>NOT(ISERROR(SEARCH(("Fraca"),(E6))))</formula>
    </cfRule>
  </conditionalFormatting>
  <conditionalFormatting sqref="E6:E24">
    <cfRule type="containsText" dxfId="3" priority="7" operator="containsText" text="Muito forte">
      <formula>NOT(ISERROR(SEARCH(("Muito forte"),(E6))))</formula>
    </cfRule>
  </conditionalFormatting>
  <conditionalFormatting sqref="E6:E24">
    <cfRule type="containsText" dxfId="2" priority="8" operator="containsText" text="Forte">
      <formula>NOT(ISERROR(SEARCH(("Forte"),(E6))))</formula>
    </cfRule>
  </conditionalFormatting>
  <conditionalFormatting sqref="F6:F24">
    <cfRule type="containsText" dxfId="1" priority="9" operator="containsText" text="Piora muito">
      <formula>NOT(ISERROR(SEARCH(("Piora muito"),(F6))))</formula>
    </cfRule>
  </conditionalFormatting>
  <conditionalFormatting sqref="F6:F24">
    <cfRule type="containsText" dxfId="0" priority="10" operator="containsText" text="Piora">
      <formula>NOT(ISERROR(SEARCH(("Piora"),(F6))))</formula>
    </cfRule>
  </conditionalFormatting>
  <conditionalFormatting sqref="F6:F24">
    <cfRule type="containsText" dxfId="3" priority="11" operator="containsText" text="Melhora muito">
      <formula>NOT(ISERROR(SEARCH(("Melhora muito"),(F6))))</formula>
    </cfRule>
  </conditionalFormatting>
  <conditionalFormatting sqref="F6:F24">
    <cfRule type="containsText" dxfId="2" priority="12" operator="containsText" text="Melhora">
      <formula>NOT(ISERROR(SEARCH(("Melhora"),(F6))))</formula>
    </cfRule>
  </conditionalFormatting>
  <dataValidations>
    <dataValidation type="list" allowBlank="1" showErrorMessage="1" sqref="E6:E24">
      <formula1>$I$14:$I$18</formula1>
    </dataValidation>
    <dataValidation type="list" allowBlank="1" showErrorMessage="1" sqref="D6:D24">
      <formula1>$I$6:$I$10</formula1>
    </dataValidation>
    <dataValidation type="list" allowBlank="1" showErrorMessage="1" sqref="F6:F24">
      <formula1>$I$22:$I$26</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50.71"/>
    <col customWidth="1" min="4" max="6" width="25.71"/>
    <col customWidth="1" min="7" max="7" width="15.71"/>
    <col customWidth="1" min="8" max="8" width="10.43"/>
    <col customWidth="1" min="9" max="9" width="20.43"/>
    <col customWidth="1" min="10" max="17" width="8.71"/>
    <col customWidth="1" min="18" max="18" width="9.29"/>
    <col customWidth="1" hidden="1" min="19" max="46" width="9.29"/>
    <col customWidth="1" min="47" max="55" width="14.43"/>
  </cols>
  <sheetData>
    <row r="1" ht="21.75" customHeight="1">
      <c r="A1" s="30"/>
      <c r="B1" s="30"/>
      <c r="C1" s="31"/>
      <c r="D1" s="32"/>
      <c r="E1" s="32"/>
      <c r="F1" s="32"/>
      <c r="G1" s="32"/>
      <c r="H1" s="33"/>
      <c r="I1" s="33"/>
      <c r="J1" s="33"/>
      <c r="K1" s="33"/>
      <c r="L1" s="33"/>
      <c r="M1" s="35"/>
      <c r="N1" s="35"/>
      <c r="O1" s="35"/>
      <c r="P1" s="35"/>
      <c r="Q1" s="35"/>
      <c r="R1" s="35"/>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row>
    <row r="2" ht="36.75" customHeight="1">
      <c r="A2" s="36"/>
      <c r="B2" s="30"/>
      <c r="C2" s="37"/>
      <c r="D2" s="38"/>
      <c r="E2" s="38"/>
      <c r="F2" s="38"/>
      <c r="G2" s="38"/>
      <c r="H2" s="39"/>
      <c r="I2" s="39"/>
      <c r="J2" s="39"/>
      <c r="K2" s="39"/>
      <c r="L2" s="39"/>
      <c r="M2" s="35"/>
      <c r="N2" s="35"/>
      <c r="O2" s="35"/>
      <c r="P2" s="35"/>
      <c r="Q2" s="35"/>
      <c r="R2" s="35"/>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row>
    <row r="3" ht="50.25" customHeight="1">
      <c r="A3" s="30"/>
      <c r="B3" s="30"/>
      <c r="C3" s="30"/>
      <c r="D3" s="30"/>
      <c r="E3" s="30"/>
      <c r="F3" s="30"/>
      <c r="G3" s="30"/>
      <c r="H3" s="35"/>
      <c r="I3" s="35"/>
      <c r="J3" s="35"/>
      <c r="K3" s="35"/>
      <c r="L3" s="35"/>
      <c r="M3" s="35"/>
      <c r="N3" s="35"/>
      <c r="O3" s="35"/>
      <c r="P3" s="35"/>
      <c r="Q3" s="35"/>
      <c r="R3" s="35"/>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row>
    <row r="4" ht="28.5" customHeight="1">
      <c r="A4" s="30"/>
      <c r="B4" s="67"/>
      <c r="C4" s="68" t="s">
        <v>40</v>
      </c>
      <c r="D4" s="43" t="s">
        <v>41</v>
      </c>
      <c r="E4" s="43" t="s">
        <v>42</v>
      </c>
      <c r="F4" s="43" t="s">
        <v>43</v>
      </c>
      <c r="G4" s="44" t="s">
        <v>44</v>
      </c>
      <c r="H4" s="45"/>
      <c r="I4" s="45"/>
      <c r="J4" s="45"/>
      <c r="K4" s="45"/>
      <c r="L4" s="45"/>
      <c r="M4" s="45"/>
      <c r="N4" s="45"/>
      <c r="O4" s="45"/>
      <c r="P4" s="45"/>
      <c r="Q4" s="45"/>
      <c r="R4" s="45"/>
      <c r="S4" s="41">
        <v>1.0</v>
      </c>
      <c r="T4" s="41">
        <v>1.0</v>
      </c>
      <c r="U4" s="41">
        <v>1.0</v>
      </c>
      <c r="V4" s="41">
        <v>1.0</v>
      </c>
      <c r="W4" s="41">
        <v>2.0</v>
      </c>
      <c r="X4" s="41">
        <v>2.0</v>
      </c>
      <c r="Y4" s="41">
        <v>2.0</v>
      </c>
      <c r="Z4" s="41">
        <v>2.0</v>
      </c>
      <c r="AA4" s="41">
        <v>2.0</v>
      </c>
      <c r="AB4" s="41">
        <v>2.0</v>
      </c>
      <c r="AC4" s="41">
        <v>2.0</v>
      </c>
      <c r="AD4" s="41">
        <v>2.0</v>
      </c>
      <c r="AE4" s="41">
        <v>2.0</v>
      </c>
      <c r="AF4" s="41">
        <v>2.0</v>
      </c>
      <c r="AG4" s="41">
        <v>2.0</v>
      </c>
      <c r="AH4" s="41">
        <v>2.0</v>
      </c>
      <c r="AI4" s="41">
        <v>3.0</v>
      </c>
      <c r="AJ4" s="41">
        <v>3.0</v>
      </c>
      <c r="AK4" s="41">
        <v>3.0</v>
      </c>
      <c r="AL4" s="41">
        <v>3.0</v>
      </c>
      <c r="AM4" s="41">
        <v>3.0</v>
      </c>
      <c r="AN4" s="41">
        <v>3.0</v>
      </c>
      <c r="AO4" s="41">
        <v>3.0</v>
      </c>
      <c r="AP4" s="41">
        <v>3.0</v>
      </c>
      <c r="AQ4" s="41">
        <v>3.0</v>
      </c>
      <c r="AR4" s="41">
        <v>3.0</v>
      </c>
      <c r="AS4" s="41">
        <v>3.0</v>
      </c>
      <c r="AT4" s="41">
        <v>3.0</v>
      </c>
      <c r="AU4" s="30"/>
      <c r="AV4" s="30"/>
      <c r="AW4" s="30"/>
      <c r="AX4" s="30"/>
      <c r="AY4" s="30"/>
      <c r="AZ4" s="30"/>
      <c r="BA4" s="30"/>
      <c r="BB4" s="30"/>
      <c r="BC4" s="30"/>
    </row>
    <row r="5" ht="30.0" customHeight="1">
      <c r="A5" s="30"/>
      <c r="C5" s="69" t="s">
        <v>45</v>
      </c>
      <c r="D5" s="47" t="s">
        <v>46</v>
      </c>
      <c r="E5" s="48" t="s">
        <v>47</v>
      </c>
      <c r="F5" s="49" t="s">
        <v>48</v>
      </c>
      <c r="G5" s="49" t="s">
        <v>49</v>
      </c>
      <c r="H5" s="35"/>
      <c r="I5" s="35"/>
      <c r="J5" s="35"/>
      <c r="K5" s="35"/>
      <c r="L5" s="35"/>
      <c r="M5" s="35"/>
      <c r="N5" s="35"/>
      <c r="O5" s="35"/>
      <c r="P5" s="35"/>
      <c r="Q5" s="35"/>
      <c r="R5" s="35"/>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row>
    <row r="6" ht="30.0" customHeight="1">
      <c r="A6" s="30"/>
      <c r="C6" s="70"/>
      <c r="D6" s="51"/>
      <c r="E6" s="51"/>
      <c r="F6" s="52"/>
      <c r="G6" s="53" t="str">
        <f t="shared" ref="G6:G24" si="1">IF(ISERROR(VLOOKUP(D6,$I$7:$J$11,2,FALSE)*VLOOKUP(E6,$I$15:$J$19,2,FALSE)*VLOOKUP(F6,$I$23:$J$27,2,FALSE)),"",VLOOKUP(D6,$I$7:$J$11,2,FALSE)*VLOOKUP(E6,$I$15:$J$19,2,FALSE)*VLOOKUP(F6,$I$23:$J$27,2,FALSE))</f>
        <v/>
      </c>
      <c r="H6" s="71"/>
      <c r="I6" s="54"/>
      <c r="J6" s="35"/>
      <c r="K6" s="35"/>
      <c r="L6" s="35">
        <v>1.9E-4</v>
      </c>
      <c r="M6" s="55" t="str">
        <f t="shared" ref="M6:M24" si="2">IF(G6="","",G6+L6)</f>
        <v/>
      </c>
      <c r="N6" s="56" t="str">
        <f t="shared" ref="N6:N28" si="3">IF(C6=0,"",C6)</f>
        <v/>
      </c>
      <c r="O6" s="55" t="str">
        <f t="shared" ref="O6:O24" si="4">G6</f>
        <v/>
      </c>
      <c r="P6" s="56"/>
      <c r="Q6" s="35"/>
      <c r="R6" s="35"/>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row>
    <row r="7" ht="30.0" customHeight="1">
      <c r="A7" s="30"/>
      <c r="C7" s="70"/>
      <c r="D7" s="51"/>
      <c r="E7" s="51"/>
      <c r="F7" s="52"/>
      <c r="G7" s="53" t="str">
        <f t="shared" si="1"/>
        <v/>
      </c>
      <c r="H7" s="57"/>
      <c r="I7" s="35" t="s">
        <v>50</v>
      </c>
      <c r="J7" s="54">
        <v>1.0</v>
      </c>
      <c r="K7" s="35"/>
      <c r="L7" s="35">
        <v>1.8E-4</v>
      </c>
      <c r="M7" s="55" t="str">
        <f t="shared" si="2"/>
        <v/>
      </c>
      <c r="N7" s="56" t="str">
        <f t="shared" si="3"/>
        <v/>
      </c>
      <c r="O7" s="55" t="str">
        <f t="shared" si="4"/>
        <v/>
      </c>
      <c r="P7" s="56"/>
      <c r="Q7" s="35"/>
      <c r="R7" s="35"/>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row>
    <row r="8" ht="30.0" customHeight="1">
      <c r="A8" s="30"/>
      <c r="C8" s="70"/>
      <c r="D8" s="51"/>
      <c r="E8" s="51"/>
      <c r="F8" s="52"/>
      <c r="G8" s="53" t="str">
        <f t="shared" si="1"/>
        <v/>
      </c>
      <c r="H8" s="35"/>
      <c r="I8" s="35" t="s">
        <v>51</v>
      </c>
      <c r="J8" s="54">
        <v>2.0</v>
      </c>
      <c r="K8" s="35"/>
      <c r="L8" s="35">
        <v>1.7E-4</v>
      </c>
      <c r="M8" s="55" t="str">
        <f t="shared" si="2"/>
        <v/>
      </c>
      <c r="N8" s="56" t="str">
        <f t="shared" si="3"/>
        <v/>
      </c>
      <c r="O8" s="55" t="str">
        <f t="shared" si="4"/>
        <v/>
      </c>
      <c r="P8" s="56"/>
      <c r="Q8" s="35"/>
      <c r="R8" s="35"/>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row>
    <row r="9">
      <c r="A9" s="30"/>
      <c r="C9" s="70"/>
      <c r="D9" s="51"/>
      <c r="E9" s="51"/>
      <c r="F9" s="52"/>
      <c r="G9" s="53" t="str">
        <f t="shared" si="1"/>
        <v/>
      </c>
      <c r="H9" s="35"/>
      <c r="I9" s="35" t="s">
        <v>52</v>
      </c>
      <c r="J9" s="54">
        <v>3.0</v>
      </c>
      <c r="K9" s="35"/>
      <c r="L9" s="35">
        <v>1.6E-4</v>
      </c>
      <c r="M9" s="55" t="str">
        <f t="shared" si="2"/>
        <v/>
      </c>
      <c r="N9" s="56" t="str">
        <f t="shared" si="3"/>
        <v/>
      </c>
      <c r="O9" s="55" t="str">
        <f t="shared" si="4"/>
        <v/>
      </c>
      <c r="P9" s="56"/>
      <c r="Q9" s="35"/>
      <c r="R9" s="35"/>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row>
    <row r="10">
      <c r="A10" s="30"/>
      <c r="C10" s="70"/>
      <c r="D10" s="51"/>
      <c r="E10" s="51"/>
      <c r="F10" s="52"/>
      <c r="G10" s="53" t="str">
        <f t="shared" si="1"/>
        <v/>
      </c>
      <c r="H10" s="35"/>
      <c r="I10" s="35" t="s">
        <v>53</v>
      </c>
      <c r="J10" s="54">
        <v>4.0</v>
      </c>
      <c r="K10" s="35"/>
      <c r="L10" s="35">
        <v>1.5E-4</v>
      </c>
      <c r="M10" s="55" t="str">
        <f t="shared" si="2"/>
        <v/>
      </c>
      <c r="N10" s="56" t="str">
        <f t="shared" si="3"/>
        <v/>
      </c>
      <c r="O10" s="55" t="str">
        <f t="shared" si="4"/>
        <v/>
      </c>
      <c r="P10" s="56"/>
      <c r="Q10" s="35"/>
      <c r="R10" s="35"/>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row>
    <row r="11" ht="30.0" customHeight="1">
      <c r="A11" s="30"/>
      <c r="C11" s="70"/>
      <c r="D11" s="51"/>
      <c r="E11" s="51"/>
      <c r="F11" s="52"/>
      <c r="G11" s="53" t="str">
        <f t="shared" si="1"/>
        <v/>
      </c>
      <c r="H11" s="35"/>
      <c r="I11" s="35" t="s">
        <v>54</v>
      </c>
      <c r="J11" s="54">
        <v>5.0</v>
      </c>
      <c r="K11" s="35"/>
      <c r="L11" s="35">
        <v>1.4E-4</v>
      </c>
      <c r="M11" s="55" t="str">
        <f t="shared" si="2"/>
        <v/>
      </c>
      <c r="N11" s="56" t="str">
        <f t="shared" si="3"/>
        <v/>
      </c>
      <c r="O11" s="55" t="str">
        <f t="shared" si="4"/>
        <v/>
      </c>
      <c r="P11" s="56"/>
      <c r="Q11" s="35"/>
      <c r="R11" s="35"/>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row>
    <row r="12" ht="30.0" customHeight="1">
      <c r="A12" s="30"/>
      <c r="C12" s="70"/>
      <c r="D12" s="51"/>
      <c r="E12" s="51"/>
      <c r="F12" s="52"/>
      <c r="G12" s="53" t="str">
        <f t="shared" si="1"/>
        <v/>
      </c>
      <c r="H12" s="35"/>
      <c r="I12" s="35"/>
      <c r="J12" s="35"/>
      <c r="K12" s="35"/>
      <c r="L12" s="35">
        <v>1.3E-4</v>
      </c>
      <c r="M12" s="55" t="str">
        <f t="shared" si="2"/>
        <v/>
      </c>
      <c r="N12" s="56" t="str">
        <f t="shared" si="3"/>
        <v/>
      </c>
      <c r="O12" s="55" t="str">
        <f t="shared" si="4"/>
        <v/>
      </c>
      <c r="P12" s="56"/>
      <c r="Q12" s="35"/>
      <c r="R12" s="35"/>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row>
    <row r="13" ht="30.0" customHeight="1">
      <c r="A13" s="59"/>
      <c r="C13" s="70"/>
      <c r="D13" s="51"/>
      <c r="E13" s="51"/>
      <c r="F13" s="52"/>
      <c r="G13" s="53" t="str">
        <f t="shared" si="1"/>
        <v/>
      </c>
      <c r="H13" s="35"/>
      <c r="I13" s="35" t="s">
        <v>42</v>
      </c>
      <c r="J13" s="35"/>
      <c r="K13" s="35"/>
      <c r="L13" s="35">
        <v>1.2E-4</v>
      </c>
      <c r="M13" s="55" t="str">
        <f t="shared" si="2"/>
        <v/>
      </c>
      <c r="N13" s="56" t="str">
        <f t="shared" si="3"/>
        <v/>
      </c>
      <c r="O13" s="55" t="str">
        <f t="shared" si="4"/>
        <v/>
      </c>
      <c r="P13" s="56"/>
      <c r="Q13" s="35"/>
      <c r="R13" s="35"/>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row>
    <row r="14" ht="30.0" customHeight="1">
      <c r="A14" s="59"/>
      <c r="C14" s="70"/>
      <c r="D14" s="51"/>
      <c r="E14" s="51"/>
      <c r="F14" s="52"/>
      <c r="G14" s="53" t="str">
        <f t="shared" si="1"/>
        <v/>
      </c>
      <c r="H14" s="35"/>
      <c r="I14" s="54"/>
      <c r="J14" s="35"/>
      <c r="K14" s="35"/>
      <c r="L14" s="35">
        <v>1.1E-4</v>
      </c>
      <c r="M14" s="55" t="str">
        <f t="shared" si="2"/>
        <v/>
      </c>
      <c r="N14" s="56" t="str">
        <f t="shared" si="3"/>
        <v/>
      </c>
      <c r="O14" s="55" t="str">
        <f t="shared" si="4"/>
        <v/>
      </c>
      <c r="P14" s="56"/>
      <c r="Q14" s="35"/>
      <c r="R14" s="35"/>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row>
    <row r="15">
      <c r="A15" s="30"/>
      <c r="B15" s="64"/>
      <c r="C15" s="70"/>
      <c r="D15" s="51"/>
      <c r="E15" s="51"/>
      <c r="F15" s="52"/>
      <c r="G15" s="53" t="str">
        <f t="shared" si="1"/>
        <v/>
      </c>
      <c r="H15" s="35"/>
      <c r="I15" s="35" t="s">
        <v>55</v>
      </c>
      <c r="J15" s="54">
        <v>1.0</v>
      </c>
      <c r="K15" s="35"/>
      <c r="L15" s="35">
        <v>1.0E-4</v>
      </c>
      <c r="M15" s="55" t="str">
        <f t="shared" si="2"/>
        <v/>
      </c>
      <c r="N15" s="56" t="str">
        <f t="shared" si="3"/>
        <v/>
      </c>
      <c r="O15" s="55" t="str">
        <f t="shared" si="4"/>
        <v/>
      </c>
      <c r="P15" s="56"/>
      <c r="Q15" s="35"/>
      <c r="R15" s="35"/>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row>
    <row r="16" ht="30.0" customHeight="1">
      <c r="A16" s="30"/>
      <c r="B16" s="64"/>
      <c r="C16" s="70"/>
      <c r="D16" s="51"/>
      <c r="E16" s="51"/>
      <c r="F16" s="52"/>
      <c r="G16" s="53" t="str">
        <f t="shared" si="1"/>
        <v/>
      </c>
      <c r="H16" s="35"/>
      <c r="I16" s="35" t="s">
        <v>56</v>
      </c>
      <c r="J16" s="54">
        <v>2.0</v>
      </c>
      <c r="K16" s="35"/>
      <c r="L16" s="35">
        <v>9.0E-5</v>
      </c>
      <c r="M16" s="55" t="str">
        <f t="shared" si="2"/>
        <v/>
      </c>
      <c r="N16" s="56" t="str">
        <f t="shared" si="3"/>
        <v/>
      </c>
      <c r="O16" s="55" t="str">
        <f t="shared" si="4"/>
        <v/>
      </c>
      <c r="P16" s="56"/>
      <c r="Q16" s="35"/>
      <c r="R16" s="35"/>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row>
    <row r="17" ht="30.0" customHeight="1">
      <c r="A17" s="30"/>
      <c r="B17" s="64"/>
      <c r="C17" s="70"/>
      <c r="D17" s="51"/>
      <c r="E17" s="51"/>
      <c r="F17" s="52"/>
      <c r="G17" s="53" t="str">
        <f t="shared" si="1"/>
        <v/>
      </c>
      <c r="H17" s="35"/>
      <c r="I17" s="35" t="s">
        <v>57</v>
      </c>
      <c r="J17" s="54">
        <v>3.0</v>
      </c>
      <c r="K17" s="35"/>
      <c r="L17" s="35">
        <v>8.0E-5</v>
      </c>
      <c r="M17" s="55" t="str">
        <f t="shared" si="2"/>
        <v/>
      </c>
      <c r="N17" s="56" t="str">
        <f t="shared" si="3"/>
        <v/>
      </c>
      <c r="O17" s="55" t="str">
        <f t="shared" si="4"/>
        <v/>
      </c>
      <c r="P17" s="56"/>
      <c r="Q17" s="35"/>
      <c r="R17" s="35"/>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row>
    <row r="18" ht="30.0" customHeight="1">
      <c r="A18" s="30"/>
      <c r="B18" s="64"/>
      <c r="C18" s="70"/>
      <c r="D18" s="51"/>
      <c r="E18" s="51"/>
      <c r="F18" s="52"/>
      <c r="G18" s="53" t="str">
        <f t="shared" si="1"/>
        <v/>
      </c>
      <c r="H18" s="35"/>
      <c r="I18" s="35" t="s">
        <v>58</v>
      </c>
      <c r="J18" s="54">
        <v>4.0</v>
      </c>
      <c r="K18" s="35"/>
      <c r="L18" s="35">
        <v>7.0E-5</v>
      </c>
      <c r="M18" s="55" t="str">
        <f t="shared" si="2"/>
        <v/>
      </c>
      <c r="N18" s="56" t="str">
        <f t="shared" si="3"/>
        <v/>
      </c>
      <c r="O18" s="55" t="str">
        <f t="shared" si="4"/>
        <v/>
      </c>
      <c r="P18" s="56"/>
      <c r="Q18" s="35"/>
      <c r="R18" s="35"/>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row>
    <row r="19" ht="30.0" customHeight="1">
      <c r="A19" s="30"/>
      <c r="B19" s="64"/>
      <c r="C19" s="70"/>
      <c r="D19" s="51"/>
      <c r="E19" s="51"/>
      <c r="F19" s="52"/>
      <c r="G19" s="53" t="str">
        <f t="shared" si="1"/>
        <v/>
      </c>
      <c r="H19" s="35"/>
      <c r="I19" s="35" t="s">
        <v>59</v>
      </c>
      <c r="J19" s="54">
        <v>5.0</v>
      </c>
      <c r="K19" s="35"/>
      <c r="L19" s="35">
        <v>6.0E-5</v>
      </c>
      <c r="M19" s="55" t="str">
        <f t="shared" si="2"/>
        <v/>
      </c>
      <c r="N19" s="56" t="str">
        <f t="shared" si="3"/>
        <v/>
      </c>
      <c r="O19" s="55" t="str">
        <f t="shared" si="4"/>
        <v/>
      </c>
      <c r="P19" s="56"/>
      <c r="Q19" s="35"/>
      <c r="R19" s="35"/>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row>
    <row r="20" ht="30.0" customHeight="1">
      <c r="A20" s="30"/>
      <c r="B20" s="64"/>
      <c r="C20" s="70"/>
      <c r="D20" s="51"/>
      <c r="E20" s="51"/>
      <c r="F20" s="52"/>
      <c r="G20" s="53" t="str">
        <f t="shared" si="1"/>
        <v/>
      </c>
      <c r="H20" s="35"/>
      <c r="I20" s="35"/>
      <c r="J20" s="35"/>
      <c r="K20" s="35"/>
      <c r="L20" s="35">
        <v>5.0E-5</v>
      </c>
      <c r="M20" s="55" t="str">
        <f t="shared" si="2"/>
        <v/>
      </c>
      <c r="N20" s="56" t="str">
        <f t="shared" si="3"/>
        <v/>
      </c>
      <c r="O20" s="55" t="str">
        <f t="shared" si="4"/>
        <v/>
      </c>
      <c r="P20" s="56"/>
      <c r="Q20" s="35"/>
      <c r="R20" s="35"/>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row>
    <row r="21" ht="30.0" customHeight="1">
      <c r="A21" s="30"/>
      <c r="B21" s="64"/>
      <c r="C21" s="70"/>
      <c r="D21" s="51"/>
      <c r="E21" s="51"/>
      <c r="F21" s="52"/>
      <c r="G21" s="53" t="str">
        <f t="shared" si="1"/>
        <v/>
      </c>
      <c r="H21" s="35"/>
      <c r="I21" s="35" t="s">
        <v>43</v>
      </c>
      <c r="J21" s="35"/>
      <c r="K21" s="35"/>
      <c r="L21" s="35">
        <v>4.0E-5</v>
      </c>
      <c r="M21" s="55" t="str">
        <f t="shared" si="2"/>
        <v/>
      </c>
      <c r="N21" s="56" t="str">
        <f t="shared" si="3"/>
        <v/>
      </c>
      <c r="O21" s="55" t="str">
        <f t="shared" si="4"/>
        <v/>
      </c>
      <c r="P21" s="56"/>
      <c r="Q21" s="35"/>
      <c r="R21" s="35"/>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row>
    <row r="22" ht="30.0" customHeight="1">
      <c r="A22" s="59"/>
      <c r="B22" s="64"/>
      <c r="C22" s="70"/>
      <c r="D22" s="51"/>
      <c r="E22" s="51"/>
      <c r="F22" s="52"/>
      <c r="G22" s="53" t="str">
        <f t="shared" si="1"/>
        <v/>
      </c>
      <c r="H22" s="35"/>
      <c r="I22" s="54"/>
      <c r="J22" s="35"/>
      <c r="K22" s="35"/>
      <c r="L22" s="35">
        <v>3.0E-5</v>
      </c>
      <c r="M22" s="55" t="str">
        <f t="shared" si="2"/>
        <v/>
      </c>
      <c r="N22" s="56" t="str">
        <f t="shared" si="3"/>
        <v/>
      </c>
      <c r="O22" s="55" t="str">
        <f t="shared" si="4"/>
        <v/>
      </c>
      <c r="P22" s="56"/>
      <c r="Q22" s="35"/>
      <c r="R22" s="35"/>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row>
    <row r="23" ht="30.0" customHeight="1">
      <c r="A23" s="59"/>
      <c r="B23" s="64"/>
      <c r="C23" s="70"/>
      <c r="D23" s="51"/>
      <c r="E23" s="51"/>
      <c r="F23" s="52"/>
      <c r="G23" s="53" t="str">
        <f t="shared" si="1"/>
        <v/>
      </c>
      <c r="H23" s="35"/>
      <c r="I23" s="35" t="s">
        <v>60</v>
      </c>
      <c r="J23" s="54">
        <v>1.0</v>
      </c>
      <c r="K23" s="35"/>
      <c r="L23" s="35">
        <v>2.0E-5</v>
      </c>
      <c r="M23" s="55" t="str">
        <f t="shared" si="2"/>
        <v/>
      </c>
      <c r="N23" s="56" t="str">
        <f t="shared" si="3"/>
        <v/>
      </c>
      <c r="O23" s="55" t="str">
        <f t="shared" si="4"/>
        <v/>
      </c>
      <c r="P23" s="56"/>
      <c r="Q23" s="35"/>
      <c r="R23" s="35"/>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row>
    <row r="24" ht="30.0" customHeight="1">
      <c r="A24" s="30"/>
      <c r="B24" s="64"/>
      <c r="C24" s="70"/>
      <c r="D24" s="51"/>
      <c r="E24" s="51"/>
      <c r="F24" s="52"/>
      <c r="G24" s="53" t="str">
        <f t="shared" si="1"/>
        <v/>
      </c>
      <c r="H24" s="35"/>
      <c r="I24" s="35" t="s">
        <v>61</v>
      </c>
      <c r="J24" s="54">
        <v>2.0</v>
      </c>
      <c r="K24" s="35"/>
      <c r="L24" s="35">
        <v>1.0E-5</v>
      </c>
      <c r="M24" s="55" t="str">
        <f t="shared" si="2"/>
        <v/>
      </c>
      <c r="N24" s="56" t="str">
        <f t="shared" si="3"/>
        <v/>
      </c>
      <c r="O24" s="55" t="str">
        <f t="shared" si="4"/>
        <v/>
      </c>
      <c r="P24" s="56"/>
      <c r="Q24" s="35"/>
      <c r="R24" s="35"/>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row>
    <row r="25" ht="30.0" customHeight="1">
      <c r="A25" s="30"/>
      <c r="B25" s="64"/>
      <c r="C25" s="60" t="s">
        <v>67</v>
      </c>
      <c r="D25" s="72"/>
      <c r="E25" s="73"/>
      <c r="F25" s="62" t="s">
        <v>64</v>
      </c>
      <c r="G25" s="63">
        <f>SUM(G6:G24)</f>
        <v>0</v>
      </c>
      <c r="H25" s="35"/>
      <c r="I25" s="35" t="s">
        <v>62</v>
      </c>
      <c r="J25" s="54">
        <v>3.0</v>
      </c>
      <c r="K25" s="35"/>
      <c r="L25" s="35"/>
      <c r="M25" s="35"/>
      <c r="N25" s="56" t="str">
        <f t="shared" si="3"/>
        <v>Pontuação geral das suas Fraquezas</v>
      </c>
      <c r="O25" s="55"/>
      <c r="P25" s="56"/>
      <c r="Q25" s="35"/>
      <c r="R25" s="35"/>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row>
    <row r="26" ht="30.0" customHeight="1">
      <c r="A26" s="30"/>
      <c r="B26" s="64"/>
      <c r="H26" s="35"/>
      <c r="I26" s="35" t="s">
        <v>65</v>
      </c>
      <c r="J26" s="54">
        <v>4.0</v>
      </c>
      <c r="K26" s="35"/>
      <c r="L26" s="35"/>
      <c r="M26" s="35"/>
      <c r="N26" s="56" t="str">
        <f t="shared" si="3"/>
        <v/>
      </c>
      <c r="O26" s="55"/>
      <c r="P26" s="56"/>
      <c r="Q26" s="35"/>
      <c r="R26" s="35"/>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row>
    <row r="27" ht="30.0" customHeight="1">
      <c r="A27" s="30"/>
      <c r="B27" s="64"/>
      <c r="H27" s="35"/>
      <c r="I27" s="35" t="s">
        <v>66</v>
      </c>
      <c r="J27" s="54">
        <v>5.0</v>
      </c>
      <c r="K27" s="35"/>
      <c r="L27" s="35"/>
      <c r="M27" s="35"/>
      <c r="N27" s="56" t="str">
        <f t="shared" si="3"/>
        <v/>
      </c>
      <c r="O27" s="55"/>
      <c r="P27" s="56"/>
      <c r="Q27" s="35"/>
      <c r="R27" s="35"/>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row>
    <row r="28" ht="30.0" customHeight="1">
      <c r="A28" s="30"/>
      <c r="B28" s="64"/>
      <c r="H28" s="35"/>
      <c r="I28" s="35"/>
      <c r="J28" s="35"/>
      <c r="K28" s="35"/>
      <c r="L28" s="35"/>
      <c r="M28" s="35"/>
      <c r="N28" s="56" t="str">
        <f t="shared" si="3"/>
        <v/>
      </c>
      <c r="O28" s="55"/>
      <c r="P28" s="56"/>
      <c r="Q28" s="35"/>
      <c r="R28" s="35"/>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row>
    <row r="29" ht="30.0" customHeight="1">
      <c r="A29" s="30"/>
      <c r="B29" s="64"/>
      <c r="H29" s="35"/>
      <c r="I29" s="35"/>
      <c r="J29" s="35"/>
      <c r="K29" s="35"/>
      <c r="L29" s="35"/>
      <c r="M29" s="35"/>
      <c r="N29" s="35"/>
      <c r="O29" s="55"/>
      <c r="P29" s="56"/>
      <c r="Q29" s="35"/>
      <c r="R29" s="35"/>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row>
    <row r="30" ht="30.0" customHeight="1">
      <c r="A30" s="30"/>
      <c r="B30" s="64"/>
      <c r="H30" s="35"/>
      <c r="I30" s="35"/>
      <c r="J30" s="35"/>
      <c r="K30" s="35"/>
      <c r="L30" s="35"/>
      <c r="M30" s="35"/>
      <c r="N30" s="35"/>
      <c r="O30" s="55"/>
      <c r="P30" s="56"/>
      <c r="Q30" s="35"/>
      <c r="R30" s="35"/>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row>
    <row r="31" ht="30.0" customHeight="1">
      <c r="A31" s="30"/>
      <c r="B31" s="64"/>
      <c r="H31" s="35"/>
      <c r="I31" s="35"/>
      <c r="J31" s="35"/>
      <c r="K31" s="35"/>
      <c r="L31" s="35"/>
      <c r="M31" s="35"/>
      <c r="N31" s="35"/>
      <c r="O31" s="55"/>
      <c r="P31" s="56"/>
      <c r="Q31" s="35"/>
      <c r="R31" s="35"/>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row>
    <row r="32" ht="30.0" customHeight="1">
      <c r="A32" s="30"/>
      <c r="B32" s="64"/>
      <c r="H32" s="35"/>
      <c r="I32" s="35"/>
      <c r="J32" s="35"/>
      <c r="K32" s="35"/>
      <c r="L32" s="35"/>
      <c r="M32" s="35"/>
      <c r="N32" s="35"/>
      <c r="O32" s="55"/>
      <c r="P32" s="56"/>
      <c r="Q32" s="35"/>
      <c r="R32" s="35"/>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row>
    <row r="33" ht="30.0" customHeight="1">
      <c r="A33" s="30"/>
      <c r="B33" s="64"/>
      <c r="H33" s="35"/>
      <c r="I33" s="35"/>
      <c r="J33" s="35"/>
      <c r="K33" s="35"/>
      <c r="L33" s="35"/>
      <c r="M33" s="35"/>
      <c r="N33" s="35"/>
      <c r="O33" s="55"/>
      <c r="P33" s="56"/>
      <c r="Q33" s="35"/>
      <c r="R33" s="35"/>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row>
    <row r="34" ht="30.0" customHeight="1">
      <c r="A34" s="30"/>
      <c r="B34" s="64"/>
      <c r="H34" s="35"/>
      <c r="I34" s="35"/>
      <c r="J34" s="35"/>
      <c r="K34" s="35"/>
      <c r="L34" s="35"/>
      <c r="M34" s="35"/>
      <c r="N34" s="35"/>
      <c r="O34" s="55"/>
      <c r="P34" s="56"/>
      <c r="Q34" s="35"/>
      <c r="R34" s="35"/>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row>
    <row r="35" ht="30.0" customHeight="1">
      <c r="A35" s="30"/>
      <c r="B35" s="64"/>
      <c r="H35" s="35"/>
      <c r="I35" s="35"/>
      <c r="J35" s="35"/>
      <c r="K35" s="35"/>
      <c r="L35" s="35"/>
      <c r="M35" s="35"/>
      <c r="N35" s="35"/>
      <c r="O35" s="55"/>
      <c r="P35" s="56"/>
      <c r="Q35" s="35"/>
      <c r="R35" s="35"/>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row>
    <row r="36" ht="30.0" customHeight="1">
      <c r="A36" s="30"/>
      <c r="B36" s="64"/>
      <c r="H36" s="35"/>
      <c r="I36" s="35"/>
      <c r="J36" s="35"/>
      <c r="K36" s="35"/>
      <c r="L36" s="35"/>
      <c r="M36" s="35"/>
      <c r="N36" s="35"/>
      <c r="O36" s="55"/>
      <c r="P36" s="56"/>
      <c r="Q36" s="35"/>
      <c r="R36" s="35"/>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row>
    <row r="37" ht="30.0" customHeight="1">
      <c r="A37" s="30"/>
      <c r="B37" s="64"/>
      <c r="H37" s="35"/>
      <c r="I37" s="35"/>
      <c r="J37" s="35"/>
      <c r="K37" s="35"/>
      <c r="L37" s="35"/>
      <c r="M37" s="35"/>
      <c r="N37" s="35"/>
      <c r="O37" s="55"/>
      <c r="P37" s="56"/>
      <c r="Q37" s="35"/>
      <c r="R37" s="35"/>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row>
    <row r="38" ht="30.0" customHeight="1">
      <c r="A38" s="30"/>
      <c r="B38" s="64"/>
      <c r="H38" s="35"/>
      <c r="I38" s="35"/>
      <c r="J38" s="35"/>
      <c r="K38" s="35"/>
      <c r="L38" s="35"/>
      <c r="M38" s="35"/>
      <c r="N38" s="35"/>
      <c r="O38" s="55"/>
      <c r="P38" s="56"/>
      <c r="Q38" s="35"/>
      <c r="R38" s="35"/>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row>
    <row r="39" ht="30.0" customHeight="1">
      <c r="A39" s="30"/>
      <c r="B39" s="64"/>
      <c r="H39" s="35"/>
      <c r="I39" s="35"/>
      <c r="J39" s="35"/>
      <c r="K39" s="35"/>
      <c r="L39" s="35"/>
      <c r="M39" s="35"/>
      <c r="N39" s="35"/>
      <c r="O39" s="55"/>
      <c r="P39" s="56"/>
      <c r="Q39" s="35"/>
      <c r="R39" s="35"/>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row>
    <row r="40" ht="30.0" customHeight="1">
      <c r="A40" s="30"/>
      <c r="B40" s="64"/>
      <c r="H40" s="35"/>
      <c r="I40" s="35"/>
      <c r="J40" s="35"/>
      <c r="K40" s="35"/>
      <c r="L40" s="35"/>
      <c r="M40" s="35"/>
      <c r="N40" s="35"/>
      <c r="O40" s="55"/>
      <c r="P40" s="56"/>
      <c r="Q40" s="35"/>
      <c r="R40" s="35"/>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row>
    <row r="41" ht="30.0" customHeight="1">
      <c r="A41" s="30"/>
      <c r="B41" s="64"/>
      <c r="H41" s="35"/>
      <c r="I41" s="35"/>
      <c r="J41" s="35"/>
      <c r="K41" s="35"/>
      <c r="L41" s="35"/>
      <c r="M41" s="35"/>
      <c r="N41" s="35"/>
      <c r="O41" s="55"/>
      <c r="P41" s="56"/>
      <c r="Q41" s="35"/>
      <c r="R41" s="35"/>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row>
    <row r="42" ht="30.0" customHeight="1">
      <c r="A42" s="30"/>
      <c r="B42" s="64"/>
      <c r="H42" s="35"/>
      <c r="I42" s="35"/>
      <c r="J42" s="35"/>
      <c r="K42" s="35"/>
      <c r="L42" s="35"/>
      <c r="M42" s="35"/>
      <c r="N42" s="35"/>
      <c r="O42" s="55"/>
      <c r="P42" s="56"/>
      <c r="Q42" s="35"/>
      <c r="R42" s="35"/>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row>
    <row r="43" ht="30.0" customHeight="1">
      <c r="A43" s="30"/>
      <c r="B43" s="64"/>
      <c r="H43" s="35"/>
      <c r="I43" s="35"/>
      <c r="J43" s="35"/>
      <c r="K43" s="35"/>
      <c r="L43" s="35"/>
      <c r="M43" s="35"/>
      <c r="N43" s="35"/>
      <c r="O43" s="55"/>
      <c r="P43" s="56"/>
      <c r="Q43" s="35"/>
      <c r="R43" s="35"/>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row>
    <row r="44" ht="30.0" customHeight="1">
      <c r="A44" s="30"/>
      <c r="B44" s="64"/>
      <c r="H44" s="35"/>
      <c r="I44" s="35"/>
      <c r="J44" s="35"/>
      <c r="K44" s="35"/>
      <c r="L44" s="35"/>
      <c r="M44" s="35"/>
      <c r="N44" s="35"/>
      <c r="O44" s="55"/>
      <c r="P44" s="56"/>
      <c r="Q44" s="35"/>
      <c r="R44" s="35"/>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row>
    <row r="45" ht="37.5" customHeight="1">
      <c r="A45" s="30"/>
      <c r="B45" s="64"/>
      <c r="H45" s="35"/>
      <c r="I45" s="35"/>
      <c r="J45" s="35"/>
      <c r="K45" s="35"/>
      <c r="L45" s="35"/>
      <c r="M45" s="35"/>
      <c r="N45" s="56"/>
      <c r="O45" s="35"/>
      <c r="P45" s="35"/>
      <c r="Q45" s="35"/>
      <c r="R45" s="35"/>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row>
    <row r="46" ht="30.0" customHeight="1">
      <c r="A46" s="30"/>
      <c r="B46" s="64"/>
      <c r="H46" s="35"/>
      <c r="I46" s="35"/>
      <c r="J46" s="35"/>
      <c r="K46" s="35"/>
      <c r="L46" s="35"/>
      <c r="M46" s="35"/>
      <c r="N46" s="56"/>
      <c r="O46" s="35"/>
      <c r="P46" s="35"/>
      <c r="Q46" s="35"/>
      <c r="R46" s="35"/>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row>
    <row r="47" ht="30.0" customHeight="1">
      <c r="A47" s="30"/>
      <c r="B47" s="64"/>
      <c r="H47" s="35"/>
      <c r="I47" s="35"/>
      <c r="J47" s="35"/>
      <c r="K47" s="35"/>
      <c r="L47" s="35"/>
      <c r="M47" s="35"/>
      <c r="N47" s="56"/>
      <c r="O47" s="35"/>
      <c r="P47" s="35"/>
      <c r="Q47" s="35"/>
      <c r="R47" s="35"/>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row>
    <row r="48" ht="30.0" customHeight="1">
      <c r="A48" s="30"/>
      <c r="B48" s="64"/>
      <c r="D48" s="66"/>
      <c r="E48" s="66"/>
      <c r="H48" s="35"/>
      <c r="I48" s="35"/>
      <c r="J48" s="35"/>
      <c r="K48" s="35"/>
      <c r="L48" s="35"/>
      <c r="M48" s="35"/>
      <c r="N48" s="56"/>
      <c r="O48" s="35"/>
      <c r="P48" s="35"/>
      <c r="Q48" s="35"/>
      <c r="R48" s="35"/>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row>
    <row r="49" ht="30.0" hidden="1" customHeight="1">
      <c r="A49" s="30"/>
      <c r="B49" s="64"/>
      <c r="D49" s="66"/>
      <c r="E49" s="66"/>
      <c r="H49" s="35"/>
      <c r="I49" s="35"/>
      <c r="J49" s="35"/>
      <c r="K49" s="35"/>
      <c r="L49" s="35"/>
      <c r="M49" s="35"/>
      <c r="N49" s="56"/>
      <c r="O49" s="35"/>
      <c r="P49" s="35"/>
      <c r="Q49" s="35"/>
      <c r="R49" s="35"/>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row>
    <row r="50" ht="30.0" hidden="1" customHeight="1">
      <c r="A50" s="30"/>
      <c r="B50" s="64"/>
      <c r="D50" s="66"/>
      <c r="E50" s="66"/>
      <c r="H50" s="35"/>
      <c r="I50" s="35"/>
      <c r="J50" s="35"/>
      <c r="K50" s="35"/>
      <c r="L50" s="35"/>
      <c r="M50" s="35"/>
      <c r="N50" s="56"/>
      <c r="O50" s="35"/>
      <c r="P50" s="35"/>
      <c r="Q50" s="35"/>
      <c r="R50" s="35"/>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row>
    <row r="51" ht="30.0" hidden="1" customHeight="1">
      <c r="A51" s="30"/>
      <c r="B51" s="64"/>
      <c r="D51" s="66"/>
      <c r="E51" s="66"/>
      <c r="H51" s="35"/>
      <c r="I51" s="35"/>
      <c r="J51" s="35"/>
      <c r="K51" s="35"/>
      <c r="L51" s="35"/>
      <c r="M51" s="35"/>
      <c r="N51" s="56"/>
      <c r="O51" s="35"/>
      <c r="P51" s="35"/>
      <c r="Q51" s="35"/>
      <c r="R51" s="35"/>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row>
    <row r="52" ht="30.0" hidden="1" customHeight="1">
      <c r="A52" s="30"/>
      <c r="B52" s="64"/>
      <c r="D52" s="66"/>
      <c r="E52" s="66"/>
      <c r="H52" s="35"/>
      <c r="I52" s="35"/>
      <c r="J52" s="35"/>
      <c r="K52" s="35"/>
      <c r="L52" s="35"/>
      <c r="M52" s="35"/>
      <c r="N52" s="56"/>
      <c r="O52" s="35"/>
      <c r="P52" s="35"/>
      <c r="Q52" s="35"/>
      <c r="R52" s="35"/>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row>
    <row r="53" ht="30.0" hidden="1" customHeight="1">
      <c r="A53" s="30"/>
      <c r="B53" s="64"/>
      <c r="D53" s="66"/>
      <c r="E53" s="66"/>
      <c r="H53" s="35"/>
      <c r="I53" s="35"/>
      <c r="J53" s="35"/>
      <c r="K53" s="35"/>
      <c r="L53" s="35"/>
      <c r="M53" s="35"/>
      <c r="N53" s="56"/>
      <c r="O53" s="35"/>
      <c r="P53" s="35"/>
      <c r="Q53" s="35"/>
      <c r="R53" s="35"/>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row>
    <row r="54" ht="30.0" hidden="1" customHeight="1">
      <c r="A54" s="59"/>
      <c r="D54" s="66"/>
      <c r="E54" s="66"/>
      <c r="H54" s="35"/>
      <c r="I54" s="35"/>
      <c r="J54" s="35"/>
      <c r="K54" s="35"/>
      <c r="L54" s="35"/>
      <c r="M54" s="35"/>
      <c r="N54" s="56"/>
      <c r="O54" s="35"/>
      <c r="P54" s="35"/>
      <c r="Q54" s="35"/>
      <c r="R54" s="35"/>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row>
    <row r="55" ht="30.0" hidden="1" customHeight="1">
      <c r="A55" s="59"/>
      <c r="D55" s="66"/>
      <c r="E55" s="66"/>
      <c r="H55" s="35"/>
      <c r="I55" s="35"/>
      <c r="J55" s="35"/>
      <c r="K55" s="35"/>
      <c r="L55" s="35"/>
      <c r="M55" s="35"/>
      <c r="N55" s="56"/>
      <c r="O55" s="35"/>
      <c r="P55" s="35"/>
      <c r="Q55" s="35"/>
      <c r="R55" s="35"/>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row>
    <row r="56" ht="30.0" hidden="1" customHeight="1">
      <c r="A56" s="59"/>
      <c r="D56" s="66"/>
      <c r="E56" s="66"/>
      <c r="H56" s="35"/>
      <c r="I56" s="35"/>
      <c r="J56" s="35"/>
      <c r="K56" s="35"/>
      <c r="L56" s="35"/>
      <c r="M56" s="35"/>
      <c r="N56" s="56"/>
      <c r="O56" s="35"/>
      <c r="P56" s="35"/>
      <c r="Q56" s="35"/>
      <c r="R56" s="35"/>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row>
    <row r="57" ht="30.0" hidden="1" customHeight="1">
      <c r="A57" s="30"/>
      <c r="D57" s="66"/>
      <c r="E57" s="66"/>
      <c r="H57" s="35"/>
      <c r="I57" s="35"/>
      <c r="J57" s="35"/>
      <c r="K57" s="35"/>
      <c r="L57" s="35"/>
      <c r="M57" s="35"/>
      <c r="N57" s="56"/>
      <c r="O57" s="35"/>
      <c r="P57" s="35"/>
      <c r="Q57" s="35"/>
      <c r="R57" s="35"/>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row>
    <row r="58" ht="30.0" hidden="1" customHeight="1">
      <c r="A58" s="30"/>
      <c r="D58" s="66"/>
      <c r="E58" s="66"/>
      <c r="H58" s="35"/>
      <c r="I58" s="35"/>
      <c r="J58" s="35"/>
      <c r="K58" s="35"/>
      <c r="L58" s="35"/>
      <c r="M58" s="35"/>
      <c r="N58" s="56"/>
      <c r="O58" s="35"/>
      <c r="P58" s="35"/>
      <c r="Q58" s="35"/>
      <c r="R58" s="35"/>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row>
    <row r="59" ht="30.0" hidden="1" customHeight="1">
      <c r="A59" s="30"/>
      <c r="D59" s="66"/>
      <c r="E59" s="66"/>
      <c r="H59" s="35"/>
      <c r="I59" s="35"/>
      <c r="J59" s="35"/>
      <c r="K59" s="35"/>
      <c r="L59" s="35"/>
      <c r="M59" s="35"/>
      <c r="N59" s="56"/>
      <c r="O59" s="35"/>
      <c r="P59" s="35"/>
      <c r="Q59" s="35"/>
      <c r="R59" s="35"/>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row>
    <row r="60" ht="30.0" hidden="1" customHeight="1">
      <c r="A60" s="30"/>
      <c r="D60" s="66"/>
      <c r="E60" s="66"/>
      <c r="H60" s="35"/>
      <c r="I60" s="35"/>
      <c r="J60" s="35"/>
      <c r="K60" s="35"/>
      <c r="L60" s="35"/>
      <c r="M60" s="35"/>
      <c r="N60" s="56"/>
      <c r="O60" s="35"/>
      <c r="P60" s="35"/>
      <c r="Q60" s="35"/>
      <c r="R60" s="35"/>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row>
    <row r="61" ht="30.0" hidden="1" customHeight="1">
      <c r="A61" s="30"/>
      <c r="D61" s="66"/>
      <c r="E61" s="66"/>
      <c r="H61" s="35"/>
      <c r="I61" s="35"/>
      <c r="J61" s="35"/>
      <c r="K61" s="35"/>
      <c r="L61" s="35"/>
      <c r="M61" s="35"/>
      <c r="N61" s="56"/>
      <c r="O61" s="35"/>
      <c r="P61" s="35"/>
      <c r="Q61" s="35"/>
      <c r="R61" s="35"/>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row>
    <row r="62" ht="30.0" hidden="1" customHeight="1">
      <c r="A62" s="30"/>
      <c r="D62" s="66"/>
      <c r="E62" s="66"/>
      <c r="H62" s="35"/>
      <c r="I62" s="35"/>
      <c r="J62" s="35"/>
      <c r="K62" s="35"/>
      <c r="L62" s="35"/>
      <c r="M62" s="35"/>
      <c r="N62" s="56"/>
      <c r="O62" s="35"/>
      <c r="P62" s="35"/>
      <c r="Q62" s="35"/>
      <c r="R62" s="35"/>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row>
    <row r="63" ht="30.0" hidden="1" customHeight="1">
      <c r="A63" s="30"/>
      <c r="D63" s="66"/>
      <c r="E63" s="66"/>
      <c r="H63" s="35"/>
      <c r="I63" s="35"/>
      <c r="J63" s="35"/>
      <c r="K63" s="35"/>
      <c r="L63" s="35"/>
      <c r="M63" s="35"/>
      <c r="N63" s="56"/>
      <c r="O63" s="35"/>
      <c r="P63" s="35"/>
      <c r="Q63" s="35"/>
      <c r="R63" s="35"/>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row>
    <row r="64" ht="15.75" hidden="1" customHeight="1">
      <c r="A64" s="30"/>
      <c r="D64" s="66"/>
      <c r="E64" s="66"/>
      <c r="H64" s="35"/>
      <c r="I64" s="35"/>
      <c r="J64" s="35"/>
      <c r="K64" s="35"/>
      <c r="L64" s="35"/>
      <c r="M64" s="35"/>
      <c r="N64" s="35"/>
      <c r="O64" s="35"/>
      <c r="P64" s="35"/>
      <c r="Q64" s="35"/>
      <c r="R64" s="35"/>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row>
    <row r="65" ht="15.75" hidden="1" customHeight="1">
      <c r="A65" s="30"/>
      <c r="D65" s="66"/>
      <c r="E65" s="66"/>
      <c r="H65" s="35"/>
      <c r="I65" s="35"/>
      <c r="J65" s="35"/>
      <c r="K65" s="35"/>
      <c r="L65" s="35"/>
      <c r="M65" s="35"/>
      <c r="N65" s="35"/>
      <c r="O65" s="35"/>
      <c r="P65" s="35"/>
      <c r="Q65" s="35"/>
      <c r="R65" s="35"/>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row>
    <row r="66" ht="15.75" hidden="1" customHeight="1">
      <c r="A66" s="30"/>
      <c r="D66" s="66"/>
      <c r="E66" s="66"/>
      <c r="H66" s="35"/>
      <c r="I66" s="35"/>
      <c r="J66" s="35"/>
      <c r="K66" s="35"/>
      <c r="L66" s="35"/>
      <c r="M66" s="35"/>
      <c r="N66" s="35"/>
      <c r="O66" s="35"/>
      <c r="P66" s="35"/>
      <c r="Q66" s="35"/>
      <c r="R66" s="35"/>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row>
    <row r="67" ht="15.75" hidden="1" customHeight="1">
      <c r="A67" s="30"/>
      <c r="D67" s="66"/>
      <c r="E67" s="66"/>
      <c r="H67" s="35"/>
      <c r="I67" s="35"/>
      <c r="J67" s="35"/>
      <c r="K67" s="35"/>
      <c r="L67" s="35"/>
      <c r="M67" s="35"/>
      <c r="N67" s="35"/>
      <c r="O67" s="35"/>
      <c r="P67" s="35"/>
      <c r="Q67" s="35"/>
      <c r="R67" s="35"/>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row>
    <row r="68" ht="15.0" customHeight="1">
      <c r="A68" s="30"/>
      <c r="D68" s="66"/>
      <c r="E68" s="66"/>
      <c r="H68" s="35"/>
      <c r="I68" s="35"/>
      <c r="J68" s="35"/>
      <c r="K68" s="35"/>
      <c r="L68" s="35"/>
      <c r="M68" s="35"/>
      <c r="N68" s="35"/>
      <c r="O68" s="35"/>
      <c r="P68" s="35"/>
      <c r="Q68" s="35"/>
      <c r="R68" s="35"/>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row>
    <row r="69" ht="15.0" customHeight="1">
      <c r="A69" s="30"/>
      <c r="D69" s="66"/>
      <c r="E69" s="66"/>
      <c r="H69" s="35"/>
      <c r="I69" s="35"/>
      <c r="J69" s="35"/>
      <c r="K69" s="35"/>
      <c r="L69" s="35"/>
      <c r="M69" s="35"/>
      <c r="N69" s="35"/>
      <c r="O69" s="35"/>
      <c r="P69" s="35"/>
      <c r="Q69" s="35"/>
      <c r="R69" s="35"/>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row>
    <row r="70" ht="15.0" customHeight="1">
      <c r="A70" s="30"/>
      <c r="D70" s="66"/>
      <c r="E70" s="66"/>
      <c r="H70" s="35"/>
      <c r="I70" s="35"/>
      <c r="J70" s="35"/>
      <c r="K70" s="35"/>
      <c r="L70" s="35"/>
      <c r="M70" s="35"/>
      <c r="N70" s="35"/>
      <c r="O70" s="35"/>
      <c r="P70" s="35"/>
      <c r="Q70" s="35"/>
      <c r="R70" s="35"/>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row>
    <row r="71" ht="15.75" customHeight="1">
      <c r="A71" s="30"/>
      <c r="D71" s="66"/>
      <c r="E71" s="66"/>
      <c r="H71" s="35"/>
      <c r="I71" s="35"/>
      <c r="J71" s="35"/>
      <c r="K71" s="35"/>
      <c r="L71" s="35"/>
      <c r="M71" s="35"/>
      <c r="N71" s="35"/>
      <c r="O71" s="35"/>
      <c r="P71" s="35"/>
      <c r="Q71" s="35"/>
      <c r="R71" s="35"/>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row>
    <row r="72" ht="15.75" customHeight="1">
      <c r="A72" s="30"/>
      <c r="D72" s="66"/>
      <c r="E72" s="66"/>
      <c r="H72" s="35"/>
      <c r="I72" s="35"/>
      <c r="J72" s="35"/>
      <c r="K72" s="35"/>
      <c r="L72" s="35"/>
      <c r="M72" s="35"/>
      <c r="N72" s="35"/>
      <c r="O72" s="35"/>
      <c r="P72" s="35"/>
      <c r="Q72" s="35"/>
      <c r="R72" s="35"/>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row>
    <row r="73" ht="15.75" customHeight="1">
      <c r="A73" s="30"/>
      <c r="D73" s="66"/>
      <c r="E73" s="66"/>
      <c r="H73" s="35"/>
      <c r="I73" s="35"/>
      <c r="J73" s="35"/>
      <c r="K73" s="35"/>
      <c r="L73" s="35"/>
      <c r="M73" s="35"/>
      <c r="N73" s="35"/>
      <c r="O73" s="35"/>
      <c r="P73" s="35"/>
      <c r="Q73" s="35"/>
      <c r="R73" s="35"/>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row>
    <row r="74" ht="15.75" customHeight="1">
      <c r="A74" s="30"/>
      <c r="D74" s="66"/>
      <c r="E74" s="66"/>
      <c r="H74" s="35"/>
      <c r="I74" s="35"/>
      <c r="J74" s="35"/>
      <c r="K74" s="35"/>
      <c r="L74" s="35"/>
      <c r="M74" s="35"/>
      <c r="N74" s="35"/>
      <c r="O74" s="35"/>
      <c r="P74" s="35"/>
      <c r="Q74" s="35"/>
      <c r="R74" s="35"/>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row>
    <row r="75" ht="15.75" customHeight="1">
      <c r="A75" s="30"/>
      <c r="D75" s="66"/>
      <c r="E75" s="66"/>
      <c r="H75" s="35"/>
      <c r="I75" s="35"/>
      <c r="J75" s="35"/>
      <c r="K75" s="35"/>
      <c r="L75" s="35"/>
      <c r="M75" s="35"/>
      <c r="N75" s="35"/>
      <c r="O75" s="35"/>
      <c r="P75" s="35"/>
      <c r="Q75" s="35"/>
      <c r="R75" s="35"/>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row>
    <row r="76" ht="15.75" customHeight="1">
      <c r="A76" s="30"/>
      <c r="D76" s="66"/>
      <c r="E76" s="66"/>
      <c r="H76" s="35"/>
      <c r="I76" s="35"/>
      <c r="J76" s="35"/>
      <c r="K76" s="35"/>
      <c r="L76" s="35"/>
      <c r="M76" s="35"/>
      <c r="N76" s="35"/>
      <c r="O76" s="35"/>
      <c r="P76" s="35"/>
      <c r="Q76" s="35"/>
      <c r="R76" s="35"/>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row>
    <row r="77" ht="15.75" customHeight="1">
      <c r="A77" s="30"/>
      <c r="D77" s="66"/>
      <c r="E77" s="66"/>
      <c r="H77" s="35"/>
      <c r="I77" s="35"/>
      <c r="J77" s="35"/>
      <c r="K77" s="35"/>
      <c r="L77" s="35"/>
      <c r="M77" s="35"/>
      <c r="N77" s="35"/>
      <c r="O77" s="35"/>
      <c r="P77" s="35"/>
      <c r="Q77" s="35"/>
      <c r="R77" s="35"/>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row>
    <row r="78" ht="15.75" customHeight="1">
      <c r="A78" s="30"/>
      <c r="D78" s="66"/>
      <c r="E78" s="66"/>
      <c r="H78" s="35"/>
      <c r="I78" s="35"/>
      <c r="J78" s="35"/>
      <c r="K78" s="35"/>
      <c r="L78" s="35"/>
      <c r="M78" s="35"/>
      <c r="N78" s="35"/>
      <c r="O78" s="35"/>
      <c r="P78" s="35"/>
      <c r="Q78" s="35"/>
      <c r="R78" s="35"/>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row>
    <row r="79" ht="15.75" customHeight="1">
      <c r="A79" s="30"/>
      <c r="D79" s="66"/>
      <c r="E79" s="66"/>
      <c r="H79" s="35"/>
      <c r="I79" s="35"/>
      <c r="J79" s="35"/>
      <c r="K79" s="35"/>
      <c r="L79" s="35"/>
      <c r="M79" s="35"/>
      <c r="N79" s="35"/>
      <c r="O79" s="35"/>
      <c r="P79" s="35"/>
      <c r="Q79" s="35"/>
      <c r="R79" s="35"/>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row>
    <row r="80" ht="15.75" customHeight="1">
      <c r="A80" s="30"/>
      <c r="D80" s="66"/>
      <c r="E80" s="66"/>
      <c r="H80" s="35"/>
      <c r="I80" s="35"/>
      <c r="J80" s="35"/>
      <c r="K80" s="35"/>
      <c r="L80" s="35"/>
      <c r="M80" s="35"/>
      <c r="N80" s="35"/>
      <c r="O80" s="35"/>
      <c r="P80" s="35"/>
      <c r="Q80" s="35"/>
      <c r="R80" s="35"/>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row>
    <row r="81" ht="15.75" customHeight="1">
      <c r="A81" s="30"/>
      <c r="D81" s="66"/>
      <c r="E81" s="66"/>
      <c r="H81" s="35"/>
      <c r="I81" s="35"/>
      <c r="J81" s="35"/>
      <c r="K81" s="35"/>
      <c r="L81" s="35"/>
      <c r="M81" s="35"/>
      <c r="N81" s="35"/>
      <c r="O81" s="35"/>
      <c r="P81" s="35"/>
      <c r="Q81" s="35"/>
      <c r="R81" s="35"/>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row>
    <row r="82" ht="15.75" customHeight="1">
      <c r="A82" s="30"/>
      <c r="D82" s="66"/>
      <c r="E82" s="66"/>
      <c r="H82" s="35"/>
      <c r="I82" s="35"/>
      <c r="J82" s="35"/>
      <c r="K82" s="35"/>
      <c r="L82" s="35"/>
      <c r="M82" s="35"/>
      <c r="N82" s="35"/>
      <c r="O82" s="35"/>
      <c r="P82" s="35"/>
      <c r="Q82" s="35"/>
      <c r="R82" s="35"/>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row>
    <row r="83" ht="15.75" customHeight="1">
      <c r="A83" s="30"/>
      <c r="D83" s="66"/>
      <c r="E83" s="66"/>
      <c r="H83" s="35"/>
      <c r="I83" s="35"/>
      <c r="J83" s="35"/>
      <c r="K83" s="35"/>
      <c r="L83" s="35"/>
      <c r="M83" s="35"/>
      <c r="N83" s="35"/>
      <c r="O83" s="35"/>
      <c r="P83" s="35"/>
      <c r="Q83" s="35"/>
      <c r="R83" s="35"/>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row>
    <row r="84" ht="15.75" customHeight="1">
      <c r="A84" s="30"/>
      <c r="D84" s="66"/>
      <c r="E84" s="66"/>
      <c r="H84" s="35"/>
      <c r="I84" s="35"/>
      <c r="J84" s="35"/>
      <c r="K84" s="35"/>
      <c r="L84" s="35"/>
      <c r="M84" s="35"/>
      <c r="N84" s="35"/>
      <c r="O84" s="35"/>
      <c r="P84" s="35"/>
      <c r="Q84" s="35"/>
      <c r="R84" s="35"/>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row>
    <row r="85" ht="15.75" customHeight="1">
      <c r="A85" s="30"/>
      <c r="D85" s="66"/>
      <c r="E85" s="66"/>
      <c r="H85" s="35"/>
      <c r="I85" s="35"/>
      <c r="J85" s="35"/>
      <c r="K85" s="35"/>
      <c r="L85" s="35"/>
      <c r="M85" s="35"/>
      <c r="N85" s="35"/>
      <c r="O85" s="35"/>
      <c r="P85" s="35"/>
      <c r="Q85" s="35"/>
      <c r="R85" s="35"/>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row>
    <row r="86" ht="15.75" customHeight="1">
      <c r="A86" s="30"/>
      <c r="D86" s="66"/>
      <c r="E86" s="66"/>
      <c r="H86" s="35"/>
      <c r="I86" s="35"/>
      <c r="J86" s="35"/>
      <c r="K86" s="35"/>
      <c r="L86" s="35"/>
      <c r="M86" s="35"/>
      <c r="N86" s="35"/>
      <c r="O86" s="35"/>
      <c r="P86" s="35"/>
      <c r="Q86" s="35"/>
      <c r="R86" s="35"/>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row>
    <row r="87" ht="15.75" customHeight="1">
      <c r="A87" s="30"/>
      <c r="D87" s="66"/>
      <c r="E87" s="66"/>
      <c r="H87" s="35"/>
      <c r="I87" s="35"/>
      <c r="J87" s="35"/>
      <c r="K87" s="35"/>
      <c r="L87" s="35"/>
      <c r="M87" s="35"/>
      <c r="N87" s="35"/>
      <c r="O87" s="35"/>
      <c r="P87" s="35"/>
      <c r="Q87" s="35"/>
      <c r="R87" s="35"/>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row>
    <row r="88" ht="15.75" customHeight="1">
      <c r="A88" s="30"/>
      <c r="D88" s="66"/>
      <c r="E88" s="66"/>
      <c r="H88" s="35"/>
      <c r="I88" s="35"/>
      <c r="J88" s="35"/>
      <c r="K88" s="35"/>
      <c r="L88" s="35"/>
      <c r="M88" s="35"/>
      <c r="N88" s="35"/>
      <c r="O88" s="35"/>
      <c r="P88" s="35"/>
      <c r="Q88" s="35"/>
      <c r="R88" s="35"/>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row>
    <row r="89" ht="15.75" customHeight="1">
      <c r="A89" s="30"/>
      <c r="D89" s="66"/>
      <c r="E89" s="66"/>
      <c r="H89" s="35"/>
      <c r="I89" s="35"/>
      <c r="J89" s="35"/>
      <c r="K89" s="35"/>
      <c r="L89" s="35"/>
      <c r="M89" s="35"/>
      <c r="N89" s="35"/>
      <c r="O89" s="35"/>
      <c r="P89" s="35"/>
      <c r="Q89" s="35"/>
      <c r="R89" s="35"/>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row>
    <row r="90" ht="15.75" customHeight="1">
      <c r="A90" s="30"/>
      <c r="D90" s="66"/>
      <c r="E90" s="66"/>
      <c r="H90" s="35"/>
      <c r="I90" s="35"/>
      <c r="J90" s="35"/>
      <c r="K90" s="35"/>
      <c r="L90" s="35"/>
      <c r="M90" s="35"/>
      <c r="N90" s="35"/>
      <c r="O90" s="35"/>
      <c r="P90" s="35"/>
      <c r="Q90" s="35"/>
      <c r="R90" s="35"/>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row>
    <row r="91" ht="15.75" customHeight="1">
      <c r="A91" s="30"/>
      <c r="D91" s="66"/>
      <c r="E91" s="66"/>
      <c r="H91" s="35"/>
      <c r="I91" s="35"/>
      <c r="J91" s="35"/>
      <c r="K91" s="35"/>
      <c r="L91" s="35"/>
      <c r="M91" s="35"/>
      <c r="N91" s="35"/>
      <c r="O91" s="35"/>
      <c r="P91" s="35"/>
      <c r="Q91" s="35"/>
      <c r="R91" s="35"/>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row>
    <row r="92" ht="15.75" customHeight="1">
      <c r="A92" s="30"/>
      <c r="D92" s="66"/>
      <c r="E92" s="66"/>
      <c r="H92" s="35"/>
      <c r="I92" s="35"/>
      <c r="J92" s="35"/>
      <c r="K92" s="35"/>
      <c r="L92" s="35"/>
      <c r="M92" s="35"/>
      <c r="N92" s="35"/>
      <c r="O92" s="35"/>
      <c r="P92" s="35"/>
      <c r="Q92" s="35"/>
      <c r="R92" s="35"/>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row>
    <row r="93" ht="15.75" customHeight="1">
      <c r="A93" s="30"/>
      <c r="D93" s="66"/>
      <c r="E93" s="66"/>
      <c r="H93" s="35"/>
      <c r="I93" s="35"/>
      <c r="J93" s="35"/>
      <c r="K93" s="35"/>
      <c r="L93" s="35"/>
      <c r="M93" s="35"/>
      <c r="N93" s="35"/>
      <c r="O93" s="35"/>
      <c r="P93" s="35"/>
      <c r="Q93" s="35"/>
      <c r="R93" s="35"/>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row>
    <row r="94" ht="15.75" customHeight="1">
      <c r="A94" s="30"/>
      <c r="D94" s="66"/>
      <c r="E94" s="66"/>
      <c r="H94" s="35"/>
      <c r="I94" s="35"/>
      <c r="J94" s="35"/>
      <c r="K94" s="35"/>
      <c r="L94" s="35"/>
      <c r="M94" s="35"/>
      <c r="N94" s="35"/>
      <c r="O94" s="35"/>
      <c r="P94" s="35"/>
      <c r="Q94" s="35"/>
      <c r="R94" s="35"/>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row>
    <row r="95" ht="15.75" customHeight="1">
      <c r="A95" s="30"/>
      <c r="D95" s="66"/>
      <c r="E95" s="66"/>
      <c r="H95" s="35"/>
      <c r="I95" s="35"/>
      <c r="J95" s="35"/>
      <c r="K95" s="35"/>
      <c r="L95" s="35"/>
      <c r="M95" s="35"/>
      <c r="N95" s="35"/>
      <c r="O95" s="35"/>
      <c r="P95" s="35"/>
      <c r="Q95" s="35"/>
      <c r="R95" s="35"/>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row>
    <row r="96" ht="15.75" customHeight="1">
      <c r="A96" s="30"/>
      <c r="D96" s="66"/>
      <c r="E96" s="66"/>
      <c r="H96" s="35"/>
      <c r="I96" s="35"/>
      <c r="J96" s="35"/>
      <c r="K96" s="35"/>
      <c r="L96" s="35"/>
      <c r="M96" s="35"/>
      <c r="N96" s="35"/>
      <c r="O96" s="35"/>
      <c r="P96" s="35"/>
      <c r="Q96" s="35"/>
      <c r="R96" s="35"/>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row>
    <row r="97" ht="15.75" customHeight="1">
      <c r="A97" s="30"/>
      <c r="D97" s="66"/>
      <c r="E97" s="66"/>
      <c r="H97" s="35"/>
      <c r="I97" s="35"/>
      <c r="J97" s="35"/>
      <c r="K97" s="35"/>
      <c r="L97" s="35"/>
      <c r="M97" s="35"/>
      <c r="N97" s="35"/>
      <c r="O97" s="35"/>
      <c r="P97" s="35"/>
      <c r="Q97" s="35"/>
      <c r="R97" s="35"/>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row>
    <row r="98" ht="15.75" customHeight="1">
      <c r="A98" s="30"/>
      <c r="D98" s="66"/>
      <c r="E98" s="66"/>
      <c r="H98" s="35"/>
      <c r="I98" s="35"/>
      <c r="J98" s="35"/>
      <c r="K98" s="35"/>
      <c r="L98" s="35"/>
      <c r="M98" s="35"/>
      <c r="N98" s="35"/>
      <c r="O98" s="35"/>
      <c r="P98" s="35"/>
      <c r="Q98" s="35"/>
      <c r="R98" s="35"/>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row>
    <row r="99" ht="15.75" customHeight="1">
      <c r="A99" s="30"/>
      <c r="D99" s="66"/>
      <c r="E99" s="66"/>
      <c r="H99" s="35"/>
      <c r="I99" s="35"/>
      <c r="J99" s="35"/>
      <c r="K99" s="35"/>
      <c r="L99" s="35"/>
      <c r="M99" s="35"/>
      <c r="N99" s="35"/>
      <c r="O99" s="35"/>
      <c r="P99" s="35"/>
      <c r="Q99" s="35"/>
      <c r="R99" s="35"/>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row>
    <row r="100" ht="15.75" customHeight="1">
      <c r="A100" s="30"/>
      <c r="D100" s="66"/>
      <c r="E100" s="66"/>
      <c r="H100" s="35"/>
      <c r="I100" s="35"/>
      <c r="J100" s="35"/>
      <c r="K100" s="35"/>
      <c r="L100" s="35"/>
      <c r="M100" s="35"/>
      <c r="N100" s="35"/>
      <c r="O100" s="35"/>
      <c r="P100" s="35"/>
      <c r="Q100" s="35"/>
      <c r="R100" s="35"/>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row>
    <row r="101" ht="15.75" customHeight="1">
      <c r="A101" s="30"/>
      <c r="D101" s="66"/>
      <c r="E101" s="66"/>
      <c r="H101" s="35"/>
      <c r="I101" s="35"/>
      <c r="J101" s="35"/>
      <c r="K101" s="35"/>
      <c r="L101" s="35"/>
      <c r="M101" s="35"/>
      <c r="N101" s="35"/>
      <c r="O101" s="35"/>
      <c r="P101" s="35"/>
      <c r="Q101" s="35"/>
      <c r="R101" s="35"/>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row>
    <row r="102" ht="15.75" customHeight="1">
      <c r="A102" s="30"/>
      <c r="D102" s="66"/>
      <c r="E102" s="66"/>
      <c r="H102" s="35"/>
      <c r="I102" s="35"/>
      <c r="J102" s="35"/>
      <c r="K102" s="35"/>
      <c r="L102" s="35"/>
      <c r="M102" s="35"/>
      <c r="N102" s="35"/>
      <c r="O102" s="35"/>
      <c r="P102" s="35"/>
      <c r="Q102" s="35"/>
      <c r="R102" s="35"/>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row>
    <row r="103" ht="15.75" customHeight="1">
      <c r="A103" s="30"/>
      <c r="D103" s="66"/>
      <c r="E103" s="66"/>
      <c r="H103" s="35"/>
      <c r="I103" s="35"/>
      <c r="J103" s="35"/>
      <c r="K103" s="35"/>
      <c r="L103" s="35"/>
      <c r="M103" s="35"/>
      <c r="N103" s="35"/>
      <c r="O103" s="35"/>
      <c r="P103" s="35"/>
      <c r="Q103" s="35"/>
      <c r="R103" s="35"/>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row>
    <row r="104" ht="15.75" customHeight="1">
      <c r="A104" s="30"/>
      <c r="D104" s="66"/>
      <c r="E104" s="66"/>
      <c r="H104" s="35"/>
      <c r="I104" s="35"/>
      <c r="J104" s="35"/>
      <c r="K104" s="35"/>
      <c r="L104" s="35"/>
      <c r="M104" s="35"/>
      <c r="N104" s="35"/>
      <c r="O104" s="35"/>
      <c r="P104" s="35"/>
      <c r="Q104" s="35"/>
      <c r="R104" s="35"/>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row>
    <row r="105" ht="15.75" customHeight="1">
      <c r="A105" s="30"/>
      <c r="D105" s="66"/>
      <c r="E105" s="66"/>
      <c r="H105" s="35"/>
      <c r="I105" s="35"/>
      <c r="J105" s="35"/>
      <c r="K105" s="35"/>
      <c r="L105" s="35"/>
      <c r="M105" s="35"/>
      <c r="N105" s="35"/>
      <c r="O105" s="35"/>
      <c r="P105" s="35"/>
      <c r="Q105" s="35"/>
      <c r="R105" s="35"/>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row>
    <row r="106" ht="15.75" customHeight="1">
      <c r="A106" s="30"/>
      <c r="D106" s="66"/>
      <c r="E106" s="66"/>
      <c r="H106" s="35"/>
      <c r="I106" s="35"/>
      <c r="J106" s="35"/>
      <c r="K106" s="35"/>
      <c r="L106" s="35"/>
      <c r="M106" s="35"/>
      <c r="N106" s="35"/>
      <c r="O106" s="35"/>
      <c r="P106" s="35"/>
      <c r="Q106" s="35"/>
      <c r="R106" s="35"/>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row>
    <row r="107" ht="15.75" customHeight="1">
      <c r="A107" s="30"/>
      <c r="D107" s="66"/>
      <c r="E107" s="66"/>
      <c r="H107" s="35"/>
      <c r="I107" s="35"/>
      <c r="J107" s="35"/>
      <c r="K107" s="35"/>
      <c r="L107" s="35"/>
      <c r="M107" s="35"/>
      <c r="N107" s="35"/>
      <c r="O107" s="35"/>
      <c r="P107" s="35"/>
      <c r="Q107" s="35"/>
      <c r="R107" s="35"/>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row>
    <row r="108" ht="15.75" customHeight="1">
      <c r="A108" s="30"/>
      <c r="D108" s="66"/>
      <c r="E108" s="66"/>
      <c r="H108" s="35"/>
      <c r="I108" s="35"/>
      <c r="J108" s="35"/>
      <c r="K108" s="35"/>
      <c r="L108" s="35"/>
      <c r="M108" s="35"/>
      <c r="N108" s="35"/>
      <c r="O108" s="35"/>
      <c r="P108" s="35"/>
      <c r="Q108" s="35"/>
      <c r="R108" s="35"/>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row>
    <row r="109" ht="15.75" customHeight="1">
      <c r="A109" s="30"/>
      <c r="D109" s="66"/>
      <c r="E109" s="66"/>
      <c r="H109" s="35"/>
      <c r="I109" s="35"/>
      <c r="J109" s="35"/>
      <c r="K109" s="35"/>
      <c r="L109" s="35"/>
      <c r="M109" s="35"/>
      <c r="N109" s="35"/>
      <c r="O109" s="35"/>
      <c r="P109" s="35"/>
      <c r="Q109" s="35"/>
      <c r="R109" s="35"/>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row>
    <row r="110" ht="15.75" customHeight="1">
      <c r="A110" s="30"/>
      <c r="D110" s="66"/>
      <c r="E110" s="66"/>
      <c r="H110" s="35"/>
      <c r="I110" s="35"/>
      <c r="J110" s="35"/>
      <c r="K110" s="35"/>
      <c r="L110" s="35"/>
      <c r="M110" s="35"/>
      <c r="N110" s="35"/>
      <c r="O110" s="35"/>
      <c r="P110" s="35"/>
      <c r="Q110" s="35"/>
      <c r="R110" s="35"/>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row>
    <row r="111" ht="15.75" customHeight="1">
      <c r="A111" s="30"/>
      <c r="D111" s="66"/>
      <c r="E111" s="66"/>
      <c r="H111" s="35"/>
      <c r="I111" s="35"/>
      <c r="J111" s="35"/>
      <c r="K111" s="35"/>
      <c r="L111" s="35"/>
      <c r="M111" s="35"/>
      <c r="N111" s="35"/>
      <c r="O111" s="35"/>
      <c r="P111" s="35"/>
      <c r="Q111" s="35"/>
      <c r="R111" s="35"/>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row>
    <row r="112" ht="15.75" customHeight="1">
      <c r="A112" s="30"/>
      <c r="D112" s="66"/>
      <c r="E112" s="66"/>
      <c r="H112" s="35"/>
      <c r="I112" s="35"/>
      <c r="J112" s="35"/>
      <c r="K112" s="35"/>
      <c r="L112" s="35"/>
      <c r="M112" s="35"/>
      <c r="N112" s="35"/>
      <c r="O112" s="35"/>
      <c r="P112" s="35"/>
      <c r="Q112" s="35"/>
      <c r="R112" s="35"/>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row>
    <row r="113" ht="15.75" customHeight="1">
      <c r="A113" s="30"/>
      <c r="D113" s="66"/>
      <c r="E113" s="66"/>
      <c r="H113" s="35"/>
      <c r="I113" s="35"/>
      <c r="J113" s="35"/>
      <c r="K113" s="35"/>
      <c r="L113" s="35"/>
      <c r="M113" s="35"/>
      <c r="N113" s="35"/>
      <c r="O113" s="35"/>
      <c r="P113" s="35"/>
      <c r="Q113" s="35"/>
      <c r="R113" s="35"/>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row>
    <row r="114" ht="15.75" customHeight="1">
      <c r="A114" s="30"/>
      <c r="D114" s="66"/>
      <c r="E114" s="66"/>
      <c r="H114" s="35"/>
      <c r="I114" s="35"/>
      <c r="J114" s="35"/>
      <c r="K114" s="35"/>
      <c r="L114" s="35"/>
      <c r="M114" s="35"/>
      <c r="N114" s="35"/>
      <c r="O114" s="35"/>
      <c r="P114" s="35"/>
      <c r="Q114" s="35"/>
      <c r="R114" s="35"/>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row>
    <row r="115" ht="15.75" customHeight="1">
      <c r="A115" s="30"/>
      <c r="D115" s="66"/>
      <c r="E115" s="66"/>
      <c r="H115" s="35"/>
      <c r="I115" s="35"/>
      <c r="J115" s="35"/>
      <c r="K115" s="35"/>
      <c r="L115" s="35"/>
      <c r="M115" s="35"/>
      <c r="N115" s="35"/>
      <c r="O115" s="35"/>
      <c r="P115" s="35"/>
      <c r="Q115" s="35"/>
      <c r="R115" s="35"/>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row>
    <row r="116" ht="15.75" customHeight="1">
      <c r="A116" s="30"/>
      <c r="D116" s="66"/>
      <c r="E116" s="66"/>
      <c r="H116" s="35"/>
      <c r="I116" s="35"/>
      <c r="J116" s="35"/>
      <c r="K116" s="35"/>
      <c r="L116" s="35"/>
      <c r="M116" s="35"/>
      <c r="N116" s="35"/>
      <c r="O116" s="35"/>
      <c r="P116" s="35"/>
      <c r="Q116" s="35"/>
      <c r="R116" s="35"/>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row>
    <row r="117" ht="15.75" customHeight="1">
      <c r="A117" s="30"/>
      <c r="D117" s="66"/>
      <c r="E117" s="66"/>
      <c r="H117" s="35"/>
      <c r="I117" s="35"/>
      <c r="J117" s="35"/>
      <c r="K117" s="35"/>
      <c r="L117" s="35"/>
      <c r="M117" s="35"/>
      <c r="N117" s="35"/>
      <c r="O117" s="35"/>
      <c r="P117" s="35"/>
      <c r="Q117" s="35"/>
      <c r="R117" s="35"/>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row>
    <row r="118" ht="15.75" customHeight="1">
      <c r="A118" s="30"/>
      <c r="D118" s="66"/>
      <c r="E118" s="66"/>
      <c r="H118" s="35"/>
      <c r="I118" s="35"/>
      <c r="J118" s="35"/>
      <c r="K118" s="35"/>
      <c r="L118" s="35"/>
      <c r="M118" s="35"/>
      <c r="N118" s="35"/>
      <c r="O118" s="35"/>
      <c r="P118" s="35"/>
      <c r="Q118" s="35"/>
      <c r="R118" s="35"/>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row>
    <row r="119" ht="15.75" customHeight="1">
      <c r="A119" s="30"/>
      <c r="D119" s="66"/>
      <c r="E119" s="66"/>
      <c r="H119" s="35"/>
      <c r="I119" s="35"/>
      <c r="J119" s="35"/>
      <c r="K119" s="35"/>
      <c r="L119" s="35"/>
      <c r="M119" s="35"/>
      <c r="N119" s="35"/>
      <c r="O119" s="35"/>
      <c r="P119" s="35"/>
      <c r="Q119" s="35"/>
      <c r="R119" s="35"/>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row>
    <row r="120" ht="15.75" customHeight="1">
      <c r="A120" s="30"/>
      <c r="D120" s="66"/>
      <c r="E120" s="66"/>
      <c r="H120" s="35"/>
      <c r="I120" s="35"/>
      <c r="J120" s="35"/>
      <c r="K120" s="35"/>
      <c r="L120" s="35"/>
      <c r="M120" s="35"/>
      <c r="N120" s="35"/>
      <c r="O120" s="35"/>
      <c r="P120" s="35"/>
      <c r="Q120" s="35"/>
      <c r="R120" s="35"/>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row>
    <row r="121" ht="15.75" customHeight="1">
      <c r="A121" s="30"/>
      <c r="D121" s="66"/>
      <c r="E121" s="66"/>
      <c r="H121" s="35"/>
      <c r="I121" s="35"/>
      <c r="J121" s="35"/>
      <c r="K121" s="35"/>
      <c r="L121" s="35"/>
      <c r="M121" s="35"/>
      <c r="N121" s="35"/>
      <c r="O121" s="35"/>
      <c r="P121" s="35"/>
      <c r="Q121" s="35"/>
      <c r="R121" s="35"/>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row>
    <row r="122" ht="15.75" customHeight="1">
      <c r="A122" s="30"/>
      <c r="D122" s="66"/>
      <c r="E122" s="66"/>
      <c r="H122" s="35"/>
      <c r="I122" s="35"/>
      <c r="J122" s="35"/>
      <c r="K122" s="35"/>
      <c r="L122" s="35"/>
      <c r="M122" s="35"/>
      <c r="N122" s="35"/>
      <c r="O122" s="35"/>
      <c r="P122" s="35"/>
      <c r="Q122" s="35"/>
      <c r="R122" s="35"/>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row>
    <row r="123" ht="15.75" customHeight="1">
      <c r="A123" s="30"/>
      <c r="D123" s="66"/>
      <c r="E123" s="66"/>
      <c r="H123" s="35"/>
      <c r="I123" s="35"/>
      <c r="J123" s="35"/>
      <c r="K123" s="35"/>
      <c r="L123" s="35"/>
      <c r="M123" s="35"/>
      <c r="N123" s="35"/>
      <c r="O123" s="35"/>
      <c r="P123" s="35"/>
      <c r="Q123" s="35"/>
      <c r="R123" s="35"/>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row>
    <row r="124" ht="15.75" customHeight="1">
      <c r="A124" s="30"/>
      <c r="D124" s="66"/>
      <c r="E124" s="66"/>
      <c r="H124" s="35"/>
      <c r="I124" s="35"/>
      <c r="J124" s="35"/>
      <c r="K124" s="35"/>
      <c r="L124" s="35"/>
      <c r="M124" s="35"/>
      <c r="N124" s="35"/>
      <c r="O124" s="35"/>
      <c r="P124" s="35"/>
      <c r="Q124" s="35"/>
      <c r="R124" s="35"/>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row>
    <row r="125" ht="15.75" customHeight="1">
      <c r="A125" s="30"/>
      <c r="D125" s="66"/>
      <c r="E125" s="66"/>
      <c r="H125" s="35"/>
      <c r="I125" s="35"/>
      <c r="J125" s="35"/>
      <c r="K125" s="35"/>
      <c r="L125" s="35"/>
      <c r="M125" s="35"/>
      <c r="N125" s="35"/>
      <c r="O125" s="35"/>
      <c r="P125" s="35"/>
      <c r="Q125" s="35"/>
      <c r="R125" s="35"/>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row>
    <row r="126" ht="15.75" customHeight="1">
      <c r="A126" s="30"/>
      <c r="D126" s="66"/>
      <c r="E126" s="66"/>
      <c r="H126" s="35"/>
      <c r="I126" s="35"/>
      <c r="J126" s="35"/>
      <c r="K126" s="35"/>
      <c r="L126" s="35"/>
      <c r="M126" s="35"/>
      <c r="N126" s="35"/>
      <c r="O126" s="35"/>
      <c r="P126" s="35"/>
      <c r="Q126" s="35"/>
      <c r="R126" s="35"/>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row>
    <row r="127" ht="15.75" customHeight="1">
      <c r="A127" s="30"/>
      <c r="D127" s="66"/>
      <c r="E127" s="66"/>
      <c r="H127" s="35"/>
      <c r="I127" s="35"/>
      <c r="J127" s="35"/>
      <c r="K127" s="35"/>
      <c r="L127" s="35"/>
      <c r="M127" s="35"/>
      <c r="N127" s="35"/>
      <c r="O127" s="35"/>
      <c r="P127" s="35"/>
      <c r="Q127" s="35"/>
      <c r="R127" s="35"/>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row>
    <row r="128" ht="15.75" customHeight="1">
      <c r="A128" s="30"/>
      <c r="D128" s="66"/>
      <c r="E128" s="66"/>
      <c r="H128" s="35"/>
      <c r="I128" s="35"/>
      <c r="J128" s="35"/>
      <c r="K128" s="35"/>
      <c r="L128" s="35"/>
      <c r="M128" s="35"/>
      <c r="N128" s="35"/>
      <c r="O128" s="35"/>
      <c r="P128" s="35"/>
      <c r="Q128" s="35"/>
      <c r="R128" s="35"/>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row>
    <row r="129" ht="15.75" customHeight="1">
      <c r="A129" s="30"/>
      <c r="D129" s="66"/>
      <c r="E129" s="66"/>
      <c r="H129" s="35"/>
      <c r="I129" s="35"/>
      <c r="J129" s="35"/>
      <c r="K129" s="35"/>
      <c r="L129" s="35"/>
      <c r="M129" s="35"/>
      <c r="N129" s="35"/>
      <c r="O129" s="35"/>
      <c r="P129" s="35"/>
      <c r="Q129" s="35"/>
      <c r="R129" s="35"/>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row>
    <row r="130" ht="15.75" customHeight="1">
      <c r="A130" s="30"/>
      <c r="D130" s="66"/>
      <c r="E130" s="66"/>
      <c r="H130" s="35"/>
      <c r="I130" s="35"/>
      <c r="J130" s="35"/>
      <c r="K130" s="35"/>
      <c r="L130" s="35"/>
      <c r="M130" s="35"/>
      <c r="N130" s="35"/>
      <c r="O130" s="35"/>
      <c r="P130" s="35"/>
      <c r="Q130" s="35"/>
      <c r="R130" s="35"/>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row>
    <row r="131" ht="15.75" customHeight="1">
      <c r="A131" s="30"/>
      <c r="D131" s="66"/>
      <c r="E131" s="66"/>
      <c r="H131" s="35"/>
      <c r="I131" s="35"/>
      <c r="J131" s="35"/>
      <c r="K131" s="35"/>
      <c r="L131" s="35"/>
      <c r="M131" s="35"/>
      <c r="N131" s="35"/>
      <c r="O131" s="35"/>
      <c r="P131" s="35"/>
      <c r="Q131" s="35"/>
      <c r="R131" s="35"/>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row>
    <row r="132" ht="15.75" customHeight="1">
      <c r="A132" s="30"/>
      <c r="D132" s="66"/>
      <c r="E132" s="66"/>
      <c r="H132" s="35"/>
      <c r="I132" s="35"/>
      <c r="J132" s="35"/>
      <c r="K132" s="35"/>
      <c r="L132" s="35"/>
      <c r="M132" s="35"/>
      <c r="N132" s="35"/>
      <c r="O132" s="35"/>
      <c r="P132" s="35"/>
      <c r="Q132" s="35"/>
      <c r="R132" s="35"/>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row>
    <row r="133" ht="15.75" customHeight="1">
      <c r="A133" s="30"/>
      <c r="D133" s="66"/>
      <c r="E133" s="66"/>
      <c r="H133" s="35"/>
      <c r="I133" s="35"/>
      <c r="J133" s="35"/>
      <c r="K133" s="35"/>
      <c r="L133" s="35"/>
      <c r="M133" s="35"/>
      <c r="N133" s="35"/>
      <c r="O133" s="35"/>
      <c r="P133" s="35"/>
      <c r="Q133" s="35"/>
      <c r="R133" s="35"/>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row>
    <row r="134" ht="15.75" customHeight="1">
      <c r="A134" s="30"/>
      <c r="D134" s="66"/>
      <c r="E134" s="66"/>
      <c r="H134" s="35"/>
      <c r="I134" s="35"/>
      <c r="J134" s="35"/>
      <c r="K134" s="35"/>
      <c r="L134" s="35"/>
      <c r="M134" s="35"/>
      <c r="N134" s="35"/>
      <c r="O134" s="35"/>
      <c r="P134" s="35"/>
      <c r="Q134" s="35"/>
      <c r="R134" s="35"/>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row>
    <row r="135" ht="15.75" customHeight="1">
      <c r="A135" s="30"/>
      <c r="D135" s="66"/>
      <c r="E135" s="66"/>
      <c r="H135" s="35"/>
      <c r="I135" s="35"/>
      <c r="J135" s="35"/>
      <c r="K135" s="35"/>
      <c r="L135" s="35"/>
      <c r="M135" s="35"/>
      <c r="N135" s="35"/>
      <c r="O135" s="35"/>
      <c r="P135" s="35"/>
      <c r="Q135" s="35"/>
      <c r="R135" s="35"/>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row>
    <row r="136" ht="15.75" customHeight="1">
      <c r="A136" s="30"/>
      <c r="D136" s="66"/>
      <c r="E136" s="66"/>
      <c r="H136" s="35"/>
      <c r="I136" s="35"/>
      <c r="J136" s="35"/>
      <c r="K136" s="35"/>
      <c r="L136" s="35"/>
      <c r="M136" s="35"/>
      <c r="N136" s="35"/>
      <c r="O136" s="35"/>
      <c r="P136" s="35"/>
      <c r="Q136" s="35"/>
      <c r="R136" s="35"/>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row>
    <row r="137" ht="15.75" customHeight="1">
      <c r="A137" s="30"/>
      <c r="D137" s="66"/>
      <c r="E137" s="66"/>
      <c r="H137" s="35"/>
      <c r="I137" s="35"/>
      <c r="J137" s="35"/>
      <c r="K137" s="35"/>
      <c r="L137" s="35"/>
      <c r="M137" s="35"/>
      <c r="N137" s="35"/>
      <c r="O137" s="35"/>
      <c r="P137" s="35"/>
      <c r="Q137" s="35"/>
      <c r="R137" s="35"/>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row>
    <row r="138" ht="15.75" customHeight="1">
      <c r="A138" s="30"/>
      <c r="D138" s="66"/>
      <c r="E138" s="66"/>
      <c r="H138" s="35"/>
      <c r="I138" s="35"/>
      <c r="J138" s="35"/>
      <c r="K138" s="35"/>
      <c r="L138" s="35"/>
      <c r="M138" s="35"/>
      <c r="N138" s="35"/>
      <c r="O138" s="35"/>
      <c r="P138" s="35"/>
      <c r="Q138" s="35"/>
      <c r="R138" s="35"/>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row>
    <row r="139" ht="15.75" customHeight="1">
      <c r="A139" s="30"/>
      <c r="D139" s="66"/>
      <c r="E139" s="66"/>
      <c r="H139" s="35"/>
      <c r="I139" s="35"/>
      <c r="J139" s="35"/>
      <c r="K139" s="35"/>
      <c r="L139" s="35"/>
      <c r="M139" s="35"/>
      <c r="N139" s="35"/>
      <c r="O139" s="35"/>
      <c r="P139" s="35"/>
      <c r="Q139" s="35"/>
      <c r="R139" s="35"/>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row>
    <row r="140" ht="15.75" customHeight="1">
      <c r="A140" s="30"/>
      <c r="D140" s="66"/>
      <c r="E140" s="66"/>
      <c r="H140" s="35"/>
      <c r="I140" s="35"/>
      <c r="J140" s="35"/>
      <c r="K140" s="35"/>
      <c r="L140" s="35"/>
      <c r="M140" s="35"/>
      <c r="N140" s="35"/>
      <c r="O140" s="35"/>
      <c r="P140" s="35"/>
      <c r="Q140" s="35"/>
      <c r="R140" s="35"/>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row>
    <row r="141" ht="15.75" customHeight="1">
      <c r="A141" s="30"/>
      <c r="D141" s="66"/>
      <c r="E141" s="66"/>
      <c r="H141" s="35"/>
      <c r="I141" s="35"/>
      <c r="J141" s="35"/>
      <c r="K141" s="35"/>
      <c r="L141" s="35"/>
      <c r="M141" s="35"/>
      <c r="N141" s="35"/>
      <c r="O141" s="35"/>
      <c r="P141" s="35"/>
      <c r="Q141" s="35"/>
      <c r="R141" s="35"/>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row>
    <row r="142" ht="15.75" customHeight="1">
      <c r="A142" s="30"/>
      <c r="D142" s="66"/>
      <c r="E142" s="66"/>
      <c r="H142" s="35"/>
      <c r="I142" s="35"/>
      <c r="J142" s="35"/>
      <c r="K142" s="35"/>
      <c r="L142" s="35"/>
      <c r="M142" s="35"/>
      <c r="N142" s="35"/>
      <c r="O142" s="35"/>
      <c r="P142" s="35"/>
      <c r="Q142" s="35"/>
      <c r="R142" s="35"/>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row>
    <row r="143" ht="15.75" customHeight="1">
      <c r="A143" s="30"/>
      <c r="D143" s="66"/>
      <c r="E143" s="66"/>
      <c r="H143" s="35"/>
      <c r="I143" s="35"/>
      <c r="J143" s="35"/>
      <c r="K143" s="35"/>
      <c r="L143" s="35"/>
      <c r="M143" s="35"/>
      <c r="N143" s="35"/>
      <c r="O143" s="35"/>
      <c r="P143" s="35"/>
      <c r="Q143" s="35"/>
      <c r="R143" s="35"/>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row>
    <row r="144" ht="15.75" customHeight="1">
      <c r="A144" s="30"/>
      <c r="D144" s="66"/>
      <c r="E144" s="66"/>
      <c r="H144" s="35"/>
      <c r="I144" s="35"/>
      <c r="J144" s="35"/>
      <c r="K144" s="35"/>
      <c r="L144" s="35"/>
      <c r="M144" s="35"/>
      <c r="N144" s="35"/>
      <c r="O144" s="35"/>
      <c r="P144" s="35"/>
      <c r="Q144" s="35"/>
      <c r="R144" s="35"/>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row>
    <row r="145" ht="15.75" customHeight="1">
      <c r="A145" s="30"/>
      <c r="D145" s="66"/>
      <c r="E145" s="66"/>
      <c r="H145" s="35"/>
      <c r="I145" s="35"/>
      <c r="J145" s="35"/>
      <c r="K145" s="35"/>
      <c r="L145" s="35"/>
      <c r="M145" s="35"/>
      <c r="N145" s="35"/>
      <c r="O145" s="35"/>
      <c r="P145" s="35"/>
      <c r="Q145" s="35"/>
      <c r="R145" s="35"/>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row>
    <row r="146" ht="15.75" customHeight="1">
      <c r="A146" s="30"/>
      <c r="D146" s="66"/>
      <c r="E146" s="66"/>
      <c r="H146" s="35"/>
      <c r="I146" s="35"/>
      <c r="J146" s="35"/>
      <c r="K146" s="35"/>
      <c r="L146" s="35"/>
      <c r="M146" s="35"/>
      <c r="N146" s="35"/>
      <c r="O146" s="35"/>
      <c r="P146" s="35"/>
      <c r="Q146" s="35"/>
      <c r="R146" s="35"/>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row>
    <row r="147" ht="15.75" customHeight="1">
      <c r="A147" s="30"/>
      <c r="D147" s="66"/>
      <c r="E147" s="66"/>
      <c r="H147" s="35"/>
      <c r="I147" s="35"/>
      <c r="J147" s="35"/>
      <c r="K147" s="35"/>
      <c r="L147" s="35"/>
      <c r="M147" s="35"/>
      <c r="N147" s="35"/>
      <c r="O147" s="35"/>
      <c r="P147" s="35"/>
      <c r="Q147" s="35"/>
      <c r="R147" s="35"/>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row>
    <row r="148" ht="15.75" customHeight="1">
      <c r="A148" s="30"/>
      <c r="D148" s="66"/>
      <c r="E148" s="66"/>
      <c r="H148" s="35"/>
      <c r="I148" s="35"/>
      <c r="J148" s="35"/>
      <c r="K148" s="35"/>
      <c r="L148" s="35"/>
      <c r="M148" s="35"/>
      <c r="N148" s="35"/>
      <c r="O148" s="35"/>
      <c r="P148" s="35"/>
      <c r="Q148" s="35"/>
      <c r="R148" s="35"/>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row>
    <row r="149" ht="15.75" customHeight="1">
      <c r="A149" s="30"/>
      <c r="D149" s="66"/>
      <c r="E149" s="66"/>
      <c r="H149" s="35"/>
      <c r="I149" s="35"/>
      <c r="J149" s="35"/>
      <c r="K149" s="35"/>
      <c r="L149" s="35"/>
      <c r="M149" s="35"/>
      <c r="N149" s="35"/>
      <c r="O149" s="35"/>
      <c r="P149" s="35"/>
      <c r="Q149" s="35"/>
      <c r="R149" s="35"/>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row>
    <row r="150" ht="15.75" customHeight="1">
      <c r="A150" s="30"/>
      <c r="D150" s="66"/>
      <c r="E150" s="66"/>
      <c r="H150" s="35"/>
      <c r="I150" s="35"/>
      <c r="J150" s="35"/>
      <c r="K150" s="35"/>
      <c r="L150" s="35"/>
      <c r="M150" s="35"/>
      <c r="N150" s="35"/>
      <c r="O150" s="35"/>
      <c r="P150" s="35"/>
      <c r="Q150" s="35"/>
      <c r="R150" s="35"/>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row>
    <row r="151" ht="15.75" customHeight="1">
      <c r="A151" s="30"/>
      <c r="D151" s="66"/>
      <c r="E151" s="66"/>
      <c r="H151" s="35"/>
      <c r="I151" s="35"/>
      <c r="J151" s="35"/>
      <c r="K151" s="35"/>
      <c r="L151" s="35"/>
      <c r="M151" s="35"/>
      <c r="N151" s="35"/>
      <c r="O151" s="35"/>
      <c r="P151" s="35"/>
      <c r="Q151" s="35"/>
      <c r="R151" s="35"/>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row>
    <row r="152" ht="15.75" customHeight="1">
      <c r="A152" s="30"/>
      <c r="D152" s="66"/>
      <c r="E152" s="66"/>
      <c r="H152" s="35"/>
      <c r="I152" s="35"/>
      <c r="J152" s="35"/>
      <c r="K152" s="35"/>
      <c r="L152" s="35"/>
      <c r="M152" s="35"/>
      <c r="N152" s="35"/>
      <c r="O152" s="35"/>
      <c r="P152" s="35"/>
      <c r="Q152" s="35"/>
      <c r="R152" s="35"/>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row>
    <row r="153" ht="15.75" customHeight="1">
      <c r="A153" s="30"/>
      <c r="D153" s="66"/>
      <c r="E153" s="66"/>
      <c r="H153" s="35"/>
      <c r="I153" s="35"/>
      <c r="J153" s="35"/>
      <c r="K153" s="35"/>
      <c r="L153" s="35"/>
      <c r="M153" s="35"/>
      <c r="N153" s="35"/>
      <c r="O153" s="35"/>
      <c r="P153" s="35"/>
      <c r="Q153" s="35"/>
      <c r="R153" s="35"/>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row>
    <row r="154" ht="15.75" customHeight="1">
      <c r="A154" s="30"/>
      <c r="D154" s="66"/>
      <c r="E154" s="66"/>
      <c r="H154" s="35"/>
      <c r="I154" s="35"/>
      <c r="J154" s="35"/>
      <c r="K154" s="35"/>
      <c r="L154" s="35"/>
      <c r="M154" s="35"/>
      <c r="N154" s="35"/>
      <c r="O154" s="35"/>
      <c r="P154" s="35"/>
      <c r="Q154" s="35"/>
      <c r="R154" s="35"/>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row>
    <row r="155" ht="15.75" customHeight="1">
      <c r="A155" s="30"/>
      <c r="D155" s="66"/>
      <c r="E155" s="66"/>
      <c r="H155" s="35"/>
      <c r="I155" s="35"/>
      <c r="J155" s="35"/>
      <c r="K155" s="35"/>
      <c r="L155" s="35"/>
      <c r="M155" s="35"/>
      <c r="N155" s="35"/>
      <c r="O155" s="35"/>
      <c r="P155" s="35"/>
      <c r="Q155" s="35"/>
      <c r="R155" s="35"/>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row>
    <row r="156" ht="15.75" customHeight="1">
      <c r="A156" s="30"/>
      <c r="D156" s="66"/>
      <c r="E156" s="66"/>
      <c r="H156" s="35"/>
      <c r="I156" s="35"/>
      <c r="J156" s="35"/>
      <c r="K156" s="35"/>
      <c r="L156" s="35"/>
      <c r="M156" s="35"/>
      <c r="N156" s="35"/>
      <c r="O156" s="35"/>
      <c r="P156" s="35"/>
      <c r="Q156" s="35"/>
      <c r="R156" s="35"/>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row>
    <row r="157" ht="15.75" customHeight="1">
      <c r="A157" s="30"/>
      <c r="D157" s="66"/>
      <c r="E157" s="66"/>
      <c r="H157" s="35"/>
      <c r="I157" s="35"/>
      <c r="J157" s="35"/>
      <c r="K157" s="35"/>
      <c r="L157" s="35"/>
      <c r="M157" s="35"/>
      <c r="N157" s="35"/>
      <c r="O157" s="35"/>
      <c r="P157" s="35"/>
      <c r="Q157" s="35"/>
      <c r="R157" s="35"/>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row>
    <row r="158" ht="15.75" customHeight="1">
      <c r="A158" s="30"/>
      <c r="D158" s="66"/>
      <c r="E158" s="66"/>
      <c r="H158" s="35"/>
      <c r="I158" s="35"/>
      <c r="J158" s="35"/>
      <c r="K158" s="35"/>
      <c r="L158" s="35"/>
      <c r="M158" s="35"/>
      <c r="N158" s="35"/>
      <c r="O158" s="35"/>
      <c r="P158" s="35"/>
      <c r="Q158" s="35"/>
      <c r="R158" s="35"/>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row>
    <row r="159" ht="15.75" customHeight="1">
      <c r="A159" s="30"/>
      <c r="D159" s="66"/>
      <c r="E159" s="66"/>
      <c r="H159" s="35"/>
      <c r="I159" s="35"/>
      <c r="J159" s="35"/>
      <c r="K159" s="35"/>
      <c r="L159" s="35"/>
      <c r="M159" s="35"/>
      <c r="N159" s="35"/>
      <c r="O159" s="35"/>
      <c r="P159" s="35"/>
      <c r="Q159" s="35"/>
      <c r="R159" s="35"/>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row>
    <row r="160" ht="15.75" customHeight="1">
      <c r="A160" s="30"/>
      <c r="D160" s="66"/>
      <c r="E160" s="66"/>
      <c r="H160" s="35"/>
      <c r="I160" s="35"/>
      <c r="J160" s="35"/>
      <c r="K160" s="35"/>
      <c r="L160" s="35"/>
      <c r="M160" s="35"/>
      <c r="N160" s="35"/>
      <c r="O160" s="35"/>
      <c r="P160" s="35"/>
      <c r="Q160" s="35"/>
      <c r="R160" s="35"/>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row>
    <row r="161" ht="15.75" customHeight="1">
      <c r="A161" s="30"/>
      <c r="D161" s="66"/>
      <c r="E161" s="66"/>
      <c r="H161" s="35"/>
      <c r="I161" s="35"/>
      <c r="J161" s="35"/>
      <c r="K161" s="35"/>
      <c r="L161" s="35"/>
      <c r="M161" s="35"/>
      <c r="N161" s="35"/>
      <c r="O161" s="35"/>
      <c r="P161" s="35"/>
      <c r="Q161" s="35"/>
      <c r="R161" s="35"/>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row>
    <row r="162" ht="15.75" customHeight="1">
      <c r="A162" s="30"/>
      <c r="D162" s="66"/>
      <c r="E162" s="66"/>
      <c r="H162" s="35"/>
      <c r="I162" s="35"/>
      <c r="J162" s="35"/>
      <c r="K162" s="35"/>
      <c r="L162" s="35"/>
      <c r="M162" s="35"/>
      <c r="N162" s="35"/>
      <c r="O162" s="35"/>
      <c r="P162" s="35"/>
      <c r="Q162" s="35"/>
      <c r="R162" s="35"/>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row>
    <row r="163" ht="15.75" customHeight="1">
      <c r="A163" s="30"/>
      <c r="D163" s="66"/>
      <c r="E163" s="66"/>
      <c r="H163" s="35"/>
      <c r="I163" s="35"/>
      <c r="J163" s="35"/>
      <c r="K163" s="35"/>
      <c r="L163" s="35"/>
      <c r="M163" s="35"/>
      <c r="N163" s="35"/>
      <c r="O163" s="35"/>
      <c r="P163" s="35"/>
      <c r="Q163" s="35"/>
      <c r="R163" s="35"/>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row>
    <row r="164" ht="15.75" customHeight="1">
      <c r="A164" s="30"/>
      <c r="D164" s="66"/>
      <c r="E164" s="66"/>
      <c r="H164" s="35"/>
      <c r="I164" s="35"/>
      <c r="J164" s="35"/>
      <c r="K164" s="35"/>
      <c r="L164" s="35"/>
      <c r="M164" s="35"/>
      <c r="N164" s="35"/>
      <c r="O164" s="35"/>
      <c r="P164" s="35"/>
      <c r="Q164" s="35"/>
      <c r="R164" s="35"/>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row>
    <row r="165" ht="15.75" customHeight="1">
      <c r="A165" s="30"/>
      <c r="D165" s="66"/>
      <c r="E165" s="66"/>
      <c r="H165" s="35"/>
      <c r="I165" s="35"/>
      <c r="J165" s="35"/>
      <c r="K165" s="35"/>
      <c r="L165" s="35"/>
      <c r="M165" s="35"/>
      <c r="N165" s="35"/>
      <c r="O165" s="35"/>
      <c r="P165" s="35"/>
      <c r="Q165" s="35"/>
      <c r="R165" s="35"/>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row>
    <row r="166" ht="15.75" customHeight="1">
      <c r="A166" s="30"/>
      <c r="D166" s="66"/>
      <c r="E166" s="66"/>
      <c r="H166" s="35"/>
      <c r="I166" s="35"/>
      <c r="J166" s="35"/>
      <c r="K166" s="35"/>
      <c r="L166" s="35"/>
      <c r="M166" s="35"/>
      <c r="N166" s="35"/>
      <c r="O166" s="35"/>
      <c r="P166" s="35"/>
      <c r="Q166" s="35"/>
      <c r="R166" s="35"/>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row>
    <row r="167" ht="15.75" customHeight="1">
      <c r="A167" s="30"/>
      <c r="D167" s="66"/>
      <c r="E167" s="66"/>
      <c r="H167" s="35"/>
      <c r="I167" s="35"/>
      <c r="J167" s="35"/>
      <c r="K167" s="35"/>
      <c r="L167" s="35"/>
      <c r="M167" s="35"/>
      <c r="N167" s="35"/>
      <c r="O167" s="35"/>
      <c r="P167" s="35"/>
      <c r="Q167" s="35"/>
      <c r="R167" s="35"/>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row>
    <row r="168" ht="15.75" customHeight="1">
      <c r="A168" s="30"/>
      <c r="D168" s="66"/>
      <c r="E168" s="66"/>
      <c r="H168" s="35"/>
      <c r="I168" s="35"/>
      <c r="J168" s="35"/>
      <c r="K168" s="35"/>
      <c r="L168" s="35"/>
      <c r="M168" s="35"/>
      <c r="N168" s="35"/>
      <c r="O168" s="35"/>
      <c r="P168" s="35"/>
      <c r="Q168" s="35"/>
      <c r="R168" s="35"/>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row>
    <row r="169" ht="15.75" customHeight="1">
      <c r="A169" s="30"/>
      <c r="D169" s="66"/>
      <c r="E169" s="66"/>
      <c r="H169" s="35"/>
      <c r="I169" s="35"/>
      <c r="J169" s="35"/>
      <c r="K169" s="35"/>
      <c r="L169" s="35"/>
      <c r="M169" s="35"/>
      <c r="N169" s="35"/>
      <c r="O169" s="35"/>
      <c r="P169" s="35"/>
      <c r="Q169" s="35"/>
      <c r="R169" s="35"/>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row>
    <row r="170" ht="15.75" customHeight="1">
      <c r="A170" s="30"/>
      <c r="D170" s="66"/>
      <c r="E170" s="66"/>
      <c r="H170" s="35"/>
      <c r="I170" s="35"/>
      <c r="J170" s="35"/>
      <c r="K170" s="35"/>
      <c r="L170" s="35"/>
      <c r="M170" s="35"/>
      <c r="N170" s="35"/>
      <c r="O170" s="35"/>
      <c r="P170" s="35"/>
      <c r="Q170" s="35"/>
      <c r="R170" s="35"/>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row>
    <row r="171" ht="15.75" customHeight="1">
      <c r="A171" s="30"/>
      <c r="D171" s="66"/>
      <c r="E171" s="66"/>
      <c r="H171" s="35"/>
      <c r="I171" s="35"/>
      <c r="J171" s="35"/>
      <c r="K171" s="35"/>
      <c r="L171" s="35"/>
      <c r="M171" s="35"/>
      <c r="N171" s="35"/>
      <c r="O171" s="35"/>
      <c r="P171" s="35"/>
      <c r="Q171" s="35"/>
      <c r="R171" s="35"/>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row>
    <row r="172" ht="15.75" customHeight="1">
      <c r="A172" s="30"/>
      <c r="D172" s="66"/>
      <c r="E172" s="66"/>
      <c r="H172" s="35"/>
      <c r="I172" s="35"/>
      <c r="J172" s="35"/>
      <c r="K172" s="35"/>
      <c r="L172" s="35"/>
      <c r="M172" s="35"/>
      <c r="N172" s="35"/>
      <c r="O172" s="35"/>
      <c r="P172" s="35"/>
      <c r="Q172" s="35"/>
      <c r="R172" s="35"/>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row>
    <row r="173" ht="15.75" customHeight="1">
      <c r="A173" s="30"/>
      <c r="D173" s="66"/>
      <c r="E173" s="66"/>
      <c r="H173" s="35"/>
      <c r="I173" s="35"/>
      <c r="J173" s="35"/>
      <c r="K173" s="35"/>
      <c r="L173" s="35"/>
      <c r="M173" s="35"/>
      <c r="N173" s="35"/>
      <c r="O173" s="35"/>
      <c r="P173" s="35"/>
      <c r="Q173" s="35"/>
      <c r="R173" s="35"/>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row>
    <row r="174" ht="15.75" customHeight="1">
      <c r="A174" s="30"/>
      <c r="D174" s="66"/>
      <c r="E174" s="66"/>
      <c r="H174" s="35"/>
      <c r="I174" s="35"/>
      <c r="J174" s="35"/>
      <c r="K174" s="35"/>
      <c r="L174" s="35"/>
      <c r="M174" s="35"/>
      <c r="N174" s="35"/>
      <c r="O174" s="35"/>
      <c r="P174" s="35"/>
      <c r="Q174" s="35"/>
      <c r="R174" s="35"/>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row>
    <row r="175" ht="15.75" customHeight="1">
      <c r="A175" s="30"/>
      <c r="D175" s="66"/>
      <c r="E175" s="66"/>
      <c r="H175" s="35"/>
      <c r="I175" s="35"/>
      <c r="J175" s="35"/>
      <c r="K175" s="35"/>
      <c r="L175" s="35"/>
      <c r="M175" s="35"/>
      <c r="N175" s="35"/>
      <c r="O175" s="35"/>
      <c r="P175" s="35"/>
      <c r="Q175" s="35"/>
      <c r="R175" s="35"/>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row>
    <row r="176" ht="15.75" customHeight="1">
      <c r="A176" s="30"/>
      <c r="D176" s="66"/>
      <c r="E176" s="66"/>
      <c r="H176" s="35"/>
      <c r="I176" s="35"/>
      <c r="J176" s="35"/>
      <c r="K176" s="35"/>
      <c r="L176" s="35"/>
      <c r="M176" s="35"/>
      <c r="N176" s="35"/>
      <c r="O176" s="35"/>
      <c r="P176" s="35"/>
      <c r="Q176" s="35"/>
      <c r="R176" s="35"/>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row>
    <row r="177" ht="15.75" customHeight="1">
      <c r="A177" s="30"/>
      <c r="D177" s="66"/>
      <c r="E177" s="66"/>
      <c r="H177" s="35"/>
      <c r="I177" s="35"/>
      <c r="J177" s="35"/>
      <c r="K177" s="35"/>
      <c r="L177" s="35"/>
      <c r="M177" s="35"/>
      <c r="N177" s="35"/>
      <c r="O177" s="35"/>
      <c r="P177" s="35"/>
      <c r="Q177" s="35"/>
      <c r="R177" s="35"/>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row>
    <row r="178" ht="15.75" customHeight="1">
      <c r="A178" s="30"/>
      <c r="D178" s="66"/>
      <c r="E178" s="66"/>
      <c r="H178" s="35"/>
      <c r="I178" s="35"/>
      <c r="J178" s="35"/>
      <c r="K178" s="35"/>
      <c r="L178" s="35"/>
      <c r="M178" s="35"/>
      <c r="N178" s="35"/>
      <c r="O178" s="35"/>
      <c r="P178" s="35"/>
      <c r="Q178" s="35"/>
      <c r="R178" s="35"/>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row>
    <row r="179" ht="15.75" customHeight="1">
      <c r="A179" s="30"/>
      <c r="D179" s="66"/>
      <c r="E179" s="66"/>
      <c r="H179" s="35"/>
      <c r="I179" s="35"/>
      <c r="J179" s="35"/>
      <c r="K179" s="35"/>
      <c r="L179" s="35"/>
      <c r="M179" s="35"/>
      <c r="N179" s="35"/>
      <c r="O179" s="35"/>
      <c r="P179" s="35"/>
      <c r="Q179" s="35"/>
      <c r="R179" s="35"/>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row>
    <row r="180" ht="15.75" customHeight="1">
      <c r="A180" s="30"/>
      <c r="D180" s="66"/>
      <c r="E180" s="66"/>
      <c r="H180" s="35"/>
      <c r="I180" s="35"/>
      <c r="J180" s="35"/>
      <c r="K180" s="35"/>
      <c r="L180" s="35"/>
      <c r="M180" s="35"/>
      <c r="N180" s="35"/>
      <c r="O180" s="35"/>
      <c r="P180" s="35"/>
      <c r="Q180" s="35"/>
      <c r="R180" s="35"/>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row>
    <row r="181" ht="15.75" customHeight="1">
      <c r="A181" s="30"/>
      <c r="D181" s="66"/>
      <c r="E181" s="66"/>
      <c r="H181" s="35"/>
      <c r="I181" s="35"/>
      <c r="J181" s="35"/>
      <c r="K181" s="35"/>
      <c r="L181" s="35"/>
      <c r="M181" s="35"/>
      <c r="N181" s="35"/>
      <c r="O181" s="35"/>
      <c r="P181" s="35"/>
      <c r="Q181" s="35"/>
      <c r="R181" s="35"/>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row>
    <row r="182" ht="15.75" customHeight="1">
      <c r="A182" s="30"/>
      <c r="D182" s="66"/>
      <c r="E182" s="66"/>
      <c r="H182" s="35"/>
      <c r="I182" s="35"/>
      <c r="J182" s="35"/>
      <c r="K182" s="35"/>
      <c r="L182" s="35"/>
      <c r="M182" s="35"/>
      <c r="N182" s="35"/>
      <c r="O182" s="35"/>
      <c r="P182" s="35"/>
      <c r="Q182" s="35"/>
      <c r="R182" s="35"/>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row>
    <row r="183" ht="15.75" customHeight="1">
      <c r="A183" s="30"/>
      <c r="D183" s="66"/>
      <c r="E183" s="66"/>
      <c r="H183" s="35"/>
      <c r="I183" s="35"/>
      <c r="J183" s="35"/>
      <c r="K183" s="35"/>
      <c r="L183" s="35"/>
      <c r="M183" s="35"/>
      <c r="N183" s="35"/>
      <c r="O183" s="35"/>
      <c r="P183" s="35"/>
      <c r="Q183" s="35"/>
      <c r="R183" s="35"/>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row>
    <row r="184" ht="15.75" customHeight="1">
      <c r="A184" s="30"/>
      <c r="D184" s="66"/>
      <c r="E184" s="66"/>
      <c r="H184" s="35"/>
      <c r="I184" s="35"/>
      <c r="J184" s="35"/>
      <c r="K184" s="35"/>
      <c r="L184" s="35"/>
      <c r="M184" s="35"/>
      <c r="N184" s="35"/>
      <c r="O184" s="35"/>
      <c r="P184" s="35"/>
      <c r="Q184" s="35"/>
      <c r="R184" s="35"/>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row>
    <row r="185" ht="15.75" customHeight="1">
      <c r="A185" s="30"/>
      <c r="D185" s="66"/>
      <c r="E185" s="66"/>
      <c r="H185" s="35"/>
      <c r="I185" s="35"/>
      <c r="J185" s="35"/>
      <c r="K185" s="35"/>
      <c r="L185" s="35"/>
      <c r="M185" s="35"/>
      <c r="N185" s="35"/>
      <c r="O185" s="35"/>
      <c r="P185" s="35"/>
      <c r="Q185" s="35"/>
      <c r="R185" s="35"/>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row>
    <row r="186" ht="15.75" customHeight="1">
      <c r="A186" s="30"/>
      <c r="D186" s="66"/>
      <c r="E186" s="66"/>
      <c r="H186" s="35"/>
      <c r="I186" s="35"/>
      <c r="J186" s="35"/>
      <c r="K186" s="35"/>
      <c r="L186" s="35"/>
      <c r="M186" s="35"/>
      <c r="N186" s="35"/>
      <c r="O186" s="35"/>
      <c r="P186" s="35"/>
      <c r="Q186" s="35"/>
      <c r="R186" s="35"/>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row>
    <row r="187" ht="15.75" customHeight="1">
      <c r="A187" s="30"/>
      <c r="D187" s="66"/>
      <c r="E187" s="66"/>
      <c r="H187" s="35"/>
      <c r="I187" s="35"/>
      <c r="J187" s="35"/>
      <c r="K187" s="35"/>
      <c r="L187" s="35"/>
      <c r="M187" s="35"/>
      <c r="N187" s="35"/>
      <c r="O187" s="35"/>
      <c r="P187" s="35"/>
      <c r="Q187" s="35"/>
      <c r="R187" s="35"/>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row>
    <row r="188" ht="15.75" customHeight="1">
      <c r="A188" s="30"/>
      <c r="D188" s="66"/>
      <c r="E188" s="66"/>
      <c r="H188" s="35"/>
      <c r="I188" s="35"/>
      <c r="J188" s="35"/>
      <c r="K188" s="35"/>
      <c r="L188" s="35"/>
      <c r="M188" s="35"/>
      <c r="N188" s="35"/>
      <c r="O188" s="35"/>
      <c r="P188" s="35"/>
      <c r="Q188" s="35"/>
      <c r="R188" s="35"/>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row>
    <row r="189" ht="15.75" customHeight="1">
      <c r="A189" s="30"/>
      <c r="D189" s="66"/>
      <c r="E189" s="66"/>
      <c r="H189" s="35"/>
      <c r="I189" s="35"/>
      <c r="J189" s="35"/>
      <c r="K189" s="35"/>
      <c r="L189" s="35"/>
      <c r="M189" s="35"/>
      <c r="N189" s="35"/>
      <c r="O189" s="35"/>
      <c r="P189" s="35"/>
      <c r="Q189" s="35"/>
      <c r="R189" s="35"/>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row>
    <row r="190" ht="15.75" customHeight="1">
      <c r="A190" s="30"/>
      <c r="D190" s="66"/>
      <c r="E190" s="66"/>
      <c r="H190" s="35"/>
      <c r="I190" s="35"/>
      <c r="J190" s="35"/>
      <c r="K190" s="35"/>
      <c r="L190" s="35"/>
      <c r="M190" s="35"/>
      <c r="N190" s="35"/>
      <c r="O190" s="35"/>
      <c r="P190" s="35"/>
      <c r="Q190" s="35"/>
      <c r="R190" s="35"/>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row>
    <row r="191" ht="15.75" customHeight="1">
      <c r="A191" s="30"/>
      <c r="D191" s="66"/>
      <c r="E191" s="66"/>
      <c r="H191" s="35"/>
      <c r="I191" s="35"/>
      <c r="J191" s="35"/>
      <c r="K191" s="35"/>
      <c r="L191" s="35"/>
      <c r="M191" s="35"/>
      <c r="N191" s="35"/>
      <c r="O191" s="35"/>
      <c r="P191" s="35"/>
      <c r="Q191" s="35"/>
      <c r="R191" s="35"/>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row>
    <row r="192" ht="15.75" customHeight="1">
      <c r="A192" s="30"/>
      <c r="D192" s="66"/>
      <c r="E192" s="66"/>
      <c r="H192" s="35"/>
      <c r="I192" s="35"/>
      <c r="J192" s="35"/>
      <c r="K192" s="35"/>
      <c r="L192" s="35"/>
      <c r="M192" s="35"/>
      <c r="N192" s="35"/>
      <c r="O192" s="35"/>
      <c r="P192" s="35"/>
      <c r="Q192" s="35"/>
      <c r="R192" s="35"/>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row>
    <row r="193" ht="15.75" customHeight="1">
      <c r="A193" s="30"/>
      <c r="D193" s="66"/>
      <c r="E193" s="66"/>
      <c r="H193" s="35"/>
      <c r="I193" s="35"/>
      <c r="J193" s="35"/>
      <c r="K193" s="35"/>
      <c r="L193" s="35"/>
      <c r="M193" s="35"/>
      <c r="N193" s="35"/>
      <c r="O193" s="35"/>
      <c r="P193" s="35"/>
      <c r="Q193" s="35"/>
      <c r="R193" s="35"/>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row>
    <row r="194" ht="15.75" customHeight="1">
      <c r="A194" s="30"/>
      <c r="D194" s="66"/>
      <c r="E194" s="66"/>
      <c r="H194" s="35"/>
      <c r="I194" s="35"/>
      <c r="J194" s="35"/>
      <c r="K194" s="35"/>
      <c r="L194" s="35"/>
      <c r="M194" s="35"/>
      <c r="N194" s="35"/>
      <c r="O194" s="35"/>
      <c r="P194" s="35"/>
      <c r="Q194" s="35"/>
      <c r="R194" s="35"/>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row>
    <row r="195" ht="15.75" customHeight="1">
      <c r="A195" s="30"/>
      <c r="D195" s="66"/>
      <c r="E195" s="66"/>
      <c r="H195" s="35"/>
      <c r="I195" s="35"/>
      <c r="J195" s="35"/>
      <c r="K195" s="35"/>
      <c r="L195" s="35"/>
      <c r="M195" s="35"/>
      <c r="N195" s="35"/>
      <c r="O195" s="35"/>
      <c r="P195" s="35"/>
      <c r="Q195" s="35"/>
      <c r="R195" s="35"/>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row>
    <row r="196" ht="15.75" customHeight="1">
      <c r="A196" s="30"/>
      <c r="D196" s="66"/>
      <c r="E196" s="66"/>
      <c r="H196" s="35"/>
      <c r="I196" s="35"/>
      <c r="J196" s="35"/>
      <c r="K196" s="35"/>
      <c r="L196" s="35"/>
      <c r="M196" s="35"/>
      <c r="N196" s="35"/>
      <c r="O196" s="35"/>
      <c r="P196" s="35"/>
      <c r="Q196" s="35"/>
      <c r="R196" s="35"/>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row>
    <row r="197" ht="15.75" customHeight="1">
      <c r="A197" s="30"/>
      <c r="D197" s="66"/>
      <c r="E197" s="66"/>
      <c r="H197" s="35"/>
      <c r="I197" s="35"/>
      <c r="J197" s="35"/>
      <c r="K197" s="35"/>
      <c r="L197" s="35"/>
      <c r="M197" s="35"/>
      <c r="N197" s="35"/>
      <c r="O197" s="35"/>
      <c r="P197" s="35"/>
      <c r="Q197" s="35"/>
      <c r="R197" s="35"/>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row>
    <row r="198" ht="15.75" customHeight="1">
      <c r="A198" s="30"/>
      <c r="D198" s="66"/>
      <c r="E198" s="66"/>
      <c r="H198" s="35"/>
      <c r="I198" s="35"/>
      <c r="J198" s="35"/>
      <c r="K198" s="35"/>
      <c r="L198" s="35"/>
      <c r="M198" s="35"/>
      <c r="N198" s="35"/>
      <c r="O198" s="35"/>
      <c r="P198" s="35"/>
      <c r="Q198" s="35"/>
      <c r="R198" s="35"/>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row>
    <row r="199" ht="15.75" customHeight="1">
      <c r="A199" s="30"/>
      <c r="D199" s="66"/>
      <c r="E199" s="66"/>
      <c r="H199" s="35"/>
      <c r="I199" s="35"/>
      <c r="J199" s="35"/>
      <c r="K199" s="35"/>
      <c r="L199" s="35"/>
      <c r="M199" s="35"/>
      <c r="N199" s="35"/>
      <c r="O199" s="35"/>
      <c r="P199" s="35"/>
      <c r="Q199" s="35"/>
      <c r="R199" s="35"/>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row>
    <row r="200" ht="15.75" customHeight="1">
      <c r="A200" s="30"/>
      <c r="D200" s="66"/>
      <c r="E200" s="66"/>
      <c r="H200" s="35"/>
      <c r="I200" s="35"/>
      <c r="J200" s="35"/>
      <c r="K200" s="35"/>
      <c r="L200" s="35"/>
      <c r="M200" s="35"/>
      <c r="N200" s="35"/>
      <c r="O200" s="35"/>
      <c r="P200" s="35"/>
      <c r="Q200" s="35"/>
      <c r="R200" s="35"/>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row>
    <row r="201" ht="15.75" customHeight="1">
      <c r="A201" s="30"/>
      <c r="D201" s="66"/>
      <c r="E201" s="66"/>
      <c r="H201" s="35"/>
      <c r="I201" s="35"/>
      <c r="J201" s="35"/>
      <c r="K201" s="35"/>
      <c r="L201" s="35"/>
      <c r="M201" s="35"/>
      <c r="N201" s="35"/>
      <c r="O201" s="35"/>
      <c r="P201" s="35"/>
      <c r="Q201" s="35"/>
      <c r="R201" s="35"/>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row>
    <row r="202" ht="15.75" customHeight="1">
      <c r="A202" s="30"/>
      <c r="D202" s="66"/>
      <c r="E202" s="66"/>
      <c r="H202" s="35"/>
      <c r="I202" s="35"/>
      <c r="J202" s="35"/>
      <c r="K202" s="35"/>
      <c r="L202" s="35"/>
      <c r="M202" s="35"/>
      <c r="N202" s="35"/>
      <c r="O202" s="35"/>
      <c r="P202" s="35"/>
      <c r="Q202" s="35"/>
      <c r="R202" s="35"/>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row>
    <row r="203" ht="15.75" customHeight="1">
      <c r="A203" s="30"/>
      <c r="D203" s="66"/>
      <c r="E203" s="66"/>
      <c r="H203" s="35"/>
      <c r="I203" s="35"/>
      <c r="J203" s="35"/>
      <c r="K203" s="35"/>
      <c r="L203" s="35"/>
      <c r="M203" s="35"/>
      <c r="N203" s="35"/>
      <c r="O203" s="35"/>
      <c r="P203" s="35"/>
      <c r="Q203" s="35"/>
      <c r="R203" s="35"/>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row>
    <row r="204" ht="15.75" customHeight="1">
      <c r="A204" s="30"/>
      <c r="D204" s="66"/>
      <c r="E204" s="66"/>
      <c r="H204" s="35"/>
      <c r="I204" s="35"/>
      <c r="J204" s="35"/>
      <c r="K204" s="35"/>
      <c r="L204" s="35"/>
      <c r="M204" s="35"/>
      <c r="N204" s="35"/>
      <c r="O204" s="35"/>
      <c r="P204" s="35"/>
      <c r="Q204" s="35"/>
      <c r="R204" s="35"/>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row>
    <row r="205" ht="15.75" customHeight="1">
      <c r="A205" s="30"/>
      <c r="D205" s="66"/>
      <c r="E205" s="66"/>
      <c r="H205" s="35"/>
      <c r="I205" s="35"/>
      <c r="J205" s="35"/>
      <c r="K205" s="35"/>
      <c r="L205" s="35"/>
      <c r="M205" s="35"/>
      <c r="N205" s="35"/>
      <c r="O205" s="35"/>
      <c r="P205" s="35"/>
      <c r="Q205" s="35"/>
      <c r="R205" s="35"/>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row>
    <row r="206" ht="15.75" customHeight="1">
      <c r="A206" s="30"/>
      <c r="D206" s="66"/>
      <c r="E206" s="66"/>
      <c r="H206" s="35"/>
      <c r="I206" s="35"/>
      <c r="J206" s="35"/>
      <c r="K206" s="35"/>
      <c r="L206" s="35"/>
      <c r="M206" s="35"/>
      <c r="N206" s="35"/>
      <c r="O206" s="35"/>
      <c r="P206" s="35"/>
      <c r="Q206" s="35"/>
      <c r="R206" s="35"/>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row>
    <row r="207" ht="15.75" customHeight="1">
      <c r="A207" s="30"/>
      <c r="D207" s="66"/>
      <c r="E207" s="66"/>
      <c r="H207" s="35"/>
      <c r="I207" s="35"/>
      <c r="J207" s="35"/>
      <c r="K207" s="35"/>
      <c r="L207" s="35"/>
      <c r="M207" s="35"/>
      <c r="N207" s="35"/>
      <c r="O207" s="35"/>
      <c r="P207" s="35"/>
      <c r="Q207" s="35"/>
      <c r="R207" s="35"/>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row>
    <row r="208" ht="15.75" customHeight="1">
      <c r="A208" s="30"/>
      <c r="D208" s="66"/>
      <c r="E208" s="66"/>
      <c r="H208" s="35"/>
      <c r="I208" s="35"/>
      <c r="J208" s="35"/>
      <c r="K208" s="35"/>
      <c r="L208" s="35"/>
      <c r="M208" s="35"/>
      <c r="N208" s="35"/>
      <c r="O208" s="35"/>
      <c r="P208" s="35"/>
      <c r="Q208" s="35"/>
      <c r="R208" s="35"/>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row>
    <row r="209" ht="15.75" customHeight="1">
      <c r="A209" s="30"/>
      <c r="D209" s="66"/>
      <c r="E209" s="66"/>
      <c r="H209" s="35"/>
      <c r="I209" s="35"/>
      <c r="J209" s="35"/>
      <c r="K209" s="35"/>
      <c r="L209" s="35"/>
      <c r="M209" s="35"/>
      <c r="N209" s="35"/>
      <c r="O209" s="35"/>
      <c r="P209" s="35"/>
      <c r="Q209" s="35"/>
      <c r="R209" s="35"/>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row>
    <row r="210" ht="15.75" customHeight="1">
      <c r="A210" s="30"/>
      <c r="D210" s="66"/>
      <c r="E210" s="66"/>
      <c r="H210" s="35"/>
      <c r="I210" s="35"/>
      <c r="J210" s="35"/>
      <c r="K210" s="35"/>
      <c r="L210" s="35"/>
      <c r="M210" s="35"/>
      <c r="N210" s="35"/>
      <c r="O210" s="35"/>
      <c r="P210" s="35"/>
      <c r="Q210" s="35"/>
      <c r="R210" s="35"/>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row>
    <row r="211" ht="15.75" customHeight="1">
      <c r="A211" s="30"/>
      <c r="D211" s="66"/>
      <c r="E211" s="66"/>
      <c r="H211" s="35"/>
      <c r="I211" s="35"/>
      <c r="J211" s="35"/>
      <c r="K211" s="35"/>
      <c r="L211" s="35"/>
      <c r="M211" s="35"/>
      <c r="N211" s="35"/>
      <c r="O211" s="35"/>
      <c r="P211" s="35"/>
      <c r="Q211" s="35"/>
      <c r="R211" s="35"/>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row>
    <row r="212" ht="15.75" customHeight="1">
      <c r="A212" s="30"/>
      <c r="D212" s="66"/>
      <c r="E212" s="66"/>
      <c r="H212" s="35"/>
      <c r="I212" s="35"/>
      <c r="J212" s="35"/>
      <c r="K212" s="35"/>
      <c r="L212" s="35"/>
      <c r="M212" s="35"/>
      <c r="N212" s="35"/>
      <c r="O212" s="35"/>
      <c r="P212" s="35"/>
      <c r="Q212" s="35"/>
      <c r="R212" s="35"/>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row>
    <row r="213" ht="15.75" customHeight="1">
      <c r="A213" s="30"/>
      <c r="D213" s="66"/>
      <c r="E213" s="66"/>
      <c r="H213" s="35"/>
      <c r="I213" s="35"/>
      <c r="J213" s="35"/>
      <c r="K213" s="35"/>
      <c r="L213" s="35"/>
      <c r="M213" s="35"/>
      <c r="N213" s="35"/>
      <c r="O213" s="35"/>
      <c r="P213" s="35"/>
      <c r="Q213" s="35"/>
      <c r="R213" s="35"/>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row>
    <row r="214" ht="15.75" customHeight="1">
      <c r="A214" s="30"/>
      <c r="D214" s="66"/>
      <c r="E214" s="66"/>
      <c r="H214" s="35"/>
      <c r="I214" s="35"/>
      <c r="J214" s="35"/>
      <c r="K214" s="35"/>
      <c r="L214" s="35"/>
      <c r="M214" s="35"/>
      <c r="N214" s="35"/>
      <c r="O214" s="35"/>
      <c r="P214" s="35"/>
      <c r="Q214" s="35"/>
      <c r="R214" s="35"/>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row>
    <row r="215" ht="15.75" customHeight="1">
      <c r="A215" s="30"/>
      <c r="D215" s="66"/>
      <c r="E215" s="66"/>
      <c r="H215" s="35"/>
      <c r="I215" s="35"/>
      <c r="J215" s="35"/>
      <c r="K215" s="35"/>
      <c r="L215" s="35"/>
      <c r="M215" s="35"/>
      <c r="N215" s="35"/>
      <c r="O215" s="35"/>
      <c r="P215" s="35"/>
      <c r="Q215" s="35"/>
      <c r="R215" s="35"/>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row>
    <row r="216" ht="15.75" customHeight="1">
      <c r="A216" s="30"/>
      <c r="D216" s="66"/>
      <c r="E216" s="66"/>
      <c r="H216" s="35"/>
      <c r="I216" s="35"/>
      <c r="J216" s="35"/>
      <c r="K216" s="35"/>
      <c r="L216" s="35"/>
      <c r="M216" s="35"/>
      <c r="N216" s="35"/>
      <c r="O216" s="35"/>
      <c r="P216" s="35"/>
      <c r="Q216" s="35"/>
      <c r="R216" s="35"/>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row>
    <row r="217" ht="15.75" customHeight="1">
      <c r="A217" s="30"/>
      <c r="D217" s="66"/>
      <c r="E217" s="66"/>
      <c r="H217" s="35"/>
      <c r="I217" s="35"/>
      <c r="J217" s="35"/>
      <c r="K217" s="35"/>
      <c r="L217" s="35"/>
      <c r="M217" s="35"/>
      <c r="N217" s="35"/>
      <c r="O217" s="35"/>
      <c r="P217" s="35"/>
      <c r="Q217" s="35"/>
      <c r="R217" s="35"/>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row>
    <row r="218" ht="15.75" customHeight="1">
      <c r="A218" s="30"/>
      <c r="D218" s="66"/>
      <c r="E218" s="66"/>
      <c r="H218" s="35"/>
      <c r="I218" s="35"/>
      <c r="J218" s="35"/>
      <c r="K218" s="35"/>
      <c r="L218" s="35"/>
      <c r="M218" s="35"/>
      <c r="N218" s="35"/>
      <c r="O218" s="35"/>
      <c r="P218" s="35"/>
      <c r="Q218" s="35"/>
      <c r="R218" s="35"/>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row>
    <row r="219" ht="15.75" customHeight="1">
      <c r="A219" s="30"/>
      <c r="D219" s="66"/>
      <c r="E219" s="66"/>
      <c r="H219" s="35"/>
      <c r="I219" s="35"/>
      <c r="J219" s="35"/>
      <c r="K219" s="35"/>
      <c r="L219" s="35"/>
      <c r="M219" s="35"/>
      <c r="N219" s="35"/>
      <c r="O219" s="35"/>
      <c r="P219" s="35"/>
      <c r="Q219" s="35"/>
      <c r="R219" s="35"/>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row>
    <row r="220" ht="15.75" customHeight="1">
      <c r="A220" s="30"/>
      <c r="D220" s="66"/>
      <c r="E220" s="66"/>
      <c r="H220" s="35"/>
      <c r="I220" s="35"/>
      <c r="J220" s="35"/>
      <c r="K220" s="35"/>
      <c r="L220" s="35"/>
      <c r="M220" s="35"/>
      <c r="N220" s="35"/>
      <c r="O220" s="35"/>
      <c r="P220" s="35"/>
      <c r="Q220" s="35"/>
      <c r="R220" s="35"/>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row>
    <row r="221" ht="15.75" customHeight="1">
      <c r="A221" s="30"/>
      <c r="D221" s="66"/>
      <c r="E221" s="66"/>
      <c r="H221" s="35"/>
      <c r="I221" s="35"/>
      <c r="J221" s="35"/>
      <c r="K221" s="35"/>
      <c r="L221" s="35"/>
      <c r="M221" s="35"/>
      <c r="N221" s="35"/>
      <c r="O221" s="35"/>
      <c r="P221" s="35"/>
      <c r="Q221" s="35"/>
      <c r="R221" s="35"/>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row>
    <row r="222" ht="15.75" customHeight="1">
      <c r="A222" s="30"/>
      <c r="D222" s="66"/>
      <c r="E222" s="66"/>
      <c r="H222" s="35"/>
      <c r="I222" s="35"/>
      <c r="J222" s="35"/>
      <c r="K222" s="35"/>
      <c r="L222" s="35"/>
      <c r="M222" s="35"/>
      <c r="N222" s="35"/>
      <c r="O222" s="35"/>
      <c r="P222" s="35"/>
      <c r="Q222" s="35"/>
      <c r="R222" s="35"/>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row>
    <row r="223" ht="15.75" customHeight="1">
      <c r="A223" s="30"/>
      <c r="D223" s="66"/>
      <c r="E223" s="66"/>
      <c r="H223" s="35"/>
      <c r="I223" s="35"/>
      <c r="J223" s="35"/>
      <c r="K223" s="35"/>
      <c r="L223" s="35"/>
      <c r="M223" s="35"/>
      <c r="N223" s="35"/>
      <c r="O223" s="35"/>
      <c r="P223" s="35"/>
      <c r="Q223" s="35"/>
      <c r="R223" s="35"/>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row>
    <row r="224" ht="15.75" customHeight="1">
      <c r="A224" s="30"/>
      <c r="D224" s="66"/>
      <c r="E224" s="66"/>
      <c r="H224" s="35"/>
      <c r="I224" s="35"/>
      <c r="J224" s="35"/>
      <c r="K224" s="35"/>
      <c r="L224" s="35"/>
      <c r="M224" s="35"/>
      <c r="N224" s="35"/>
      <c r="O224" s="35"/>
      <c r="P224" s="35"/>
      <c r="Q224" s="35"/>
      <c r="R224" s="35"/>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row>
    <row r="225" ht="15.75" customHeight="1">
      <c r="A225" s="30"/>
      <c r="D225" s="66"/>
      <c r="E225" s="66"/>
      <c r="H225" s="35"/>
      <c r="I225" s="35"/>
      <c r="J225" s="35"/>
      <c r="K225" s="35"/>
      <c r="L225" s="35"/>
      <c r="M225" s="35"/>
      <c r="N225" s="35"/>
      <c r="O225" s="35"/>
      <c r="P225" s="35"/>
      <c r="Q225" s="35"/>
      <c r="R225" s="35"/>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row>
    <row r="226" ht="15.75" customHeight="1">
      <c r="A226" s="30"/>
      <c r="D226" s="66"/>
      <c r="E226" s="66"/>
      <c r="H226" s="35"/>
      <c r="I226" s="35"/>
      <c r="J226" s="35"/>
      <c r="K226" s="35"/>
      <c r="L226" s="35"/>
      <c r="M226" s="35"/>
      <c r="N226" s="35"/>
      <c r="O226" s="35"/>
      <c r="P226" s="35"/>
      <c r="Q226" s="35"/>
      <c r="R226" s="35"/>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row>
    <row r="227" ht="15.75" customHeight="1">
      <c r="A227" s="30"/>
      <c r="D227" s="66"/>
      <c r="E227" s="66"/>
      <c r="H227" s="35"/>
      <c r="I227" s="35"/>
      <c r="J227" s="35"/>
      <c r="K227" s="35"/>
      <c r="L227" s="35"/>
      <c r="M227" s="35"/>
      <c r="N227" s="35"/>
      <c r="O227" s="35"/>
      <c r="P227" s="35"/>
      <c r="Q227" s="35"/>
      <c r="R227" s="35"/>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row>
    <row r="228" ht="15.75" customHeight="1">
      <c r="H228" s="35"/>
      <c r="I228" s="35"/>
      <c r="J228" s="35"/>
      <c r="K228" s="35"/>
      <c r="L228" s="35"/>
      <c r="M228" s="35"/>
      <c r="N228" s="35"/>
      <c r="O228" s="35"/>
      <c r="P228" s="35"/>
      <c r="Q228" s="35"/>
      <c r="R228" s="35"/>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5:D25"/>
  </mergeCells>
  <conditionalFormatting sqref="D6:D24">
    <cfRule type="containsText" dxfId="0" priority="1" operator="containsText" text="Muito">
      <formula>NOT(ISERROR(SEARCH(("Muito"),(D6))))</formula>
    </cfRule>
  </conditionalFormatting>
  <conditionalFormatting sqref="D6:D24">
    <cfRule type="containsText" dxfId="1" priority="2" operator="containsText" text="Totalmente">
      <formula>NOT(ISERROR(SEARCH(("Totalmente"),(D6))))</formula>
    </cfRule>
  </conditionalFormatting>
  <conditionalFormatting sqref="D6:D24">
    <cfRule type="containsText" dxfId="2" priority="3" operator="containsText" text="Pouco">
      <formula>NOT(ISERROR(SEARCH(("Pouco"),(D6))))</formula>
    </cfRule>
  </conditionalFormatting>
  <conditionalFormatting sqref="D6:D24">
    <cfRule type="containsText" dxfId="3" priority="4" operator="containsText" text="Sem">
      <formula>NOT(ISERROR(SEARCH(("Sem"),(D6))))</formula>
    </cfRule>
  </conditionalFormatting>
  <conditionalFormatting sqref="E6:E24">
    <cfRule type="containsText" dxfId="1" priority="5" operator="containsText" text="Muito fraca">
      <formula>NOT(ISERROR(SEARCH(("Muito fraca"),(E6))))</formula>
    </cfRule>
  </conditionalFormatting>
  <conditionalFormatting sqref="E6:E24">
    <cfRule type="containsText" dxfId="0" priority="6" operator="containsText" text="Fraca">
      <formula>NOT(ISERROR(SEARCH(("Fraca"),(E6))))</formula>
    </cfRule>
  </conditionalFormatting>
  <conditionalFormatting sqref="E6:E24">
    <cfRule type="containsText" dxfId="3" priority="7" operator="containsText" text="Muito forte">
      <formula>NOT(ISERROR(SEARCH(("Muito forte"),(E6))))</formula>
    </cfRule>
  </conditionalFormatting>
  <conditionalFormatting sqref="E6:E24">
    <cfRule type="containsText" dxfId="2" priority="8" operator="containsText" text="Forte">
      <formula>NOT(ISERROR(SEARCH(("Forte"),(E6))))</formula>
    </cfRule>
  </conditionalFormatting>
  <conditionalFormatting sqref="F6:F24">
    <cfRule type="containsText" dxfId="1" priority="9" operator="containsText" text="Piora muito">
      <formula>NOT(ISERROR(SEARCH(("Piora muito"),(F6))))</formula>
    </cfRule>
  </conditionalFormatting>
  <conditionalFormatting sqref="F6:F24">
    <cfRule type="containsText" dxfId="0" priority="10" operator="containsText" text="Piora">
      <formula>NOT(ISERROR(SEARCH(("Piora"),(F6))))</formula>
    </cfRule>
  </conditionalFormatting>
  <conditionalFormatting sqref="F6:F24">
    <cfRule type="containsText" dxfId="3" priority="11" operator="containsText" text="Melhora muito">
      <formula>NOT(ISERROR(SEARCH(("Melhora muito"),(F6))))</formula>
    </cfRule>
  </conditionalFormatting>
  <conditionalFormatting sqref="F6:F24">
    <cfRule type="containsText" dxfId="2" priority="12" operator="containsText" text="Melhora">
      <formula>NOT(ISERROR(SEARCH(("Melhora"),(F6))))</formula>
    </cfRule>
  </conditionalFormatting>
  <dataValidations>
    <dataValidation type="list" allowBlank="1" showErrorMessage="1" sqref="E6:E24">
      <formula1>$I$15:$I$19</formula1>
    </dataValidation>
    <dataValidation type="list" allowBlank="1" showErrorMessage="1" sqref="F6:F24">
      <formula1>$I$23:$I$27</formula1>
    </dataValidation>
    <dataValidation type="list" allowBlank="1" showErrorMessage="1" sqref="D6:D24">
      <formula1>$I$7:$I$11</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71.29"/>
    <col customWidth="1" min="4" max="6" width="25.71"/>
    <col customWidth="1" min="7" max="7" width="22.43"/>
    <col customWidth="1" min="8" max="8" width="10.43"/>
    <col customWidth="1" min="9" max="9" width="20.43"/>
    <col customWidth="1" min="10" max="17" width="8.71"/>
    <col customWidth="1" min="18" max="18" width="9.29"/>
    <col customWidth="1" hidden="1" min="19" max="47" width="9.29"/>
  </cols>
  <sheetData>
    <row r="1" ht="33.0" customHeight="1">
      <c r="A1" s="30"/>
      <c r="B1" s="30"/>
      <c r="C1" s="31"/>
      <c r="D1" s="74"/>
      <c r="E1" s="74"/>
      <c r="F1" s="74"/>
      <c r="G1" s="74"/>
      <c r="H1" s="75"/>
      <c r="I1" s="76"/>
      <c r="J1" s="76"/>
      <c r="K1" s="76"/>
      <c r="L1" s="76"/>
      <c r="M1" s="77"/>
      <c r="N1" s="77"/>
      <c r="O1" s="77"/>
      <c r="P1" s="77"/>
      <c r="Q1" s="30"/>
      <c r="R1" s="30"/>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row>
    <row r="2" ht="36.75" customHeight="1">
      <c r="A2" s="36"/>
      <c r="B2" s="30"/>
      <c r="C2" s="78"/>
      <c r="D2" s="79"/>
      <c r="E2" s="79"/>
      <c r="F2" s="79"/>
      <c r="G2" s="79"/>
      <c r="H2" s="80"/>
      <c r="I2" s="81"/>
      <c r="J2" s="81"/>
      <c r="K2" s="81"/>
      <c r="L2" s="81"/>
      <c r="M2" s="77"/>
      <c r="N2" s="77"/>
      <c r="O2" s="77"/>
      <c r="P2" s="77"/>
      <c r="Q2" s="30"/>
      <c r="R2" s="30"/>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row>
    <row r="3" ht="48.0" customHeight="1">
      <c r="A3" s="30"/>
      <c r="B3" s="30"/>
      <c r="C3" s="30"/>
      <c r="D3" s="30"/>
      <c r="E3" s="30"/>
      <c r="F3" s="30"/>
      <c r="G3" s="30"/>
      <c r="H3" s="30"/>
      <c r="I3" s="77"/>
      <c r="J3" s="77"/>
      <c r="K3" s="77"/>
      <c r="L3" s="77"/>
      <c r="M3" s="77"/>
      <c r="N3" s="77"/>
      <c r="O3" s="77"/>
      <c r="P3" s="77"/>
      <c r="Q3" s="30"/>
      <c r="R3" s="30"/>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row>
    <row r="4" ht="30.0" customHeight="1">
      <c r="A4" s="30"/>
      <c r="B4" s="41"/>
      <c r="C4" s="68" t="s">
        <v>40</v>
      </c>
      <c r="D4" s="43" t="s">
        <v>41</v>
      </c>
      <c r="E4" s="43" t="s">
        <v>68</v>
      </c>
      <c r="F4" s="43" t="s">
        <v>43</v>
      </c>
      <c r="G4" s="44" t="s">
        <v>44</v>
      </c>
      <c r="H4" s="41"/>
      <c r="I4" s="82"/>
      <c r="J4" s="82"/>
      <c r="K4" s="82"/>
      <c r="L4" s="82"/>
      <c r="M4" s="82"/>
      <c r="N4" s="82"/>
      <c r="O4" s="82"/>
      <c r="P4" s="82"/>
      <c r="Q4" s="41"/>
      <c r="R4" s="41"/>
      <c r="S4" s="45">
        <v>1.0</v>
      </c>
      <c r="T4" s="45">
        <v>1.0</v>
      </c>
      <c r="U4" s="45">
        <v>1.0</v>
      </c>
      <c r="V4" s="45">
        <v>1.0</v>
      </c>
      <c r="W4" s="45">
        <v>2.0</v>
      </c>
      <c r="X4" s="45">
        <v>2.0</v>
      </c>
      <c r="Y4" s="45">
        <v>2.0</v>
      </c>
      <c r="Z4" s="45">
        <v>2.0</v>
      </c>
      <c r="AA4" s="45">
        <v>2.0</v>
      </c>
      <c r="AB4" s="45">
        <v>2.0</v>
      </c>
      <c r="AC4" s="45">
        <v>2.0</v>
      </c>
      <c r="AD4" s="45">
        <v>2.0</v>
      </c>
      <c r="AE4" s="45">
        <v>2.0</v>
      </c>
      <c r="AF4" s="45">
        <v>2.0</v>
      </c>
      <c r="AG4" s="45">
        <v>2.0</v>
      </c>
      <c r="AH4" s="45">
        <v>2.0</v>
      </c>
      <c r="AI4" s="45">
        <v>3.0</v>
      </c>
      <c r="AJ4" s="45">
        <v>3.0</v>
      </c>
      <c r="AK4" s="45">
        <v>3.0</v>
      </c>
      <c r="AL4" s="45">
        <v>3.0</v>
      </c>
      <c r="AM4" s="45">
        <v>3.0</v>
      </c>
      <c r="AN4" s="45">
        <v>3.0</v>
      </c>
      <c r="AO4" s="45">
        <v>3.0</v>
      </c>
      <c r="AP4" s="45">
        <v>3.0</v>
      </c>
      <c r="AQ4" s="45">
        <v>3.0</v>
      </c>
      <c r="AR4" s="45">
        <v>3.0</v>
      </c>
      <c r="AS4" s="45">
        <v>3.0</v>
      </c>
      <c r="AT4" s="45">
        <v>3.0</v>
      </c>
      <c r="AU4" s="45"/>
    </row>
    <row r="5" ht="30.0" customHeight="1">
      <c r="A5" s="30"/>
      <c r="B5" s="30"/>
      <c r="C5" s="69" t="s">
        <v>69</v>
      </c>
      <c r="D5" s="47" t="s">
        <v>46</v>
      </c>
      <c r="E5" s="48" t="s">
        <v>70</v>
      </c>
      <c r="F5" s="49" t="s">
        <v>48</v>
      </c>
      <c r="G5" s="49" t="s">
        <v>49</v>
      </c>
      <c r="H5" s="30"/>
      <c r="I5" s="77"/>
      <c r="J5" s="77"/>
      <c r="K5" s="77"/>
      <c r="L5" s="77"/>
      <c r="M5" s="77"/>
      <c r="N5" s="77"/>
      <c r="O5" s="77"/>
      <c r="P5" s="77"/>
      <c r="Q5" s="30"/>
      <c r="R5" s="30"/>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row>
    <row r="6" ht="33.75" customHeight="1">
      <c r="A6" s="30"/>
      <c r="B6" s="30"/>
      <c r="C6" s="70"/>
      <c r="D6" s="51"/>
      <c r="E6" s="51"/>
      <c r="F6" s="52"/>
      <c r="G6" s="53" t="str">
        <f t="shared" ref="G6:G25" si="1">IF(ISERROR(VLOOKUP(D6,$I$8:$J$12,2,FALSE)*VLOOKUP(E6,$I$16:$J$20,2,FALSE)*VLOOKUP(F6,$I$24:$J$28,2,FALSE)),"",VLOOKUP(D6,$I$8:$J$12,2,FALSE)*VLOOKUP(E6,$I$16:$J$20,2,FALSE)*VLOOKUP(F6,$I$24:$J$28,2,FALSE))</f>
        <v/>
      </c>
      <c r="H6" s="30"/>
      <c r="I6" s="77" t="s">
        <v>41</v>
      </c>
      <c r="J6" s="77"/>
      <c r="K6" s="77"/>
      <c r="L6" s="77">
        <v>2.0E-4</v>
      </c>
      <c r="M6" s="83" t="str">
        <f t="shared" ref="M6:M25" si="2">IF(G6="","",G6+L7)</f>
        <v/>
      </c>
      <c r="N6" s="84" t="str">
        <f t="shared" ref="N6:N25" si="3">IF(C6=0,"",C6)</f>
        <v/>
      </c>
      <c r="O6" s="83" t="str">
        <f t="shared" ref="O6:O25" si="4">G6</f>
        <v/>
      </c>
      <c r="P6" s="84"/>
      <c r="Q6" s="30"/>
      <c r="R6" s="30"/>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row>
    <row r="7" ht="30.0" customHeight="1">
      <c r="A7" s="30"/>
      <c r="B7" s="30"/>
      <c r="C7" s="70"/>
      <c r="D7" s="51"/>
      <c r="E7" s="51"/>
      <c r="F7" s="52"/>
      <c r="G7" s="53" t="str">
        <f t="shared" si="1"/>
        <v/>
      </c>
      <c r="H7" s="85"/>
      <c r="I7" s="86"/>
      <c r="J7" s="77"/>
      <c r="K7" s="77"/>
      <c r="L7" s="77">
        <v>1.9E-4</v>
      </c>
      <c r="M7" s="83" t="str">
        <f t="shared" si="2"/>
        <v/>
      </c>
      <c r="N7" s="84" t="str">
        <f t="shared" si="3"/>
        <v/>
      </c>
      <c r="O7" s="83" t="str">
        <f t="shared" si="4"/>
        <v/>
      </c>
      <c r="P7" s="84"/>
      <c r="Q7" s="30"/>
      <c r="R7" s="30"/>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row>
    <row r="8" ht="30.0" customHeight="1">
      <c r="A8" s="30"/>
      <c r="B8" s="30"/>
      <c r="C8" s="70"/>
      <c r="D8" s="51"/>
      <c r="E8" s="51"/>
      <c r="F8" s="52"/>
      <c r="G8" s="53" t="str">
        <f t="shared" si="1"/>
        <v/>
      </c>
      <c r="H8" s="87"/>
      <c r="I8" s="77" t="s">
        <v>50</v>
      </c>
      <c r="J8" s="86">
        <v>1.0</v>
      </c>
      <c r="K8" s="77"/>
      <c r="L8" s="77">
        <v>1.8E-4</v>
      </c>
      <c r="M8" s="83" t="str">
        <f t="shared" si="2"/>
        <v/>
      </c>
      <c r="N8" s="84" t="str">
        <f t="shared" si="3"/>
        <v/>
      </c>
      <c r="O8" s="83" t="str">
        <f t="shared" si="4"/>
        <v/>
      </c>
      <c r="P8" s="84"/>
      <c r="Q8" s="30"/>
      <c r="R8" s="30"/>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row>
    <row r="9" ht="30.0" customHeight="1">
      <c r="A9" s="30"/>
      <c r="B9" s="30"/>
      <c r="C9" s="70"/>
      <c r="D9" s="51"/>
      <c r="E9" s="51"/>
      <c r="F9" s="52"/>
      <c r="G9" s="53" t="str">
        <f t="shared" si="1"/>
        <v/>
      </c>
      <c r="H9" s="30"/>
      <c r="I9" s="77" t="s">
        <v>51</v>
      </c>
      <c r="J9" s="86">
        <v>2.0</v>
      </c>
      <c r="K9" s="77"/>
      <c r="L9" s="77">
        <v>1.7E-4</v>
      </c>
      <c r="M9" s="83" t="str">
        <f t="shared" si="2"/>
        <v/>
      </c>
      <c r="N9" s="84" t="str">
        <f t="shared" si="3"/>
        <v/>
      </c>
      <c r="O9" s="83" t="str">
        <f t="shared" si="4"/>
        <v/>
      </c>
      <c r="P9" s="84"/>
      <c r="Q9" s="30"/>
      <c r="R9" s="30"/>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row>
    <row r="10" ht="30.0" customHeight="1">
      <c r="A10" s="30"/>
      <c r="B10" s="30"/>
      <c r="C10" s="70"/>
      <c r="D10" s="51"/>
      <c r="E10" s="51"/>
      <c r="F10" s="52"/>
      <c r="G10" s="53" t="str">
        <f t="shared" si="1"/>
        <v/>
      </c>
      <c r="H10" s="30"/>
      <c r="I10" s="77" t="s">
        <v>52</v>
      </c>
      <c r="J10" s="86">
        <v>3.0</v>
      </c>
      <c r="K10" s="77"/>
      <c r="L10" s="77">
        <v>1.6E-4</v>
      </c>
      <c r="M10" s="83" t="str">
        <f t="shared" si="2"/>
        <v/>
      </c>
      <c r="N10" s="84" t="str">
        <f t="shared" si="3"/>
        <v/>
      </c>
      <c r="O10" s="83" t="str">
        <f t="shared" si="4"/>
        <v/>
      </c>
      <c r="P10" s="84"/>
      <c r="Q10" s="30"/>
      <c r="R10" s="30"/>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row>
    <row r="11" ht="30.0" customHeight="1">
      <c r="A11" s="30"/>
      <c r="B11" s="30"/>
      <c r="C11" s="70"/>
      <c r="D11" s="51"/>
      <c r="E11" s="51"/>
      <c r="F11" s="52"/>
      <c r="G11" s="53" t="str">
        <f t="shared" si="1"/>
        <v/>
      </c>
      <c r="H11" s="30"/>
      <c r="I11" s="77" t="s">
        <v>53</v>
      </c>
      <c r="J11" s="86">
        <v>4.0</v>
      </c>
      <c r="K11" s="77"/>
      <c r="L11" s="77">
        <v>1.5E-4</v>
      </c>
      <c r="M11" s="83" t="str">
        <f t="shared" si="2"/>
        <v/>
      </c>
      <c r="N11" s="84" t="str">
        <f t="shared" si="3"/>
        <v/>
      </c>
      <c r="O11" s="83" t="str">
        <f t="shared" si="4"/>
        <v/>
      </c>
      <c r="P11" s="84"/>
      <c r="Q11" s="30"/>
      <c r="R11" s="30"/>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row>
    <row r="12" ht="30.0" customHeight="1">
      <c r="A12" s="30"/>
      <c r="B12" s="30"/>
      <c r="C12" s="70"/>
      <c r="D12" s="51"/>
      <c r="E12" s="51"/>
      <c r="F12" s="52"/>
      <c r="G12" s="53" t="str">
        <f t="shared" si="1"/>
        <v/>
      </c>
      <c r="H12" s="30"/>
      <c r="I12" s="77" t="s">
        <v>54</v>
      </c>
      <c r="J12" s="86">
        <v>5.0</v>
      </c>
      <c r="K12" s="77"/>
      <c r="L12" s="77">
        <v>1.4E-4</v>
      </c>
      <c r="M12" s="77" t="str">
        <f t="shared" si="2"/>
        <v/>
      </c>
      <c r="N12" s="77" t="str">
        <f t="shared" si="3"/>
        <v/>
      </c>
      <c r="O12" s="83" t="str">
        <f t="shared" si="4"/>
        <v/>
      </c>
      <c r="P12" s="84"/>
      <c r="Q12" s="30"/>
      <c r="R12" s="30"/>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row>
    <row r="13" ht="30.0" customHeight="1">
      <c r="A13" s="30"/>
      <c r="B13" s="30"/>
      <c r="C13" s="70"/>
      <c r="D13" s="51"/>
      <c r="E13" s="51"/>
      <c r="F13" s="52"/>
      <c r="G13" s="53" t="str">
        <f t="shared" si="1"/>
        <v/>
      </c>
      <c r="H13" s="30"/>
      <c r="I13" s="77"/>
      <c r="J13" s="77"/>
      <c r="K13" s="77"/>
      <c r="L13" s="77">
        <v>1.3E-4</v>
      </c>
      <c r="M13" s="77" t="str">
        <f t="shared" si="2"/>
        <v/>
      </c>
      <c r="N13" s="77" t="str">
        <f t="shared" si="3"/>
        <v/>
      </c>
      <c r="O13" s="83" t="str">
        <f t="shared" si="4"/>
        <v/>
      </c>
      <c r="P13" s="84"/>
      <c r="Q13" s="30"/>
      <c r="R13" s="30"/>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row>
    <row r="14" ht="30.0" customHeight="1">
      <c r="A14" s="59"/>
      <c r="B14" s="30"/>
      <c r="C14" s="70"/>
      <c r="D14" s="51"/>
      <c r="E14" s="51"/>
      <c r="F14" s="52"/>
      <c r="G14" s="53" t="str">
        <f t="shared" si="1"/>
        <v/>
      </c>
      <c r="H14" s="30"/>
      <c r="I14" s="77" t="s">
        <v>68</v>
      </c>
      <c r="J14" s="77"/>
      <c r="K14" s="77"/>
      <c r="L14" s="77">
        <v>1.2E-4</v>
      </c>
      <c r="M14" s="77" t="str">
        <f t="shared" si="2"/>
        <v/>
      </c>
      <c r="N14" s="77" t="str">
        <f t="shared" si="3"/>
        <v/>
      </c>
      <c r="O14" s="83" t="str">
        <f t="shared" si="4"/>
        <v/>
      </c>
      <c r="P14" s="84"/>
      <c r="Q14" s="30"/>
      <c r="R14" s="30"/>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row>
    <row r="15" ht="30.0" customHeight="1">
      <c r="A15" s="59"/>
      <c r="B15" s="30"/>
      <c r="C15" s="70"/>
      <c r="D15" s="51"/>
      <c r="E15" s="51"/>
      <c r="F15" s="52"/>
      <c r="G15" s="53" t="str">
        <f t="shared" si="1"/>
        <v/>
      </c>
      <c r="H15" s="30"/>
      <c r="I15" s="86"/>
      <c r="J15" s="77"/>
      <c r="K15" s="77"/>
      <c r="L15" s="77">
        <v>1.1E-4</v>
      </c>
      <c r="M15" s="77" t="str">
        <f t="shared" si="2"/>
        <v/>
      </c>
      <c r="N15" s="77" t="str">
        <f t="shared" si="3"/>
        <v/>
      </c>
      <c r="O15" s="83" t="str">
        <f t="shared" si="4"/>
        <v/>
      </c>
      <c r="P15" s="84"/>
      <c r="Q15" s="30"/>
      <c r="R15" s="30"/>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row>
    <row r="16" ht="30.0" customHeight="1">
      <c r="A16" s="30"/>
      <c r="B16" s="30"/>
      <c r="C16" s="70"/>
      <c r="D16" s="51"/>
      <c r="E16" s="51"/>
      <c r="F16" s="52"/>
      <c r="G16" s="53" t="str">
        <f t="shared" si="1"/>
        <v/>
      </c>
      <c r="H16" s="30"/>
      <c r="I16" s="77" t="s">
        <v>71</v>
      </c>
      <c r="J16" s="86">
        <v>1.0</v>
      </c>
      <c r="K16" s="77"/>
      <c r="L16" s="77">
        <v>1.0E-4</v>
      </c>
      <c r="M16" s="77" t="str">
        <f t="shared" si="2"/>
        <v/>
      </c>
      <c r="N16" s="77" t="str">
        <f t="shared" si="3"/>
        <v/>
      </c>
      <c r="O16" s="83" t="str">
        <f t="shared" si="4"/>
        <v/>
      </c>
      <c r="P16" s="84"/>
      <c r="Q16" s="30"/>
      <c r="R16" s="30"/>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row>
    <row r="17" ht="30.0" customHeight="1">
      <c r="A17" s="30"/>
      <c r="B17" s="30"/>
      <c r="C17" s="70"/>
      <c r="D17" s="51"/>
      <c r="E17" s="51"/>
      <c r="F17" s="52"/>
      <c r="G17" s="53" t="str">
        <f t="shared" si="1"/>
        <v/>
      </c>
      <c r="H17" s="30"/>
      <c r="I17" s="77" t="s">
        <v>72</v>
      </c>
      <c r="J17" s="86">
        <v>2.0</v>
      </c>
      <c r="K17" s="77"/>
      <c r="L17" s="77">
        <v>9.0E-5</v>
      </c>
      <c r="M17" s="77" t="str">
        <f t="shared" si="2"/>
        <v/>
      </c>
      <c r="N17" s="77" t="str">
        <f t="shared" si="3"/>
        <v/>
      </c>
      <c r="O17" s="83" t="str">
        <f t="shared" si="4"/>
        <v/>
      </c>
      <c r="P17" s="84"/>
      <c r="Q17" s="30"/>
      <c r="R17" s="30"/>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row>
    <row r="18" ht="30.0" customHeight="1">
      <c r="A18" s="30"/>
      <c r="B18" s="30"/>
      <c r="C18" s="70"/>
      <c r="D18" s="51"/>
      <c r="E18" s="51"/>
      <c r="F18" s="52"/>
      <c r="G18" s="53" t="str">
        <f t="shared" si="1"/>
        <v/>
      </c>
      <c r="H18" s="30"/>
      <c r="I18" s="77" t="s">
        <v>73</v>
      </c>
      <c r="J18" s="86">
        <v>3.0</v>
      </c>
      <c r="K18" s="77"/>
      <c r="L18" s="77">
        <v>8.0E-5</v>
      </c>
      <c r="M18" s="77" t="str">
        <f t="shared" si="2"/>
        <v/>
      </c>
      <c r="N18" s="77" t="str">
        <f t="shared" si="3"/>
        <v/>
      </c>
      <c r="O18" s="83" t="str">
        <f t="shared" si="4"/>
        <v/>
      </c>
      <c r="P18" s="84"/>
      <c r="Q18" s="30"/>
      <c r="R18" s="30"/>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row>
    <row r="19" ht="30.0" customHeight="1">
      <c r="A19" s="30"/>
      <c r="B19" s="30"/>
      <c r="C19" s="70"/>
      <c r="D19" s="51"/>
      <c r="E19" s="51"/>
      <c r="F19" s="52"/>
      <c r="G19" s="53" t="str">
        <f t="shared" si="1"/>
        <v/>
      </c>
      <c r="H19" s="30"/>
      <c r="I19" s="77" t="s">
        <v>74</v>
      </c>
      <c r="J19" s="86">
        <v>4.0</v>
      </c>
      <c r="K19" s="77"/>
      <c r="L19" s="77">
        <v>7.0E-5</v>
      </c>
      <c r="M19" s="77" t="str">
        <f t="shared" si="2"/>
        <v/>
      </c>
      <c r="N19" s="77" t="str">
        <f t="shared" si="3"/>
        <v/>
      </c>
      <c r="O19" s="83" t="str">
        <f t="shared" si="4"/>
        <v/>
      </c>
      <c r="P19" s="84"/>
      <c r="Q19" s="30"/>
      <c r="R19" s="30"/>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row>
    <row r="20" ht="30.0" customHeight="1">
      <c r="A20" s="30"/>
      <c r="B20" s="30"/>
      <c r="C20" s="70"/>
      <c r="D20" s="51"/>
      <c r="E20" s="51"/>
      <c r="F20" s="52"/>
      <c r="G20" s="53" t="str">
        <f t="shared" si="1"/>
        <v/>
      </c>
      <c r="H20" s="30"/>
      <c r="I20" s="77" t="s">
        <v>75</v>
      </c>
      <c r="J20" s="86">
        <v>5.0</v>
      </c>
      <c r="K20" s="77"/>
      <c r="L20" s="77">
        <v>6.0E-5</v>
      </c>
      <c r="M20" s="77" t="str">
        <f t="shared" si="2"/>
        <v/>
      </c>
      <c r="N20" s="77" t="str">
        <f t="shared" si="3"/>
        <v/>
      </c>
      <c r="O20" s="83" t="str">
        <f t="shared" si="4"/>
        <v/>
      </c>
      <c r="P20" s="84"/>
      <c r="Q20" s="30"/>
      <c r="R20" s="30"/>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row>
    <row r="21" ht="30.0" customHeight="1">
      <c r="A21" s="30"/>
      <c r="B21" s="30"/>
      <c r="C21" s="70"/>
      <c r="D21" s="51"/>
      <c r="E21" s="51"/>
      <c r="F21" s="52"/>
      <c r="G21" s="53" t="str">
        <f t="shared" si="1"/>
        <v/>
      </c>
      <c r="H21" s="30"/>
      <c r="I21" s="77"/>
      <c r="J21" s="77"/>
      <c r="K21" s="77"/>
      <c r="L21" s="77">
        <v>5.0E-5</v>
      </c>
      <c r="M21" s="77" t="str">
        <f t="shared" si="2"/>
        <v/>
      </c>
      <c r="N21" s="77" t="str">
        <f t="shared" si="3"/>
        <v/>
      </c>
      <c r="O21" s="83" t="str">
        <f t="shared" si="4"/>
        <v/>
      </c>
      <c r="P21" s="84"/>
      <c r="Q21" s="30"/>
      <c r="R21" s="30"/>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row>
    <row r="22" ht="30.0" customHeight="1">
      <c r="A22" s="30"/>
      <c r="B22" s="30"/>
      <c r="C22" s="70"/>
      <c r="D22" s="51"/>
      <c r="E22" s="51"/>
      <c r="F22" s="52"/>
      <c r="G22" s="53" t="str">
        <f t="shared" si="1"/>
        <v/>
      </c>
      <c r="H22" s="30"/>
      <c r="I22" s="77" t="s">
        <v>43</v>
      </c>
      <c r="J22" s="77"/>
      <c r="K22" s="77"/>
      <c r="L22" s="77">
        <v>4.0E-5</v>
      </c>
      <c r="M22" s="77" t="str">
        <f t="shared" si="2"/>
        <v/>
      </c>
      <c r="N22" s="77" t="str">
        <f t="shared" si="3"/>
        <v/>
      </c>
      <c r="O22" s="83" t="str">
        <f t="shared" si="4"/>
        <v/>
      </c>
      <c r="P22" s="84"/>
      <c r="Q22" s="30"/>
      <c r="R22" s="30"/>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row>
    <row r="23" ht="30.0" customHeight="1">
      <c r="A23" s="59"/>
      <c r="B23" s="30"/>
      <c r="C23" s="70"/>
      <c r="D23" s="51"/>
      <c r="E23" s="51"/>
      <c r="F23" s="52"/>
      <c r="G23" s="53" t="str">
        <f t="shared" si="1"/>
        <v/>
      </c>
      <c r="H23" s="30"/>
      <c r="I23" s="86"/>
      <c r="J23" s="77"/>
      <c r="K23" s="77"/>
      <c r="L23" s="77">
        <v>3.0E-5</v>
      </c>
      <c r="M23" s="77" t="str">
        <f t="shared" si="2"/>
        <v/>
      </c>
      <c r="N23" s="77" t="str">
        <f t="shared" si="3"/>
        <v/>
      </c>
      <c r="O23" s="83" t="str">
        <f t="shared" si="4"/>
        <v/>
      </c>
      <c r="P23" s="84"/>
      <c r="Q23" s="30"/>
      <c r="R23" s="30"/>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row>
    <row r="24" ht="30.0" customHeight="1">
      <c r="A24" s="59"/>
      <c r="B24" s="30"/>
      <c r="C24" s="70"/>
      <c r="D24" s="51"/>
      <c r="E24" s="51"/>
      <c r="F24" s="52"/>
      <c r="G24" s="53" t="str">
        <f t="shared" si="1"/>
        <v/>
      </c>
      <c r="H24" s="30"/>
      <c r="I24" s="77" t="s">
        <v>60</v>
      </c>
      <c r="J24" s="86">
        <v>5.0</v>
      </c>
      <c r="K24" s="77"/>
      <c r="L24" s="77">
        <v>2.0E-5</v>
      </c>
      <c r="M24" s="77" t="str">
        <f t="shared" si="2"/>
        <v/>
      </c>
      <c r="N24" s="77" t="str">
        <f t="shared" si="3"/>
        <v/>
      </c>
      <c r="O24" s="83" t="str">
        <f t="shared" si="4"/>
        <v/>
      </c>
      <c r="P24" s="84"/>
      <c r="Q24" s="30"/>
      <c r="R24" s="30"/>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row>
    <row r="25" ht="30.0" customHeight="1">
      <c r="A25" s="30"/>
      <c r="B25" s="30"/>
      <c r="C25" s="70"/>
      <c r="D25" s="51"/>
      <c r="E25" s="51"/>
      <c r="F25" s="52"/>
      <c r="G25" s="53" t="str">
        <f t="shared" si="1"/>
        <v/>
      </c>
      <c r="H25" s="30"/>
      <c r="I25" s="77" t="s">
        <v>61</v>
      </c>
      <c r="J25" s="86">
        <v>4.0</v>
      </c>
      <c r="K25" s="77"/>
      <c r="L25" s="77">
        <v>1.0E-5</v>
      </c>
      <c r="M25" s="77" t="str">
        <f t="shared" si="2"/>
        <v/>
      </c>
      <c r="N25" s="77" t="str">
        <f t="shared" si="3"/>
        <v/>
      </c>
      <c r="O25" s="83" t="str">
        <f t="shared" si="4"/>
        <v/>
      </c>
      <c r="P25" s="84"/>
      <c r="Q25" s="30"/>
      <c r="R25" s="30"/>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row>
    <row r="26" ht="30.0" customHeight="1">
      <c r="A26" s="30"/>
      <c r="B26" s="30"/>
      <c r="C26" s="60" t="s">
        <v>76</v>
      </c>
      <c r="D26" s="61"/>
      <c r="E26" s="61"/>
      <c r="F26" s="62" t="s">
        <v>64</v>
      </c>
      <c r="G26" s="63">
        <f>SUM(G6:G25)</f>
        <v>0</v>
      </c>
      <c r="H26" s="30"/>
      <c r="I26" s="77" t="s">
        <v>62</v>
      </c>
      <c r="J26" s="86">
        <v>3.0</v>
      </c>
      <c r="K26" s="77"/>
      <c r="L26" s="77"/>
      <c r="M26" s="77"/>
      <c r="N26" s="77"/>
      <c r="O26" s="83"/>
      <c r="P26" s="84"/>
      <c r="Q26" s="30"/>
      <c r="R26" s="30"/>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row>
    <row r="27" ht="30.0" customHeight="1">
      <c r="A27" s="30"/>
      <c r="B27" s="30"/>
      <c r="H27" s="30"/>
      <c r="I27" s="77" t="s">
        <v>65</v>
      </c>
      <c r="J27" s="86">
        <v>2.0</v>
      </c>
      <c r="K27" s="77"/>
      <c r="L27" s="77"/>
      <c r="M27" s="77"/>
      <c r="N27" s="77"/>
      <c r="O27" s="83"/>
      <c r="P27" s="84"/>
      <c r="Q27" s="30"/>
      <c r="R27" s="30"/>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row>
    <row r="28" ht="30.0" customHeight="1">
      <c r="A28" s="30"/>
      <c r="B28" s="30"/>
      <c r="H28" s="30"/>
      <c r="I28" s="77" t="s">
        <v>66</v>
      </c>
      <c r="J28" s="86">
        <v>1.0</v>
      </c>
      <c r="K28" s="77"/>
      <c r="L28" s="77"/>
      <c r="M28" s="77"/>
      <c r="N28" s="77"/>
      <c r="O28" s="83"/>
      <c r="P28" s="84"/>
      <c r="Q28" s="30"/>
      <c r="R28" s="30"/>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row>
    <row r="29" ht="30.0" customHeight="1">
      <c r="A29" s="30"/>
      <c r="B29" s="30"/>
      <c r="H29" s="30"/>
      <c r="I29" s="77"/>
      <c r="J29" s="77"/>
      <c r="K29" s="77"/>
      <c r="L29" s="77"/>
      <c r="M29" s="77"/>
      <c r="N29" s="77"/>
      <c r="O29" s="83"/>
      <c r="P29" s="84"/>
      <c r="Q29" s="30"/>
      <c r="R29" s="30"/>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row>
    <row r="30" ht="30.0" customHeight="1">
      <c r="A30" s="30"/>
      <c r="B30" s="30"/>
      <c r="H30" s="30"/>
      <c r="I30" s="77"/>
      <c r="J30" s="77"/>
      <c r="K30" s="77"/>
      <c r="L30" s="77"/>
      <c r="M30" s="77"/>
      <c r="N30" s="77"/>
      <c r="O30" s="83"/>
      <c r="P30" s="84"/>
      <c r="Q30" s="30"/>
      <c r="R30" s="30"/>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row>
    <row r="31" ht="30.0" customHeight="1">
      <c r="A31" s="30"/>
      <c r="B31" s="30"/>
      <c r="H31" s="30"/>
      <c r="I31" s="77"/>
      <c r="J31" s="77"/>
      <c r="K31" s="77"/>
      <c r="L31" s="77"/>
      <c r="M31" s="77"/>
      <c r="N31" s="77"/>
      <c r="O31" s="83"/>
      <c r="P31" s="84"/>
      <c r="Q31" s="30"/>
      <c r="R31" s="30"/>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row>
    <row r="32" ht="30.0" customHeight="1">
      <c r="A32" s="30"/>
      <c r="B32" s="30"/>
      <c r="H32" s="30"/>
      <c r="I32" s="77"/>
      <c r="J32" s="77"/>
      <c r="K32" s="77"/>
      <c r="L32" s="77"/>
      <c r="M32" s="77"/>
      <c r="N32" s="77"/>
      <c r="O32" s="83"/>
      <c r="P32" s="84"/>
      <c r="Q32" s="30"/>
      <c r="R32" s="30"/>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row>
    <row r="33" ht="30.0" customHeight="1">
      <c r="A33" s="30"/>
      <c r="B33" s="30"/>
      <c r="H33" s="30"/>
      <c r="I33" s="77"/>
      <c r="J33" s="77"/>
      <c r="K33" s="77"/>
      <c r="L33" s="77"/>
      <c r="M33" s="77"/>
      <c r="N33" s="77"/>
      <c r="O33" s="83"/>
      <c r="P33" s="84"/>
      <c r="Q33" s="30"/>
      <c r="R33" s="30"/>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row>
    <row r="34" ht="30.0" customHeight="1">
      <c r="A34" s="30"/>
      <c r="B34" s="30"/>
      <c r="H34" s="30"/>
      <c r="I34" s="77"/>
      <c r="J34" s="77"/>
      <c r="K34" s="77"/>
      <c r="L34" s="77"/>
      <c r="M34" s="77"/>
      <c r="N34" s="77"/>
      <c r="O34" s="83"/>
      <c r="P34" s="84"/>
      <c r="Q34" s="30"/>
      <c r="R34" s="30"/>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row>
    <row r="35" ht="30.0" customHeight="1">
      <c r="A35" s="30"/>
      <c r="B35" s="30"/>
      <c r="H35" s="30"/>
      <c r="I35" s="77"/>
      <c r="J35" s="77"/>
      <c r="K35" s="77"/>
      <c r="L35" s="77"/>
      <c r="M35" s="77"/>
      <c r="N35" s="77"/>
      <c r="O35" s="83"/>
      <c r="P35" s="84"/>
      <c r="Q35" s="30"/>
      <c r="R35" s="30"/>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row>
    <row r="36" ht="30.0" customHeight="1">
      <c r="A36" s="30"/>
      <c r="B36" s="30"/>
      <c r="H36" s="30"/>
      <c r="I36" s="77"/>
      <c r="J36" s="77"/>
      <c r="K36" s="77"/>
      <c r="L36" s="77"/>
      <c r="M36" s="77"/>
      <c r="N36" s="77"/>
      <c r="O36" s="83"/>
      <c r="P36" s="84"/>
      <c r="Q36" s="30"/>
      <c r="R36" s="30"/>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row>
    <row r="37" ht="30.0" customHeight="1">
      <c r="A37" s="30"/>
      <c r="B37" s="30"/>
      <c r="H37" s="30"/>
      <c r="I37" s="77"/>
      <c r="J37" s="77"/>
      <c r="K37" s="77"/>
      <c r="L37" s="77"/>
      <c r="M37" s="77"/>
      <c r="N37" s="77"/>
      <c r="O37" s="83"/>
      <c r="P37" s="84"/>
      <c r="Q37" s="30"/>
      <c r="R37" s="30"/>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row>
    <row r="38" ht="30.0" customHeight="1">
      <c r="A38" s="30"/>
      <c r="B38" s="30"/>
      <c r="H38" s="30"/>
      <c r="I38" s="77"/>
      <c r="J38" s="77"/>
      <c r="K38" s="77"/>
      <c r="L38" s="77"/>
      <c r="M38" s="77"/>
      <c r="N38" s="77"/>
      <c r="O38" s="83"/>
      <c r="P38" s="84"/>
      <c r="Q38" s="30"/>
      <c r="R38" s="30"/>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row>
    <row r="39" ht="30.0" customHeight="1">
      <c r="A39" s="30"/>
      <c r="B39" s="30"/>
      <c r="H39" s="30"/>
      <c r="I39" s="77"/>
      <c r="J39" s="77"/>
      <c r="K39" s="77"/>
      <c r="L39" s="77"/>
      <c r="M39" s="77"/>
      <c r="N39" s="77"/>
      <c r="O39" s="83"/>
      <c r="P39" s="84"/>
      <c r="Q39" s="30"/>
      <c r="R39" s="30"/>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row>
    <row r="40" ht="30.0" customHeight="1">
      <c r="A40" s="30"/>
      <c r="B40" s="30"/>
      <c r="H40" s="30"/>
      <c r="I40" s="77"/>
      <c r="J40" s="77"/>
      <c r="K40" s="77"/>
      <c r="L40" s="77"/>
      <c r="M40" s="77"/>
      <c r="N40" s="77"/>
      <c r="O40" s="83"/>
      <c r="P40" s="84"/>
      <c r="Q40" s="30"/>
      <c r="R40" s="30"/>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row>
    <row r="41" ht="30.0" customHeight="1">
      <c r="A41" s="30"/>
      <c r="B41" s="30"/>
      <c r="H41" s="30"/>
      <c r="I41" s="77"/>
      <c r="J41" s="77"/>
      <c r="K41" s="77"/>
      <c r="L41" s="77"/>
      <c r="M41" s="77"/>
      <c r="N41" s="77"/>
      <c r="O41" s="83"/>
      <c r="P41" s="84"/>
      <c r="Q41" s="30"/>
      <c r="R41" s="30"/>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row>
    <row r="42" ht="30.0" customHeight="1">
      <c r="A42" s="30"/>
      <c r="B42" s="30"/>
      <c r="H42" s="30"/>
      <c r="I42" s="77"/>
      <c r="J42" s="77"/>
      <c r="K42" s="77"/>
      <c r="L42" s="77"/>
      <c r="M42" s="77"/>
      <c r="N42" s="77"/>
      <c r="O42" s="83"/>
      <c r="P42" s="84"/>
      <c r="Q42" s="30"/>
      <c r="R42" s="30"/>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row>
    <row r="43" ht="30.0" customHeight="1">
      <c r="A43" s="30"/>
      <c r="B43" s="30"/>
      <c r="H43" s="30"/>
      <c r="I43" s="77"/>
      <c r="J43" s="77"/>
      <c r="K43" s="77"/>
      <c r="L43" s="77"/>
      <c r="M43" s="77"/>
      <c r="N43" s="77"/>
      <c r="O43" s="83"/>
      <c r="P43" s="84"/>
      <c r="Q43" s="30"/>
      <c r="R43" s="30"/>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row>
    <row r="44" ht="30.0" customHeight="1">
      <c r="A44" s="30"/>
      <c r="B44" s="30"/>
      <c r="H44" s="30"/>
      <c r="I44" s="77"/>
      <c r="J44" s="77"/>
      <c r="K44" s="77"/>
      <c r="L44" s="77"/>
      <c r="M44" s="77"/>
      <c r="N44" s="77"/>
      <c r="O44" s="83"/>
      <c r="P44" s="84"/>
      <c r="Q44" s="30"/>
      <c r="R44" s="30"/>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row>
    <row r="45" ht="30.0" customHeight="1">
      <c r="A45" s="30"/>
      <c r="B45" s="30"/>
      <c r="H45" s="30"/>
      <c r="I45" s="77"/>
      <c r="J45" s="77"/>
      <c r="K45" s="77"/>
      <c r="L45" s="77"/>
      <c r="M45" s="77"/>
      <c r="N45" s="77"/>
      <c r="O45" s="83"/>
      <c r="P45" s="88"/>
      <c r="Q45" s="30"/>
      <c r="R45" s="30"/>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row>
    <row r="46" ht="37.5" customHeight="1">
      <c r="A46" s="30"/>
      <c r="B46" s="30"/>
      <c r="H46" s="30"/>
      <c r="I46" s="77"/>
      <c r="J46" s="77"/>
      <c r="K46" s="77"/>
      <c r="L46" s="77"/>
      <c r="M46" s="77"/>
      <c r="N46" s="84"/>
      <c r="O46" s="77"/>
      <c r="P46" s="77"/>
      <c r="Q46" s="30"/>
      <c r="R46" s="30"/>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row>
    <row r="47" ht="30.0" customHeight="1">
      <c r="A47" s="30"/>
      <c r="B47" s="30"/>
      <c r="H47" s="30"/>
      <c r="I47" s="77"/>
      <c r="J47" s="77"/>
      <c r="K47" s="77"/>
      <c r="L47" s="77"/>
      <c r="M47" s="77"/>
      <c r="N47" s="84"/>
      <c r="O47" s="77"/>
      <c r="P47" s="77"/>
      <c r="Q47" s="30"/>
      <c r="R47" s="30"/>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row>
    <row r="48" ht="30.0" customHeight="1">
      <c r="A48" s="30"/>
      <c r="B48" s="30"/>
      <c r="H48" s="30"/>
      <c r="I48" s="77"/>
      <c r="J48" s="77"/>
      <c r="K48" s="77"/>
      <c r="L48" s="77"/>
      <c r="M48" s="77"/>
      <c r="N48" s="84"/>
      <c r="O48" s="77"/>
      <c r="P48" s="77"/>
      <c r="Q48" s="30"/>
      <c r="R48" s="30"/>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row>
    <row r="49" ht="30.0" customHeight="1">
      <c r="A49" s="30"/>
      <c r="B49" s="30"/>
      <c r="D49" s="66"/>
      <c r="E49" s="66"/>
      <c r="H49" s="30"/>
      <c r="I49" s="77"/>
      <c r="J49" s="77"/>
      <c r="K49" s="77"/>
      <c r="L49" s="77"/>
      <c r="M49" s="77"/>
      <c r="N49" s="84"/>
      <c r="O49" s="77"/>
      <c r="P49" s="77"/>
      <c r="Q49" s="30"/>
      <c r="R49" s="30"/>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row>
    <row r="50" ht="30.0" hidden="1" customHeight="1">
      <c r="A50" s="30"/>
      <c r="B50" s="30"/>
      <c r="D50" s="66"/>
      <c r="E50" s="66"/>
      <c r="H50" s="30"/>
      <c r="I50" s="77"/>
      <c r="J50" s="77"/>
      <c r="K50" s="77"/>
      <c r="L50" s="77"/>
      <c r="M50" s="77"/>
      <c r="N50" s="84"/>
      <c r="O50" s="77"/>
      <c r="P50" s="77"/>
      <c r="Q50" s="30"/>
      <c r="R50" s="30"/>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row>
    <row r="51" ht="30.0" hidden="1" customHeight="1">
      <c r="A51" s="30"/>
      <c r="B51" s="30"/>
      <c r="D51" s="66"/>
      <c r="E51" s="66"/>
      <c r="H51" s="30"/>
      <c r="I51" s="77"/>
      <c r="J51" s="77"/>
      <c r="K51" s="77"/>
      <c r="L51" s="77"/>
      <c r="M51" s="77"/>
      <c r="N51" s="84"/>
      <c r="O51" s="77"/>
      <c r="P51" s="77"/>
      <c r="Q51" s="30"/>
      <c r="R51" s="30"/>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row>
    <row r="52" ht="30.0" hidden="1" customHeight="1">
      <c r="A52" s="30"/>
      <c r="B52" s="30"/>
      <c r="D52" s="66"/>
      <c r="E52" s="66"/>
      <c r="H52" s="30"/>
      <c r="I52" s="77"/>
      <c r="J52" s="77"/>
      <c r="K52" s="77"/>
      <c r="L52" s="77"/>
      <c r="M52" s="77"/>
      <c r="N52" s="84"/>
      <c r="O52" s="77"/>
      <c r="P52" s="77"/>
      <c r="Q52" s="30"/>
      <c r="R52" s="30"/>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row>
    <row r="53" ht="30.0" hidden="1" customHeight="1">
      <c r="A53" s="30"/>
      <c r="B53" s="30"/>
      <c r="D53" s="66"/>
      <c r="E53" s="66"/>
      <c r="H53" s="30"/>
      <c r="I53" s="77"/>
      <c r="J53" s="77"/>
      <c r="K53" s="77"/>
      <c r="L53" s="77"/>
      <c r="M53" s="77"/>
      <c r="N53" s="84"/>
      <c r="O53" s="77"/>
      <c r="P53" s="77"/>
      <c r="Q53" s="30"/>
      <c r="R53" s="30"/>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row>
    <row r="54" ht="30.0" hidden="1" customHeight="1">
      <c r="A54" s="30"/>
      <c r="B54" s="30"/>
      <c r="D54" s="66"/>
      <c r="E54" s="66"/>
      <c r="H54" s="30"/>
      <c r="I54" s="77"/>
      <c r="J54" s="77"/>
      <c r="K54" s="77"/>
      <c r="L54" s="77"/>
      <c r="M54" s="77"/>
      <c r="N54" s="84"/>
      <c r="O54" s="77"/>
      <c r="P54" s="77"/>
      <c r="Q54" s="30"/>
      <c r="R54" s="30"/>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row>
    <row r="55" ht="30.0" hidden="1" customHeight="1">
      <c r="A55" s="59"/>
      <c r="B55" s="30"/>
      <c r="D55" s="66"/>
      <c r="E55" s="66"/>
      <c r="H55" s="30"/>
      <c r="I55" s="77"/>
      <c r="J55" s="77"/>
      <c r="K55" s="77"/>
      <c r="L55" s="77"/>
      <c r="M55" s="77"/>
      <c r="N55" s="84"/>
      <c r="O55" s="77"/>
      <c r="P55" s="77"/>
      <c r="Q55" s="30"/>
      <c r="R55" s="30"/>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row>
    <row r="56" ht="30.0" hidden="1" customHeight="1">
      <c r="A56" s="59"/>
      <c r="B56" s="30"/>
      <c r="D56" s="66"/>
      <c r="E56" s="66"/>
      <c r="H56" s="30"/>
      <c r="I56" s="77"/>
      <c r="J56" s="77"/>
      <c r="K56" s="77"/>
      <c r="L56" s="77"/>
      <c r="M56" s="77"/>
      <c r="N56" s="84"/>
      <c r="O56" s="77"/>
      <c r="P56" s="77"/>
      <c r="Q56" s="30"/>
      <c r="R56" s="30"/>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row>
    <row r="57" ht="30.0" hidden="1" customHeight="1">
      <c r="A57" s="59"/>
      <c r="B57" s="30"/>
      <c r="D57" s="66"/>
      <c r="E57" s="66"/>
      <c r="H57" s="30"/>
      <c r="I57" s="77"/>
      <c r="J57" s="77"/>
      <c r="K57" s="77"/>
      <c r="L57" s="77"/>
      <c r="M57" s="77"/>
      <c r="N57" s="84"/>
      <c r="O57" s="77"/>
      <c r="P57" s="77"/>
      <c r="Q57" s="30"/>
      <c r="R57" s="30"/>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row>
    <row r="58" ht="30.0" hidden="1" customHeight="1">
      <c r="A58" s="30"/>
      <c r="B58" s="30"/>
      <c r="D58" s="66"/>
      <c r="E58" s="66"/>
      <c r="H58" s="30"/>
      <c r="I58" s="77"/>
      <c r="J58" s="77"/>
      <c r="K58" s="77"/>
      <c r="L58" s="77"/>
      <c r="M58" s="77"/>
      <c r="N58" s="84"/>
      <c r="O58" s="77"/>
      <c r="P58" s="77"/>
      <c r="Q58" s="30"/>
      <c r="R58" s="30"/>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row>
    <row r="59" ht="30.0" hidden="1" customHeight="1">
      <c r="A59" s="30"/>
      <c r="B59" s="30"/>
      <c r="D59" s="66"/>
      <c r="E59" s="66"/>
      <c r="H59" s="30"/>
      <c r="I59" s="77"/>
      <c r="J59" s="77"/>
      <c r="K59" s="77"/>
      <c r="L59" s="77"/>
      <c r="M59" s="77"/>
      <c r="N59" s="84"/>
      <c r="O59" s="77"/>
      <c r="P59" s="77"/>
      <c r="Q59" s="30"/>
      <c r="R59" s="30"/>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row>
    <row r="60" ht="30.0" hidden="1" customHeight="1">
      <c r="A60" s="30"/>
      <c r="B60" s="30"/>
      <c r="D60" s="66"/>
      <c r="E60" s="66"/>
      <c r="H60" s="30"/>
      <c r="I60" s="77"/>
      <c r="J60" s="77"/>
      <c r="K60" s="77"/>
      <c r="L60" s="77"/>
      <c r="M60" s="77"/>
      <c r="N60" s="84"/>
      <c r="O60" s="77"/>
      <c r="P60" s="77"/>
      <c r="Q60" s="30"/>
      <c r="R60" s="30"/>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row>
    <row r="61" ht="30.0" hidden="1" customHeight="1">
      <c r="A61" s="30"/>
      <c r="B61" s="30"/>
      <c r="D61" s="66"/>
      <c r="E61" s="66"/>
      <c r="H61" s="30"/>
      <c r="I61" s="77"/>
      <c r="J61" s="77"/>
      <c r="K61" s="77"/>
      <c r="L61" s="77"/>
      <c r="M61" s="77"/>
      <c r="N61" s="84"/>
      <c r="O61" s="77"/>
      <c r="P61" s="77"/>
      <c r="Q61" s="30"/>
      <c r="R61" s="30"/>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row>
    <row r="62" ht="30.0" hidden="1" customHeight="1">
      <c r="A62" s="30"/>
      <c r="B62" s="30"/>
      <c r="D62" s="66"/>
      <c r="E62" s="66"/>
      <c r="H62" s="30"/>
      <c r="I62" s="77"/>
      <c r="J62" s="77"/>
      <c r="K62" s="77"/>
      <c r="L62" s="77"/>
      <c r="M62" s="77"/>
      <c r="N62" s="84"/>
      <c r="O62" s="77"/>
      <c r="P62" s="77"/>
      <c r="Q62" s="30"/>
      <c r="R62" s="30"/>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row>
    <row r="63" ht="30.0" hidden="1" customHeight="1">
      <c r="A63" s="30"/>
      <c r="B63" s="30"/>
      <c r="D63" s="66"/>
      <c r="E63" s="66"/>
      <c r="H63" s="30"/>
      <c r="I63" s="77"/>
      <c r="J63" s="77"/>
      <c r="K63" s="77"/>
      <c r="L63" s="77"/>
      <c r="M63" s="77"/>
      <c r="N63" s="84"/>
      <c r="O63" s="77"/>
      <c r="P63" s="77"/>
      <c r="Q63" s="30"/>
      <c r="R63" s="30"/>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row>
    <row r="64" ht="30.0" hidden="1" customHeight="1">
      <c r="A64" s="30"/>
      <c r="B64" s="30"/>
      <c r="D64" s="66"/>
      <c r="E64" s="66"/>
      <c r="H64" s="30"/>
      <c r="I64" s="77"/>
      <c r="J64" s="77"/>
      <c r="K64" s="77"/>
      <c r="L64" s="77"/>
      <c r="M64" s="77"/>
      <c r="N64" s="84"/>
      <c r="O64" s="77"/>
      <c r="P64" s="77"/>
      <c r="Q64" s="30"/>
      <c r="R64" s="30"/>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row>
    <row r="65" ht="14.25" customHeight="1">
      <c r="A65" s="30"/>
      <c r="B65" s="30"/>
      <c r="D65" s="66"/>
      <c r="E65" s="66"/>
      <c r="H65" s="30"/>
      <c r="I65" s="77"/>
      <c r="J65" s="77"/>
      <c r="K65" s="77"/>
      <c r="L65" s="77"/>
      <c r="M65" s="77"/>
      <c r="N65" s="77"/>
      <c r="O65" s="77"/>
      <c r="P65" s="77"/>
      <c r="Q65" s="30"/>
      <c r="R65" s="30"/>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row>
    <row r="66" ht="14.25" customHeight="1">
      <c r="A66" s="30"/>
      <c r="B66" s="30"/>
      <c r="D66" s="66"/>
      <c r="E66" s="66"/>
      <c r="H66" s="30"/>
      <c r="I66" s="77"/>
      <c r="J66" s="77"/>
      <c r="K66" s="77"/>
      <c r="L66" s="77"/>
      <c r="M66" s="77"/>
      <c r="N66" s="77"/>
      <c r="O66" s="77"/>
      <c r="P66" s="77"/>
      <c r="Q66" s="30"/>
      <c r="R66" s="30"/>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row>
    <row r="67" ht="14.25" customHeight="1">
      <c r="A67" s="30"/>
      <c r="B67" s="30"/>
      <c r="D67" s="66"/>
      <c r="E67" s="66"/>
      <c r="H67" s="30"/>
      <c r="I67" s="77"/>
      <c r="J67" s="77"/>
      <c r="K67" s="77"/>
      <c r="L67" s="77"/>
      <c r="M67" s="77"/>
      <c r="N67" s="77"/>
      <c r="O67" s="77"/>
      <c r="P67" s="77"/>
      <c r="Q67" s="30"/>
      <c r="R67" s="30"/>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row>
    <row r="68" ht="14.25" customHeight="1">
      <c r="A68" s="30"/>
      <c r="B68" s="30"/>
      <c r="D68" s="66"/>
      <c r="E68" s="66"/>
      <c r="H68" s="30"/>
      <c r="I68" s="77"/>
      <c r="J68" s="77"/>
      <c r="K68" s="77"/>
      <c r="L68" s="77"/>
      <c r="M68" s="77"/>
      <c r="N68" s="77"/>
      <c r="O68" s="77"/>
      <c r="P68" s="77"/>
      <c r="Q68" s="30"/>
      <c r="R68" s="30"/>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row>
    <row r="69" ht="14.25" customHeight="1">
      <c r="A69" s="30"/>
      <c r="B69" s="30"/>
      <c r="D69" s="66"/>
      <c r="E69" s="66"/>
      <c r="H69" s="30"/>
      <c r="I69" s="77"/>
      <c r="J69" s="77"/>
      <c r="K69" s="77"/>
      <c r="L69" s="77"/>
      <c r="M69" s="77"/>
      <c r="N69" s="77"/>
      <c r="O69" s="77"/>
      <c r="P69" s="77"/>
      <c r="Q69" s="30"/>
      <c r="R69" s="30"/>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row>
    <row r="70" ht="14.25" customHeight="1">
      <c r="A70" s="30"/>
      <c r="B70" s="30"/>
      <c r="D70" s="66"/>
      <c r="E70" s="66"/>
      <c r="H70" s="30"/>
      <c r="I70" s="77"/>
      <c r="J70" s="77"/>
      <c r="K70" s="77"/>
      <c r="L70" s="77"/>
      <c r="M70" s="77"/>
      <c r="N70" s="77"/>
      <c r="O70" s="77"/>
      <c r="P70" s="77"/>
      <c r="Q70" s="30"/>
      <c r="R70" s="30"/>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row>
    <row r="71" ht="14.25" customHeight="1">
      <c r="A71" s="30"/>
      <c r="B71" s="30"/>
      <c r="D71" s="66"/>
      <c r="E71" s="66"/>
      <c r="H71" s="30"/>
      <c r="I71" s="77"/>
      <c r="J71" s="77"/>
      <c r="K71" s="77"/>
      <c r="L71" s="77"/>
      <c r="M71" s="77"/>
      <c r="N71" s="77"/>
      <c r="O71" s="77"/>
      <c r="P71" s="77"/>
      <c r="Q71" s="30"/>
      <c r="R71" s="30"/>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row>
    <row r="72" ht="14.25" customHeight="1">
      <c r="A72" s="30"/>
      <c r="B72" s="30"/>
      <c r="D72" s="66"/>
      <c r="E72" s="66"/>
      <c r="H72" s="30"/>
      <c r="I72" s="77"/>
      <c r="J72" s="77"/>
      <c r="K72" s="77"/>
      <c r="L72" s="77"/>
      <c r="M72" s="77"/>
      <c r="N72" s="77"/>
      <c r="O72" s="77"/>
      <c r="P72" s="77"/>
      <c r="Q72" s="30"/>
      <c r="R72" s="30"/>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row>
    <row r="73" ht="14.25" customHeight="1">
      <c r="A73" s="30"/>
      <c r="B73" s="30"/>
      <c r="D73" s="66"/>
      <c r="E73" s="66"/>
      <c r="H73" s="30"/>
      <c r="I73" s="77"/>
      <c r="J73" s="77"/>
      <c r="K73" s="77"/>
      <c r="L73" s="77"/>
      <c r="M73" s="77"/>
      <c r="N73" s="77"/>
      <c r="O73" s="77"/>
      <c r="P73" s="77"/>
      <c r="Q73" s="30"/>
      <c r="R73" s="30"/>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row>
    <row r="74" ht="14.25" customHeight="1">
      <c r="A74" s="30"/>
      <c r="B74" s="30"/>
      <c r="D74" s="66"/>
      <c r="E74" s="66"/>
      <c r="H74" s="30"/>
      <c r="I74" s="77"/>
      <c r="J74" s="77"/>
      <c r="K74" s="77"/>
      <c r="L74" s="77"/>
      <c r="M74" s="77"/>
      <c r="N74" s="77"/>
      <c r="O74" s="77"/>
      <c r="P74" s="77"/>
      <c r="Q74" s="30"/>
      <c r="R74" s="30"/>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row>
    <row r="75" ht="14.25" customHeight="1">
      <c r="A75" s="30"/>
      <c r="B75" s="30"/>
      <c r="D75" s="66"/>
      <c r="E75" s="66"/>
      <c r="H75" s="30"/>
      <c r="I75" s="77"/>
      <c r="J75" s="77"/>
      <c r="K75" s="77"/>
      <c r="L75" s="77"/>
      <c r="M75" s="77"/>
      <c r="N75" s="77"/>
      <c r="O75" s="77"/>
      <c r="P75" s="77"/>
      <c r="Q75" s="30"/>
      <c r="R75" s="30"/>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row>
    <row r="76" ht="14.25" customHeight="1">
      <c r="A76" s="30"/>
      <c r="B76" s="30"/>
      <c r="D76" s="66"/>
      <c r="E76" s="66"/>
      <c r="H76" s="30"/>
      <c r="I76" s="77"/>
      <c r="J76" s="77"/>
      <c r="K76" s="77"/>
      <c r="L76" s="77"/>
      <c r="M76" s="77"/>
      <c r="N76" s="77"/>
      <c r="O76" s="77"/>
      <c r="P76" s="77"/>
      <c r="Q76" s="30"/>
      <c r="R76" s="30"/>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row>
    <row r="77" ht="14.25" customHeight="1">
      <c r="A77" s="30"/>
      <c r="B77" s="30"/>
      <c r="D77" s="66"/>
      <c r="E77" s="66"/>
      <c r="H77" s="30"/>
      <c r="I77" s="77"/>
      <c r="J77" s="77"/>
      <c r="K77" s="77"/>
      <c r="L77" s="77"/>
      <c r="M77" s="77"/>
      <c r="N77" s="77"/>
      <c r="O77" s="77"/>
      <c r="P77" s="77"/>
      <c r="Q77" s="30"/>
      <c r="R77" s="30"/>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row>
    <row r="78" ht="14.25" customHeight="1">
      <c r="A78" s="30"/>
      <c r="B78" s="30"/>
      <c r="D78" s="66"/>
      <c r="E78" s="66"/>
      <c r="H78" s="30"/>
      <c r="I78" s="77"/>
      <c r="J78" s="77"/>
      <c r="K78" s="77"/>
      <c r="L78" s="77"/>
      <c r="M78" s="77"/>
      <c r="N78" s="77"/>
      <c r="O78" s="77"/>
      <c r="P78" s="77"/>
      <c r="Q78" s="30"/>
      <c r="R78" s="30"/>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row>
    <row r="79" ht="14.25" customHeight="1">
      <c r="A79" s="30"/>
      <c r="B79" s="30"/>
      <c r="D79" s="66"/>
      <c r="E79" s="66"/>
      <c r="H79" s="30"/>
      <c r="I79" s="77"/>
      <c r="J79" s="77"/>
      <c r="K79" s="77"/>
      <c r="L79" s="77"/>
      <c r="M79" s="77"/>
      <c r="N79" s="77"/>
      <c r="O79" s="77"/>
      <c r="P79" s="77"/>
      <c r="Q79" s="30"/>
      <c r="R79" s="30"/>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row>
    <row r="80" ht="14.25" customHeight="1">
      <c r="A80" s="30"/>
      <c r="B80" s="30"/>
      <c r="D80" s="66"/>
      <c r="E80" s="66"/>
      <c r="H80" s="30"/>
      <c r="I80" s="77"/>
      <c r="J80" s="77"/>
      <c r="K80" s="77"/>
      <c r="L80" s="77"/>
      <c r="M80" s="77"/>
      <c r="N80" s="77"/>
      <c r="O80" s="77"/>
      <c r="P80" s="77"/>
      <c r="Q80" s="30"/>
      <c r="R80" s="30"/>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row>
    <row r="81" ht="14.25" customHeight="1">
      <c r="A81" s="30"/>
      <c r="B81" s="30"/>
      <c r="D81" s="66"/>
      <c r="E81" s="66"/>
      <c r="H81" s="30"/>
      <c r="I81" s="77"/>
      <c r="J81" s="77"/>
      <c r="K81" s="77"/>
      <c r="L81" s="77"/>
      <c r="M81" s="77"/>
      <c r="N81" s="77"/>
      <c r="O81" s="77"/>
      <c r="P81" s="77"/>
      <c r="Q81" s="30"/>
      <c r="R81" s="30"/>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row>
    <row r="82" ht="14.25" customHeight="1">
      <c r="A82" s="30"/>
      <c r="B82" s="30"/>
      <c r="D82" s="66"/>
      <c r="E82" s="66"/>
      <c r="H82" s="30"/>
      <c r="I82" s="77"/>
      <c r="J82" s="77"/>
      <c r="K82" s="77"/>
      <c r="L82" s="77"/>
      <c r="M82" s="77"/>
      <c r="N82" s="77"/>
      <c r="O82" s="77"/>
      <c r="P82" s="77"/>
      <c r="Q82" s="30"/>
      <c r="R82" s="30"/>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row>
    <row r="83" ht="14.25" customHeight="1">
      <c r="A83" s="30"/>
      <c r="B83" s="30"/>
      <c r="D83" s="66"/>
      <c r="E83" s="66"/>
      <c r="H83" s="30"/>
      <c r="I83" s="77"/>
      <c r="J83" s="77"/>
      <c r="K83" s="77"/>
      <c r="L83" s="77"/>
      <c r="M83" s="77"/>
      <c r="N83" s="77"/>
      <c r="O83" s="77"/>
      <c r="P83" s="77"/>
      <c r="Q83" s="30"/>
      <c r="R83" s="30"/>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row>
    <row r="84" ht="14.25" customHeight="1">
      <c r="A84" s="30"/>
      <c r="B84" s="30"/>
      <c r="D84" s="66"/>
      <c r="E84" s="66"/>
      <c r="H84" s="30"/>
      <c r="I84" s="77"/>
      <c r="J84" s="77"/>
      <c r="K84" s="77"/>
      <c r="L84" s="77"/>
      <c r="M84" s="77"/>
      <c r="N84" s="77"/>
      <c r="O84" s="77"/>
      <c r="P84" s="77"/>
      <c r="Q84" s="30"/>
      <c r="R84" s="30"/>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row>
    <row r="85" ht="14.25" customHeight="1">
      <c r="A85" s="30"/>
      <c r="B85" s="30"/>
      <c r="D85" s="66"/>
      <c r="E85" s="66"/>
      <c r="H85" s="30"/>
      <c r="I85" s="77"/>
      <c r="J85" s="77"/>
      <c r="K85" s="77"/>
      <c r="L85" s="77"/>
      <c r="M85" s="77"/>
      <c r="N85" s="77"/>
      <c r="O85" s="77"/>
      <c r="P85" s="77"/>
      <c r="Q85" s="30"/>
      <c r="R85" s="30"/>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row>
    <row r="86" ht="14.25" customHeight="1">
      <c r="A86" s="30"/>
      <c r="B86" s="30"/>
      <c r="D86" s="66"/>
      <c r="E86" s="66"/>
      <c r="H86" s="30"/>
      <c r="I86" s="77"/>
      <c r="J86" s="77"/>
      <c r="K86" s="77"/>
      <c r="L86" s="77"/>
      <c r="M86" s="77"/>
      <c r="N86" s="77"/>
      <c r="O86" s="77"/>
      <c r="P86" s="77"/>
      <c r="Q86" s="30"/>
      <c r="R86" s="30"/>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row>
    <row r="87" ht="14.25" customHeight="1">
      <c r="A87" s="30"/>
      <c r="B87" s="30"/>
      <c r="D87" s="66"/>
      <c r="E87" s="66"/>
      <c r="H87" s="30"/>
      <c r="I87" s="77"/>
      <c r="J87" s="77"/>
      <c r="K87" s="77"/>
      <c r="L87" s="77"/>
      <c r="M87" s="77"/>
      <c r="N87" s="77"/>
      <c r="O87" s="77"/>
      <c r="P87" s="77"/>
      <c r="Q87" s="30"/>
      <c r="R87" s="30"/>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row>
    <row r="88" ht="14.25" customHeight="1">
      <c r="A88" s="30"/>
      <c r="B88" s="30"/>
      <c r="D88" s="66"/>
      <c r="E88" s="66"/>
      <c r="H88" s="30"/>
      <c r="I88" s="77"/>
      <c r="J88" s="77"/>
      <c r="K88" s="77"/>
      <c r="L88" s="77"/>
      <c r="M88" s="77"/>
      <c r="N88" s="77"/>
      <c r="O88" s="77"/>
      <c r="P88" s="77"/>
      <c r="Q88" s="30"/>
      <c r="R88" s="30"/>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row>
    <row r="89" ht="14.25" customHeight="1">
      <c r="A89" s="30"/>
      <c r="B89" s="30"/>
      <c r="D89" s="66"/>
      <c r="E89" s="66"/>
      <c r="H89" s="30"/>
      <c r="I89" s="77"/>
      <c r="J89" s="77"/>
      <c r="K89" s="77"/>
      <c r="L89" s="77"/>
      <c r="M89" s="77"/>
      <c r="N89" s="77"/>
      <c r="O89" s="77"/>
      <c r="P89" s="77"/>
      <c r="Q89" s="30"/>
      <c r="R89" s="30"/>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row>
    <row r="90" ht="14.25" customHeight="1">
      <c r="A90" s="30"/>
      <c r="B90" s="30"/>
      <c r="D90" s="66"/>
      <c r="E90" s="66"/>
      <c r="H90" s="30"/>
      <c r="I90" s="77"/>
      <c r="J90" s="77"/>
      <c r="K90" s="77"/>
      <c r="L90" s="77"/>
      <c r="M90" s="77"/>
      <c r="N90" s="77"/>
      <c r="O90" s="77"/>
      <c r="P90" s="77"/>
      <c r="Q90" s="30"/>
      <c r="R90" s="30"/>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row>
    <row r="91" ht="14.25" customHeight="1">
      <c r="A91" s="30"/>
      <c r="B91" s="30"/>
      <c r="D91" s="66"/>
      <c r="E91" s="66"/>
      <c r="H91" s="30"/>
      <c r="I91" s="77"/>
      <c r="J91" s="77"/>
      <c r="K91" s="77"/>
      <c r="L91" s="77"/>
      <c r="M91" s="77"/>
      <c r="N91" s="77"/>
      <c r="O91" s="77"/>
      <c r="P91" s="77"/>
      <c r="Q91" s="30"/>
      <c r="R91" s="30"/>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row>
    <row r="92" ht="14.25" customHeight="1">
      <c r="A92" s="30"/>
      <c r="B92" s="30"/>
      <c r="D92" s="66"/>
      <c r="E92" s="66"/>
      <c r="H92" s="30"/>
      <c r="I92" s="77"/>
      <c r="J92" s="77"/>
      <c r="K92" s="77"/>
      <c r="L92" s="77"/>
      <c r="M92" s="77"/>
      <c r="N92" s="77"/>
      <c r="O92" s="77"/>
      <c r="P92" s="77"/>
      <c r="Q92" s="30"/>
      <c r="R92" s="30"/>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row>
    <row r="93" ht="14.25" customHeight="1">
      <c r="A93" s="30"/>
      <c r="B93" s="30"/>
      <c r="D93" s="66"/>
      <c r="E93" s="66"/>
      <c r="H93" s="30"/>
      <c r="I93" s="77"/>
      <c r="J93" s="77"/>
      <c r="K93" s="77"/>
      <c r="L93" s="77"/>
      <c r="M93" s="77"/>
      <c r="N93" s="77"/>
      <c r="O93" s="77"/>
      <c r="P93" s="77"/>
      <c r="Q93" s="30"/>
      <c r="R93" s="30"/>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row>
    <row r="94" ht="14.25" customHeight="1">
      <c r="A94" s="30"/>
      <c r="B94" s="30"/>
      <c r="D94" s="66"/>
      <c r="E94" s="66"/>
      <c r="H94" s="30"/>
      <c r="I94" s="77"/>
      <c r="J94" s="77"/>
      <c r="K94" s="77"/>
      <c r="L94" s="77"/>
      <c r="M94" s="77"/>
      <c r="N94" s="77"/>
      <c r="O94" s="77"/>
      <c r="P94" s="77"/>
      <c r="Q94" s="30"/>
      <c r="R94" s="30"/>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row>
    <row r="95" ht="14.25" customHeight="1">
      <c r="A95" s="30"/>
      <c r="B95" s="30"/>
      <c r="D95" s="66"/>
      <c r="E95" s="66"/>
      <c r="H95" s="30"/>
      <c r="I95" s="77"/>
      <c r="J95" s="77"/>
      <c r="K95" s="77"/>
      <c r="L95" s="77"/>
      <c r="M95" s="77"/>
      <c r="N95" s="77"/>
      <c r="O95" s="77"/>
      <c r="P95" s="77"/>
      <c r="Q95" s="30"/>
      <c r="R95" s="30"/>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row>
    <row r="96" ht="14.25" customHeight="1">
      <c r="A96" s="30"/>
      <c r="B96" s="30"/>
      <c r="D96" s="66"/>
      <c r="E96" s="66"/>
      <c r="H96" s="30"/>
      <c r="I96" s="77"/>
      <c r="J96" s="77"/>
      <c r="K96" s="77"/>
      <c r="L96" s="77"/>
      <c r="M96" s="77"/>
      <c r="N96" s="77"/>
      <c r="O96" s="77"/>
      <c r="P96" s="77"/>
      <c r="Q96" s="30"/>
      <c r="R96" s="30"/>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row>
    <row r="97" ht="14.25" customHeight="1">
      <c r="A97" s="30"/>
      <c r="B97" s="30"/>
      <c r="D97" s="66"/>
      <c r="E97" s="66"/>
      <c r="H97" s="30"/>
      <c r="I97" s="77"/>
      <c r="J97" s="77"/>
      <c r="K97" s="77"/>
      <c r="L97" s="77"/>
      <c r="M97" s="77"/>
      <c r="N97" s="77"/>
      <c r="O97" s="77"/>
      <c r="P97" s="77"/>
      <c r="Q97" s="30"/>
      <c r="R97" s="30"/>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row>
    <row r="98" ht="14.25" customHeight="1">
      <c r="A98" s="30"/>
      <c r="B98" s="30"/>
      <c r="D98" s="66"/>
      <c r="E98" s="66"/>
      <c r="H98" s="30"/>
      <c r="I98" s="77"/>
      <c r="J98" s="77"/>
      <c r="K98" s="77"/>
      <c r="L98" s="77"/>
      <c r="M98" s="77"/>
      <c r="N98" s="77"/>
      <c r="O98" s="77"/>
      <c r="P98" s="77"/>
      <c r="Q98" s="30"/>
      <c r="R98" s="30"/>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row>
    <row r="99" ht="14.25" customHeight="1">
      <c r="A99" s="30"/>
      <c r="B99" s="30"/>
      <c r="D99" s="66"/>
      <c r="E99" s="66"/>
      <c r="H99" s="30"/>
      <c r="I99" s="77"/>
      <c r="J99" s="77"/>
      <c r="K99" s="77"/>
      <c r="L99" s="77"/>
      <c r="M99" s="77"/>
      <c r="N99" s="77"/>
      <c r="O99" s="77"/>
      <c r="P99" s="77"/>
      <c r="Q99" s="30"/>
      <c r="R99" s="30"/>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row>
    <row r="100" ht="14.25" customHeight="1">
      <c r="A100" s="30"/>
      <c r="B100" s="30"/>
      <c r="D100" s="66"/>
      <c r="E100" s="66"/>
      <c r="H100" s="30"/>
      <c r="I100" s="77"/>
      <c r="J100" s="77"/>
      <c r="K100" s="77"/>
      <c r="L100" s="77"/>
      <c r="M100" s="77"/>
      <c r="N100" s="77"/>
      <c r="O100" s="77"/>
      <c r="P100" s="77"/>
      <c r="Q100" s="30"/>
      <c r="R100" s="30"/>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row>
    <row r="101" ht="14.25" customHeight="1">
      <c r="A101" s="30"/>
      <c r="B101" s="30"/>
      <c r="D101" s="66"/>
      <c r="E101" s="66"/>
      <c r="H101" s="30"/>
      <c r="I101" s="77"/>
      <c r="J101" s="77"/>
      <c r="K101" s="77"/>
      <c r="L101" s="77"/>
      <c r="M101" s="77"/>
      <c r="N101" s="77"/>
      <c r="O101" s="77"/>
      <c r="P101" s="77"/>
      <c r="Q101" s="30"/>
      <c r="R101" s="30"/>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row>
    <row r="102" ht="14.25" customHeight="1">
      <c r="A102" s="30"/>
      <c r="B102" s="30"/>
      <c r="D102" s="66"/>
      <c r="E102" s="66"/>
      <c r="H102" s="30"/>
      <c r="I102" s="77"/>
      <c r="J102" s="77"/>
      <c r="K102" s="77"/>
      <c r="L102" s="77"/>
      <c r="M102" s="77"/>
      <c r="N102" s="77"/>
      <c r="O102" s="77"/>
      <c r="P102" s="77"/>
      <c r="Q102" s="30"/>
      <c r="R102" s="30"/>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row>
    <row r="103" ht="14.25" customHeight="1">
      <c r="A103" s="30"/>
      <c r="B103" s="30"/>
      <c r="D103" s="66"/>
      <c r="E103" s="66"/>
      <c r="H103" s="30"/>
      <c r="I103" s="77"/>
      <c r="J103" s="77"/>
      <c r="K103" s="77"/>
      <c r="L103" s="77"/>
      <c r="M103" s="77"/>
      <c r="N103" s="77"/>
      <c r="O103" s="77"/>
      <c r="P103" s="77"/>
      <c r="Q103" s="30"/>
      <c r="R103" s="30"/>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row>
    <row r="104" ht="14.25" customHeight="1">
      <c r="A104" s="30"/>
      <c r="B104" s="30"/>
      <c r="D104" s="66"/>
      <c r="E104" s="66"/>
      <c r="H104" s="30"/>
      <c r="I104" s="77"/>
      <c r="J104" s="77"/>
      <c r="K104" s="77"/>
      <c r="L104" s="77"/>
      <c r="M104" s="77"/>
      <c r="N104" s="77"/>
      <c r="O104" s="77"/>
      <c r="P104" s="77"/>
      <c r="Q104" s="30"/>
      <c r="R104" s="30"/>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row>
    <row r="105" ht="14.25" customHeight="1">
      <c r="A105" s="30"/>
      <c r="B105" s="30"/>
      <c r="D105" s="66"/>
      <c r="E105" s="66"/>
      <c r="H105" s="30"/>
      <c r="I105" s="77"/>
      <c r="J105" s="77"/>
      <c r="K105" s="77"/>
      <c r="L105" s="77"/>
      <c r="M105" s="77"/>
      <c r="N105" s="77"/>
      <c r="O105" s="77"/>
      <c r="P105" s="77"/>
      <c r="Q105" s="30"/>
      <c r="R105" s="30"/>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row>
    <row r="106" ht="14.25" customHeight="1">
      <c r="A106" s="30"/>
      <c r="B106" s="30"/>
      <c r="D106" s="66"/>
      <c r="E106" s="66"/>
      <c r="H106" s="30"/>
      <c r="I106" s="77"/>
      <c r="J106" s="77"/>
      <c r="K106" s="77"/>
      <c r="L106" s="77"/>
      <c r="M106" s="77"/>
      <c r="N106" s="77"/>
      <c r="O106" s="77"/>
      <c r="P106" s="77"/>
      <c r="Q106" s="30"/>
      <c r="R106" s="30"/>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row>
    <row r="107" ht="14.25" customHeight="1">
      <c r="A107" s="30"/>
      <c r="B107" s="30"/>
      <c r="D107" s="66"/>
      <c r="E107" s="66"/>
      <c r="H107" s="30"/>
      <c r="I107" s="77"/>
      <c r="J107" s="77"/>
      <c r="K107" s="77"/>
      <c r="L107" s="77"/>
      <c r="M107" s="77"/>
      <c r="N107" s="77"/>
      <c r="O107" s="77"/>
      <c r="P107" s="77"/>
      <c r="Q107" s="30"/>
      <c r="R107" s="30"/>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row>
    <row r="108" ht="14.25" customHeight="1">
      <c r="A108" s="30"/>
      <c r="B108" s="30"/>
      <c r="D108" s="66"/>
      <c r="E108" s="66"/>
      <c r="H108" s="30"/>
      <c r="I108" s="77"/>
      <c r="J108" s="77"/>
      <c r="K108" s="77"/>
      <c r="L108" s="77"/>
      <c r="M108" s="77"/>
      <c r="N108" s="77"/>
      <c r="O108" s="77"/>
      <c r="P108" s="77"/>
      <c r="Q108" s="30"/>
      <c r="R108" s="30"/>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row>
    <row r="109" ht="14.25" customHeight="1">
      <c r="A109" s="30"/>
      <c r="B109" s="30"/>
      <c r="D109" s="66"/>
      <c r="E109" s="66"/>
      <c r="H109" s="30"/>
      <c r="I109" s="77"/>
      <c r="J109" s="77"/>
      <c r="K109" s="77"/>
      <c r="L109" s="77"/>
      <c r="M109" s="77"/>
      <c r="N109" s="77"/>
      <c r="O109" s="77"/>
      <c r="P109" s="77"/>
      <c r="Q109" s="30"/>
      <c r="R109" s="30"/>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row>
    <row r="110" ht="14.25" customHeight="1">
      <c r="A110" s="30"/>
      <c r="B110" s="30"/>
      <c r="D110" s="66"/>
      <c r="E110" s="66"/>
      <c r="H110" s="30"/>
      <c r="I110" s="77"/>
      <c r="J110" s="77"/>
      <c r="K110" s="77"/>
      <c r="L110" s="77"/>
      <c r="M110" s="77"/>
      <c r="N110" s="77"/>
      <c r="O110" s="77"/>
      <c r="P110" s="77"/>
      <c r="Q110" s="30"/>
      <c r="R110" s="30"/>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row>
    <row r="111" ht="14.25" customHeight="1">
      <c r="A111" s="30"/>
      <c r="B111" s="30"/>
      <c r="D111" s="66"/>
      <c r="E111" s="66"/>
      <c r="H111" s="30"/>
      <c r="I111" s="77"/>
      <c r="J111" s="77"/>
      <c r="K111" s="77"/>
      <c r="L111" s="77"/>
      <c r="M111" s="77"/>
      <c r="N111" s="77"/>
      <c r="O111" s="77"/>
      <c r="P111" s="77"/>
      <c r="Q111" s="30"/>
      <c r="R111" s="30"/>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row>
    <row r="112" ht="14.25" customHeight="1">
      <c r="A112" s="30"/>
      <c r="B112" s="30"/>
      <c r="D112" s="66"/>
      <c r="E112" s="66"/>
      <c r="H112" s="30"/>
      <c r="I112" s="77"/>
      <c r="J112" s="77"/>
      <c r="K112" s="77"/>
      <c r="L112" s="77"/>
      <c r="M112" s="77"/>
      <c r="N112" s="77"/>
      <c r="O112" s="77"/>
      <c r="P112" s="77"/>
      <c r="Q112" s="30"/>
      <c r="R112" s="30"/>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row>
    <row r="113" ht="14.25" customHeight="1">
      <c r="A113" s="30"/>
      <c r="B113" s="30"/>
      <c r="D113" s="66"/>
      <c r="E113" s="66"/>
      <c r="H113" s="30"/>
      <c r="I113" s="77"/>
      <c r="J113" s="77"/>
      <c r="K113" s="77"/>
      <c r="L113" s="77"/>
      <c r="M113" s="77"/>
      <c r="N113" s="77"/>
      <c r="O113" s="77"/>
      <c r="P113" s="77"/>
      <c r="Q113" s="30"/>
      <c r="R113" s="30"/>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row>
    <row r="114" ht="14.25" customHeight="1">
      <c r="A114" s="30"/>
      <c r="B114" s="30"/>
      <c r="D114" s="66"/>
      <c r="E114" s="66"/>
      <c r="H114" s="30"/>
      <c r="I114" s="77"/>
      <c r="J114" s="77"/>
      <c r="K114" s="77"/>
      <c r="L114" s="77"/>
      <c r="M114" s="77"/>
      <c r="N114" s="77"/>
      <c r="O114" s="77"/>
      <c r="P114" s="77"/>
      <c r="Q114" s="30"/>
      <c r="R114" s="30"/>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row>
    <row r="115" ht="14.25" customHeight="1">
      <c r="A115" s="30"/>
      <c r="B115" s="30"/>
      <c r="D115" s="66"/>
      <c r="E115" s="66"/>
      <c r="H115" s="30"/>
      <c r="I115" s="77"/>
      <c r="J115" s="77"/>
      <c r="K115" s="77"/>
      <c r="L115" s="77"/>
      <c r="M115" s="77"/>
      <c r="N115" s="77"/>
      <c r="O115" s="77"/>
      <c r="P115" s="77"/>
      <c r="Q115" s="30"/>
      <c r="R115" s="30"/>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row>
    <row r="116" ht="14.25" customHeight="1">
      <c r="A116" s="30"/>
      <c r="B116" s="30"/>
      <c r="D116" s="66"/>
      <c r="E116" s="66"/>
      <c r="H116" s="30"/>
      <c r="I116" s="77"/>
      <c r="J116" s="77"/>
      <c r="K116" s="77"/>
      <c r="L116" s="77"/>
      <c r="M116" s="77"/>
      <c r="N116" s="77"/>
      <c r="O116" s="77"/>
      <c r="P116" s="77"/>
      <c r="Q116" s="30"/>
      <c r="R116" s="30"/>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row>
    <row r="117" ht="14.25" customHeight="1">
      <c r="A117" s="30"/>
      <c r="B117" s="30"/>
      <c r="D117" s="66"/>
      <c r="E117" s="66"/>
      <c r="H117" s="30"/>
      <c r="I117" s="77"/>
      <c r="J117" s="77"/>
      <c r="K117" s="77"/>
      <c r="L117" s="77"/>
      <c r="M117" s="77"/>
      <c r="N117" s="77"/>
      <c r="O117" s="77"/>
      <c r="P117" s="77"/>
      <c r="Q117" s="30"/>
      <c r="R117" s="30"/>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row>
    <row r="118" ht="14.25" customHeight="1">
      <c r="A118" s="30"/>
      <c r="B118" s="30"/>
      <c r="D118" s="66"/>
      <c r="E118" s="66"/>
      <c r="H118" s="30"/>
      <c r="I118" s="77"/>
      <c r="J118" s="77"/>
      <c r="K118" s="77"/>
      <c r="L118" s="77"/>
      <c r="M118" s="77"/>
      <c r="N118" s="77"/>
      <c r="O118" s="77"/>
      <c r="P118" s="77"/>
      <c r="Q118" s="30"/>
      <c r="R118" s="30"/>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row>
    <row r="119" ht="14.25" customHeight="1">
      <c r="A119" s="30"/>
      <c r="B119" s="30"/>
      <c r="D119" s="66"/>
      <c r="E119" s="66"/>
      <c r="H119" s="30"/>
      <c r="I119" s="77"/>
      <c r="J119" s="77"/>
      <c r="K119" s="77"/>
      <c r="L119" s="77"/>
      <c r="M119" s="77"/>
      <c r="N119" s="77"/>
      <c r="O119" s="77"/>
      <c r="P119" s="77"/>
      <c r="Q119" s="30"/>
      <c r="R119" s="30"/>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row>
    <row r="120" ht="14.25" customHeight="1">
      <c r="A120" s="30"/>
      <c r="B120" s="30"/>
      <c r="D120" s="66"/>
      <c r="E120" s="66"/>
      <c r="H120" s="30"/>
      <c r="I120" s="77"/>
      <c r="J120" s="77"/>
      <c r="K120" s="77"/>
      <c r="L120" s="77"/>
      <c r="M120" s="77"/>
      <c r="N120" s="77"/>
      <c r="O120" s="77"/>
      <c r="P120" s="77"/>
      <c r="Q120" s="30"/>
      <c r="R120" s="30"/>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row>
    <row r="121" ht="14.25" customHeight="1">
      <c r="A121" s="30"/>
      <c r="B121" s="30"/>
      <c r="D121" s="66"/>
      <c r="E121" s="66"/>
      <c r="H121" s="30"/>
      <c r="I121" s="77"/>
      <c r="J121" s="77"/>
      <c r="K121" s="77"/>
      <c r="L121" s="77"/>
      <c r="M121" s="77"/>
      <c r="N121" s="77"/>
      <c r="O121" s="77"/>
      <c r="P121" s="77"/>
      <c r="Q121" s="30"/>
      <c r="R121" s="30"/>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row>
    <row r="122" ht="14.25" customHeight="1">
      <c r="A122" s="30"/>
      <c r="B122" s="30"/>
      <c r="D122" s="66"/>
      <c r="E122" s="66"/>
      <c r="H122" s="30"/>
      <c r="I122" s="77"/>
      <c r="J122" s="77"/>
      <c r="K122" s="77"/>
      <c r="L122" s="77"/>
      <c r="M122" s="77"/>
      <c r="N122" s="77"/>
      <c r="O122" s="77"/>
      <c r="P122" s="77"/>
      <c r="Q122" s="30"/>
      <c r="R122" s="30"/>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row>
    <row r="123" ht="14.25" customHeight="1">
      <c r="A123" s="30"/>
      <c r="B123" s="30"/>
      <c r="D123" s="66"/>
      <c r="E123" s="66"/>
      <c r="H123" s="30"/>
      <c r="I123" s="77"/>
      <c r="J123" s="77"/>
      <c r="K123" s="77"/>
      <c r="L123" s="77"/>
      <c r="M123" s="77"/>
      <c r="N123" s="77"/>
      <c r="O123" s="77"/>
      <c r="P123" s="77"/>
      <c r="Q123" s="30"/>
      <c r="R123" s="30"/>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row>
    <row r="124" ht="14.25" customHeight="1">
      <c r="A124" s="30"/>
      <c r="B124" s="30"/>
      <c r="D124" s="66"/>
      <c r="E124" s="66"/>
      <c r="H124" s="30"/>
      <c r="I124" s="77"/>
      <c r="J124" s="77"/>
      <c r="K124" s="77"/>
      <c r="L124" s="77"/>
      <c r="M124" s="77"/>
      <c r="N124" s="77"/>
      <c r="O124" s="77"/>
      <c r="P124" s="77"/>
      <c r="Q124" s="30"/>
      <c r="R124" s="30"/>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row>
    <row r="125" ht="14.25" customHeight="1">
      <c r="A125" s="30"/>
      <c r="B125" s="30"/>
      <c r="D125" s="66"/>
      <c r="E125" s="66"/>
      <c r="H125" s="30"/>
      <c r="I125" s="77"/>
      <c r="J125" s="77"/>
      <c r="K125" s="77"/>
      <c r="L125" s="77"/>
      <c r="M125" s="77"/>
      <c r="N125" s="77"/>
      <c r="O125" s="77"/>
      <c r="P125" s="77"/>
      <c r="Q125" s="30"/>
      <c r="R125" s="30"/>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row>
    <row r="126" ht="14.25" customHeight="1">
      <c r="A126" s="30"/>
      <c r="B126" s="30"/>
      <c r="D126" s="66"/>
      <c r="E126" s="66"/>
      <c r="H126" s="30"/>
      <c r="I126" s="77"/>
      <c r="J126" s="77"/>
      <c r="K126" s="77"/>
      <c r="L126" s="77"/>
      <c r="M126" s="77"/>
      <c r="N126" s="77"/>
      <c r="O126" s="77"/>
      <c r="P126" s="77"/>
      <c r="Q126" s="30"/>
      <c r="R126" s="30"/>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row>
    <row r="127" ht="14.25" customHeight="1">
      <c r="A127" s="30"/>
      <c r="B127" s="30"/>
      <c r="D127" s="66"/>
      <c r="E127" s="66"/>
      <c r="H127" s="30"/>
      <c r="I127" s="77"/>
      <c r="J127" s="77"/>
      <c r="K127" s="77"/>
      <c r="L127" s="77"/>
      <c r="M127" s="77"/>
      <c r="N127" s="77"/>
      <c r="O127" s="77"/>
      <c r="P127" s="77"/>
      <c r="Q127" s="30"/>
      <c r="R127" s="30"/>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row>
    <row r="128" ht="14.25" customHeight="1">
      <c r="A128" s="30"/>
      <c r="B128" s="30"/>
      <c r="D128" s="66"/>
      <c r="E128" s="66"/>
      <c r="H128" s="30"/>
      <c r="I128" s="77"/>
      <c r="J128" s="77"/>
      <c r="K128" s="77"/>
      <c r="L128" s="77"/>
      <c r="M128" s="77"/>
      <c r="N128" s="77"/>
      <c r="O128" s="77"/>
      <c r="P128" s="77"/>
      <c r="Q128" s="30"/>
      <c r="R128" s="30"/>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row>
    <row r="129" ht="14.25" customHeight="1">
      <c r="A129" s="30"/>
      <c r="B129" s="30"/>
      <c r="D129" s="66"/>
      <c r="E129" s="66"/>
      <c r="H129" s="30"/>
      <c r="I129" s="77"/>
      <c r="J129" s="77"/>
      <c r="K129" s="77"/>
      <c r="L129" s="77"/>
      <c r="M129" s="77"/>
      <c r="N129" s="77"/>
      <c r="O129" s="77"/>
      <c r="P129" s="77"/>
      <c r="Q129" s="30"/>
      <c r="R129" s="30"/>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row>
    <row r="130" ht="14.25" customHeight="1">
      <c r="A130" s="30"/>
      <c r="B130" s="30"/>
      <c r="D130" s="66"/>
      <c r="E130" s="66"/>
      <c r="H130" s="30"/>
      <c r="I130" s="77"/>
      <c r="J130" s="77"/>
      <c r="K130" s="77"/>
      <c r="L130" s="77"/>
      <c r="M130" s="77"/>
      <c r="N130" s="77"/>
      <c r="O130" s="77"/>
      <c r="P130" s="77"/>
      <c r="Q130" s="30"/>
      <c r="R130" s="30"/>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row>
    <row r="131" ht="14.25" customHeight="1">
      <c r="A131" s="30"/>
      <c r="B131" s="30"/>
      <c r="D131" s="66"/>
      <c r="E131" s="66"/>
      <c r="H131" s="30"/>
      <c r="I131" s="77"/>
      <c r="J131" s="77"/>
      <c r="K131" s="77"/>
      <c r="L131" s="77"/>
      <c r="M131" s="77"/>
      <c r="N131" s="77"/>
      <c r="O131" s="77"/>
      <c r="P131" s="77"/>
      <c r="Q131" s="30"/>
      <c r="R131" s="30"/>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row>
    <row r="132" ht="14.25" customHeight="1">
      <c r="A132" s="30"/>
      <c r="B132" s="30"/>
      <c r="D132" s="66"/>
      <c r="E132" s="66"/>
      <c r="H132" s="30"/>
      <c r="I132" s="77"/>
      <c r="J132" s="77"/>
      <c r="K132" s="77"/>
      <c r="L132" s="77"/>
      <c r="M132" s="77"/>
      <c r="N132" s="77"/>
      <c r="O132" s="77"/>
      <c r="P132" s="77"/>
      <c r="Q132" s="30"/>
      <c r="R132" s="30"/>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row>
    <row r="133" ht="14.25" customHeight="1">
      <c r="A133" s="30"/>
      <c r="B133" s="30"/>
      <c r="D133" s="66"/>
      <c r="E133" s="66"/>
      <c r="H133" s="30"/>
      <c r="I133" s="77"/>
      <c r="J133" s="77"/>
      <c r="K133" s="77"/>
      <c r="L133" s="77"/>
      <c r="M133" s="77"/>
      <c r="N133" s="77"/>
      <c r="O133" s="77"/>
      <c r="P133" s="77"/>
      <c r="Q133" s="30"/>
      <c r="R133" s="30"/>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row>
    <row r="134" ht="14.25" customHeight="1">
      <c r="A134" s="30"/>
      <c r="B134" s="30"/>
      <c r="D134" s="66"/>
      <c r="E134" s="66"/>
      <c r="H134" s="30"/>
      <c r="I134" s="77"/>
      <c r="J134" s="77"/>
      <c r="K134" s="77"/>
      <c r="L134" s="77"/>
      <c r="M134" s="77"/>
      <c r="N134" s="77"/>
      <c r="O134" s="77"/>
      <c r="P134" s="77"/>
      <c r="Q134" s="30"/>
      <c r="R134" s="30"/>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row>
    <row r="135" ht="14.25" customHeight="1">
      <c r="A135" s="30"/>
      <c r="B135" s="30"/>
      <c r="D135" s="66"/>
      <c r="E135" s="66"/>
      <c r="H135" s="30"/>
      <c r="I135" s="77"/>
      <c r="J135" s="77"/>
      <c r="K135" s="77"/>
      <c r="L135" s="77"/>
      <c r="M135" s="77"/>
      <c r="N135" s="77"/>
      <c r="O135" s="77"/>
      <c r="P135" s="77"/>
      <c r="Q135" s="30"/>
      <c r="R135" s="30"/>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row>
    <row r="136" ht="14.25" customHeight="1">
      <c r="A136" s="30"/>
      <c r="B136" s="30"/>
      <c r="D136" s="66"/>
      <c r="E136" s="66"/>
      <c r="H136" s="30"/>
      <c r="I136" s="77"/>
      <c r="J136" s="77"/>
      <c r="K136" s="77"/>
      <c r="L136" s="77"/>
      <c r="M136" s="77"/>
      <c r="N136" s="77"/>
      <c r="O136" s="77"/>
      <c r="P136" s="77"/>
      <c r="Q136" s="30"/>
      <c r="R136" s="30"/>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row>
    <row r="137" ht="14.25" customHeight="1">
      <c r="A137" s="30"/>
      <c r="B137" s="30"/>
      <c r="D137" s="66"/>
      <c r="E137" s="66"/>
      <c r="H137" s="30"/>
      <c r="I137" s="77"/>
      <c r="J137" s="77"/>
      <c r="K137" s="77"/>
      <c r="L137" s="77"/>
      <c r="M137" s="77"/>
      <c r="N137" s="77"/>
      <c r="O137" s="77"/>
      <c r="P137" s="77"/>
      <c r="Q137" s="30"/>
      <c r="R137" s="30"/>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row>
    <row r="138" ht="14.25" customHeight="1">
      <c r="A138" s="30"/>
      <c r="B138" s="30"/>
      <c r="D138" s="66"/>
      <c r="E138" s="66"/>
      <c r="H138" s="30"/>
      <c r="I138" s="77"/>
      <c r="J138" s="77"/>
      <c r="K138" s="77"/>
      <c r="L138" s="77"/>
      <c r="M138" s="77"/>
      <c r="N138" s="77"/>
      <c r="O138" s="77"/>
      <c r="P138" s="77"/>
      <c r="Q138" s="30"/>
      <c r="R138" s="30"/>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row>
    <row r="139" ht="14.25" customHeight="1">
      <c r="A139" s="30"/>
      <c r="B139" s="30"/>
      <c r="D139" s="66"/>
      <c r="E139" s="66"/>
      <c r="H139" s="30"/>
      <c r="I139" s="77"/>
      <c r="J139" s="77"/>
      <c r="K139" s="77"/>
      <c r="L139" s="77"/>
      <c r="M139" s="77"/>
      <c r="N139" s="77"/>
      <c r="O139" s="77"/>
      <c r="P139" s="77"/>
      <c r="Q139" s="30"/>
      <c r="R139" s="30"/>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row>
    <row r="140" ht="14.25" customHeight="1">
      <c r="A140" s="30"/>
      <c r="B140" s="30"/>
      <c r="D140" s="66"/>
      <c r="E140" s="66"/>
      <c r="H140" s="30"/>
      <c r="I140" s="77"/>
      <c r="J140" s="77"/>
      <c r="K140" s="77"/>
      <c r="L140" s="77"/>
      <c r="M140" s="77"/>
      <c r="N140" s="77"/>
      <c r="O140" s="77"/>
      <c r="P140" s="77"/>
      <c r="Q140" s="30"/>
      <c r="R140" s="30"/>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row>
    <row r="141" ht="14.25" customHeight="1">
      <c r="A141" s="30"/>
      <c r="B141" s="30"/>
      <c r="D141" s="66"/>
      <c r="E141" s="66"/>
      <c r="H141" s="30"/>
      <c r="I141" s="77"/>
      <c r="J141" s="77"/>
      <c r="K141" s="77"/>
      <c r="L141" s="77"/>
      <c r="M141" s="77"/>
      <c r="N141" s="77"/>
      <c r="O141" s="77"/>
      <c r="P141" s="77"/>
      <c r="Q141" s="30"/>
      <c r="R141" s="30"/>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row>
    <row r="142" ht="14.25" customHeight="1">
      <c r="A142" s="30"/>
      <c r="B142" s="30"/>
      <c r="D142" s="66"/>
      <c r="E142" s="66"/>
      <c r="H142" s="30"/>
      <c r="I142" s="77"/>
      <c r="J142" s="77"/>
      <c r="K142" s="77"/>
      <c r="L142" s="77"/>
      <c r="M142" s="77"/>
      <c r="N142" s="77"/>
      <c r="O142" s="77"/>
      <c r="P142" s="77"/>
      <c r="Q142" s="30"/>
      <c r="R142" s="30"/>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row>
    <row r="143" ht="14.25" customHeight="1">
      <c r="A143" s="30"/>
      <c r="B143" s="30"/>
      <c r="D143" s="66"/>
      <c r="E143" s="66"/>
      <c r="H143" s="30"/>
      <c r="I143" s="77"/>
      <c r="J143" s="77"/>
      <c r="K143" s="77"/>
      <c r="L143" s="77"/>
      <c r="M143" s="77"/>
      <c r="N143" s="77"/>
      <c r="O143" s="77"/>
      <c r="P143" s="77"/>
      <c r="Q143" s="30"/>
      <c r="R143" s="30"/>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row>
    <row r="144" ht="14.25" customHeight="1">
      <c r="A144" s="30"/>
      <c r="B144" s="30"/>
      <c r="D144" s="66"/>
      <c r="E144" s="66"/>
      <c r="H144" s="30"/>
      <c r="I144" s="77"/>
      <c r="J144" s="77"/>
      <c r="K144" s="77"/>
      <c r="L144" s="77"/>
      <c r="M144" s="77"/>
      <c r="N144" s="77"/>
      <c r="O144" s="77"/>
      <c r="P144" s="77"/>
      <c r="Q144" s="30"/>
      <c r="R144" s="30"/>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row>
    <row r="145" ht="14.25" customHeight="1">
      <c r="A145" s="30"/>
      <c r="B145" s="30"/>
      <c r="D145" s="66"/>
      <c r="E145" s="66"/>
      <c r="H145" s="30"/>
      <c r="I145" s="77"/>
      <c r="J145" s="77"/>
      <c r="K145" s="77"/>
      <c r="L145" s="77"/>
      <c r="M145" s="77"/>
      <c r="N145" s="77"/>
      <c r="O145" s="77"/>
      <c r="P145" s="77"/>
      <c r="Q145" s="30"/>
      <c r="R145" s="30"/>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row>
    <row r="146" ht="14.25" customHeight="1">
      <c r="A146" s="30"/>
      <c r="B146" s="30"/>
      <c r="D146" s="66"/>
      <c r="E146" s="66"/>
      <c r="H146" s="30"/>
      <c r="I146" s="77"/>
      <c r="J146" s="77"/>
      <c r="K146" s="77"/>
      <c r="L146" s="77"/>
      <c r="M146" s="77"/>
      <c r="N146" s="77"/>
      <c r="O146" s="77"/>
      <c r="P146" s="77"/>
      <c r="Q146" s="30"/>
      <c r="R146" s="30"/>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row>
    <row r="147" ht="14.25" customHeight="1">
      <c r="A147" s="30"/>
      <c r="B147" s="30"/>
      <c r="D147" s="66"/>
      <c r="E147" s="66"/>
      <c r="H147" s="30"/>
      <c r="I147" s="77"/>
      <c r="J147" s="77"/>
      <c r="K147" s="77"/>
      <c r="L147" s="77"/>
      <c r="M147" s="77"/>
      <c r="N147" s="77"/>
      <c r="O147" s="77"/>
      <c r="P147" s="77"/>
      <c r="Q147" s="30"/>
      <c r="R147" s="30"/>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row>
    <row r="148" ht="14.25" customHeight="1">
      <c r="A148" s="30"/>
      <c r="B148" s="30"/>
      <c r="D148" s="66"/>
      <c r="E148" s="66"/>
      <c r="H148" s="30"/>
      <c r="I148" s="77"/>
      <c r="J148" s="77"/>
      <c r="K148" s="77"/>
      <c r="L148" s="77"/>
      <c r="M148" s="77"/>
      <c r="N148" s="77"/>
      <c r="O148" s="77"/>
      <c r="P148" s="77"/>
      <c r="Q148" s="30"/>
      <c r="R148" s="30"/>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row>
    <row r="149" ht="14.25" customHeight="1">
      <c r="A149" s="30"/>
      <c r="B149" s="30"/>
      <c r="D149" s="66"/>
      <c r="E149" s="66"/>
      <c r="H149" s="30"/>
      <c r="I149" s="77"/>
      <c r="J149" s="77"/>
      <c r="K149" s="77"/>
      <c r="L149" s="77"/>
      <c r="M149" s="77"/>
      <c r="N149" s="77"/>
      <c r="O149" s="77"/>
      <c r="P149" s="77"/>
      <c r="Q149" s="30"/>
      <c r="R149" s="30"/>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row>
    <row r="150" ht="14.25" customHeight="1">
      <c r="A150" s="30"/>
      <c r="B150" s="30"/>
      <c r="D150" s="66"/>
      <c r="E150" s="66"/>
      <c r="H150" s="30"/>
      <c r="I150" s="77"/>
      <c r="J150" s="77"/>
      <c r="K150" s="77"/>
      <c r="L150" s="77"/>
      <c r="M150" s="77"/>
      <c r="N150" s="77"/>
      <c r="O150" s="77"/>
      <c r="P150" s="77"/>
      <c r="Q150" s="30"/>
      <c r="R150" s="30"/>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row>
    <row r="151" ht="14.25" customHeight="1">
      <c r="A151" s="30"/>
      <c r="B151" s="30"/>
      <c r="D151" s="66"/>
      <c r="E151" s="66"/>
      <c r="H151" s="30"/>
      <c r="I151" s="77"/>
      <c r="J151" s="77"/>
      <c r="K151" s="77"/>
      <c r="L151" s="77"/>
      <c r="M151" s="77"/>
      <c r="N151" s="77"/>
      <c r="O151" s="77"/>
      <c r="P151" s="77"/>
      <c r="Q151" s="30"/>
      <c r="R151" s="30"/>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row>
    <row r="152" ht="14.25" customHeight="1">
      <c r="A152" s="30"/>
      <c r="B152" s="30"/>
      <c r="D152" s="66"/>
      <c r="E152" s="66"/>
      <c r="H152" s="30"/>
      <c r="I152" s="77"/>
      <c r="J152" s="77"/>
      <c r="K152" s="77"/>
      <c r="L152" s="77"/>
      <c r="M152" s="77"/>
      <c r="N152" s="77"/>
      <c r="O152" s="77"/>
      <c r="P152" s="77"/>
      <c r="Q152" s="30"/>
      <c r="R152" s="30"/>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row>
    <row r="153" ht="14.25" customHeight="1">
      <c r="A153" s="30"/>
      <c r="B153" s="30"/>
      <c r="D153" s="66"/>
      <c r="E153" s="66"/>
      <c r="H153" s="30"/>
      <c r="I153" s="77"/>
      <c r="J153" s="77"/>
      <c r="K153" s="77"/>
      <c r="L153" s="77"/>
      <c r="M153" s="77"/>
      <c r="N153" s="77"/>
      <c r="O153" s="77"/>
      <c r="P153" s="77"/>
      <c r="Q153" s="30"/>
      <c r="R153" s="30"/>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row>
    <row r="154" ht="14.25" customHeight="1">
      <c r="A154" s="30"/>
      <c r="B154" s="30"/>
      <c r="D154" s="66"/>
      <c r="E154" s="66"/>
      <c r="H154" s="30"/>
      <c r="I154" s="77"/>
      <c r="J154" s="77"/>
      <c r="K154" s="77"/>
      <c r="L154" s="77"/>
      <c r="M154" s="77"/>
      <c r="N154" s="77"/>
      <c r="O154" s="77"/>
      <c r="P154" s="77"/>
      <c r="Q154" s="30"/>
      <c r="R154" s="30"/>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row>
    <row r="155" ht="14.25" customHeight="1">
      <c r="A155" s="30"/>
      <c r="B155" s="30"/>
      <c r="D155" s="66"/>
      <c r="E155" s="66"/>
      <c r="H155" s="30"/>
      <c r="I155" s="77"/>
      <c r="J155" s="77"/>
      <c r="K155" s="77"/>
      <c r="L155" s="77"/>
      <c r="M155" s="77"/>
      <c r="N155" s="77"/>
      <c r="O155" s="77"/>
      <c r="P155" s="77"/>
      <c r="Q155" s="30"/>
      <c r="R155" s="30"/>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row>
    <row r="156" ht="14.25" customHeight="1">
      <c r="A156" s="30"/>
      <c r="B156" s="30"/>
      <c r="D156" s="66"/>
      <c r="E156" s="66"/>
      <c r="H156" s="30"/>
      <c r="I156" s="77"/>
      <c r="J156" s="77"/>
      <c r="K156" s="77"/>
      <c r="L156" s="77"/>
      <c r="M156" s="77"/>
      <c r="N156" s="77"/>
      <c r="O156" s="77"/>
      <c r="P156" s="77"/>
      <c r="Q156" s="30"/>
      <c r="R156" s="30"/>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row>
    <row r="157" ht="14.25" customHeight="1">
      <c r="A157" s="30"/>
      <c r="B157" s="30"/>
      <c r="D157" s="66"/>
      <c r="E157" s="66"/>
      <c r="H157" s="30"/>
      <c r="I157" s="77"/>
      <c r="J157" s="77"/>
      <c r="K157" s="77"/>
      <c r="L157" s="77"/>
      <c r="M157" s="77"/>
      <c r="N157" s="77"/>
      <c r="O157" s="77"/>
      <c r="P157" s="77"/>
      <c r="Q157" s="30"/>
      <c r="R157" s="30"/>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row>
    <row r="158" ht="14.25" customHeight="1">
      <c r="A158" s="30"/>
      <c r="B158" s="30"/>
      <c r="D158" s="66"/>
      <c r="E158" s="66"/>
      <c r="H158" s="30"/>
      <c r="I158" s="77"/>
      <c r="J158" s="77"/>
      <c r="K158" s="77"/>
      <c r="L158" s="77"/>
      <c r="M158" s="77"/>
      <c r="N158" s="77"/>
      <c r="O158" s="77"/>
      <c r="P158" s="77"/>
      <c r="Q158" s="30"/>
      <c r="R158" s="30"/>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row>
    <row r="159" ht="14.25" customHeight="1">
      <c r="A159" s="30"/>
      <c r="B159" s="30"/>
      <c r="D159" s="66"/>
      <c r="E159" s="66"/>
      <c r="H159" s="30"/>
      <c r="I159" s="77"/>
      <c r="J159" s="77"/>
      <c r="K159" s="77"/>
      <c r="L159" s="77"/>
      <c r="M159" s="77"/>
      <c r="N159" s="77"/>
      <c r="O159" s="77"/>
      <c r="P159" s="77"/>
      <c r="Q159" s="30"/>
      <c r="R159" s="30"/>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row>
    <row r="160" ht="14.25" customHeight="1">
      <c r="A160" s="30"/>
      <c r="B160" s="30"/>
      <c r="D160" s="66"/>
      <c r="E160" s="66"/>
      <c r="H160" s="30"/>
      <c r="I160" s="77"/>
      <c r="J160" s="77"/>
      <c r="K160" s="77"/>
      <c r="L160" s="77"/>
      <c r="M160" s="77"/>
      <c r="N160" s="77"/>
      <c r="O160" s="77"/>
      <c r="P160" s="77"/>
      <c r="Q160" s="30"/>
      <c r="R160" s="30"/>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row>
    <row r="161" ht="14.25" customHeight="1">
      <c r="A161" s="30"/>
      <c r="B161" s="30"/>
      <c r="D161" s="66"/>
      <c r="E161" s="66"/>
      <c r="H161" s="30"/>
      <c r="I161" s="77"/>
      <c r="J161" s="77"/>
      <c r="K161" s="77"/>
      <c r="L161" s="77"/>
      <c r="M161" s="77"/>
      <c r="N161" s="77"/>
      <c r="O161" s="77"/>
      <c r="P161" s="77"/>
      <c r="Q161" s="30"/>
      <c r="R161" s="30"/>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row>
    <row r="162" ht="14.25" customHeight="1">
      <c r="A162" s="30"/>
      <c r="B162" s="30"/>
      <c r="D162" s="66"/>
      <c r="E162" s="66"/>
      <c r="H162" s="30"/>
      <c r="I162" s="77"/>
      <c r="J162" s="77"/>
      <c r="K162" s="77"/>
      <c r="L162" s="77"/>
      <c r="M162" s="77"/>
      <c r="N162" s="77"/>
      <c r="O162" s="77"/>
      <c r="P162" s="77"/>
      <c r="Q162" s="30"/>
      <c r="R162" s="30"/>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row>
    <row r="163" ht="14.25" customHeight="1">
      <c r="A163" s="30"/>
      <c r="B163" s="30"/>
      <c r="D163" s="66"/>
      <c r="E163" s="66"/>
      <c r="H163" s="30"/>
      <c r="I163" s="77"/>
      <c r="J163" s="77"/>
      <c r="K163" s="77"/>
      <c r="L163" s="77"/>
      <c r="M163" s="77"/>
      <c r="N163" s="77"/>
      <c r="O163" s="77"/>
      <c r="P163" s="77"/>
      <c r="Q163" s="30"/>
      <c r="R163" s="30"/>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row>
    <row r="164" ht="14.25" customHeight="1">
      <c r="A164" s="30"/>
      <c r="B164" s="30"/>
      <c r="D164" s="66"/>
      <c r="E164" s="66"/>
      <c r="H164" s="30"/>
      <c r="I164" s="77"/>
      <c r="J164" s="77"/>
      <c r="K164" s="77"/>
      <c r="L164" s="77"/>
      <c r="M164" s="77"/>
      <c r="N164" s="77"/>
      <c r="O164" s="77"/>
      <c r="P164" s="77"/>
      <c r="Q164" s="30"/>
      <c r="R164" s="30"/>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row>
    <row r="165" ht="14.25" customHeight="1">
      <c r="A165" s="30"/>
      <c r="B165" s="30"/>
      <c r="D165" s="66"/>
      <c r="E165" s="66"/>
      <c r="H165" s="30"/>
      <c r="I165" s="77"/>
      <c r="J165" s="77"/>
      <c r="K165" s="77"/>
      <c r="L165" s="77"/>
      <c r="M165" s="77"/>
      <c r="N165" s="77"/>
      <c r="O165" s="77"/>
      <c r="P165" s="77"/>
      <c r="Q165" s="30"/>
      <c r="R165" s="30"/>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row>
    <row r="166" ht="14.25" customHeight="1">
      <c r="A166" s="30"/>
      <c r="B166" s="30"/>
      <c r="D166" s="66"/>
      <c r="E166" s="66"/>
      <c r="H166" s="30"/>
      <c r="I166" s="77"/>
      <c r="J166" s="77"/>
      <c r="K166" s="77"/>
      <c r="L166" s="77"/>
      <c r="M166" s="77"/>
      <c r="N166" s="77"/>
      <c r="O166" s="77"/>
      <c r="P166" s="77"/>
      <c r="Q166" s="30"/>
      <c r="R166" s="30"/>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row>
    <row r="167" ht="14.25" customHeight="1">
      <c r="A167" s="30"/>
      <c r="B167" s="30"/>
      <c r="D167" s="66"/>
      <c r="E167" s="66"/>
      <c r="H167" s="30"/>
      <c r="I167" s="77"/>
      <c r="J167" s="77"/>
      <c r="K167" s="77"/>
      <c r="L167" s="77"/>
      <c r="M167" s="77"/>
      <c r="N167" s="77"/>
      <c r="O167" s="77"/>
      <c r="P167" s="77"/>
      <c r="Q167" s="30"/>
      <c r="R167" s="30"/>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row>
    <row r="168" ht="14.25" customHeight="1">
      <c r="A168" s="30"/>
      <c r="B168" s="30"/>
      <c r="D168" s="66"/>
      <c r="E168" s="66"/>
      <c r="H168" s="30"/>
      <c r="I168" s="77"/>
      <c r="J168" s="77"/>
      <c r="K168" s="77"/>
      <c r="L168" s="77"/>
      <c r="M168" s="77"/>
      <c r="N168" s="77"/>
      <c r="O168" s="77"/>
      <c r="P168" s="77"/>
      <c r="Q168" s="30"/>
      <c r="R168" s="30"/>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row>
    <row r="169" ht="14.25" customHeight="1">
      <c r="A169" s="30"/>
      <c r="B169" s="30"/>
      <c r="D169" s="66"/>
      <c r="E169" s="66"/>
      <c r="H169" s="30"/>
      <c r="I169" s="77"/>
      <c r="J169" s="77"/>
      <c r="K169" s="77"/>
      <c r="L169" s="77"/>
      <c r="M169" s="77"/>
      <c r="N169" s="77"/>
      <c r="O169" s="77"/>
      <c r="P169" s="77"/>
      <c r="Q169" s="30"/>
      <c r="R169" s="30"/>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row>
    <row r="170" ht="14.25" customHeight="1">
      <c r="A170" s="30"/>
      <c r="B170" s="30"/>
      <c r="D170" s="66"/>
      <c r="E170" s="66"/>
      <c r="H170" s="30"/>
      <c r="I170" s="77"/>
      <c r="J170" s="77"/>
      <c r="K170" s="77"/>
      <c r="L170" s="77"/>
      <c r="M170" s="77"/>
      <c r="N170" s="77"/>
      <c r="O170" s="77"/>
      <c r="P170" s="77"/>
      <c r="Q170" s="30"/>
      <c r="R170" s="30"/>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row>
    <row r="171" ht="14.25" customHeight="1">
      <c r="A171" s="30"/>
      <c r="B171" s="30"/>
      <c r="D171" s="66"/>
      <c r="E171" s="66"/>
      <c r="H171" s="30"/>
      <c r="I171" s="77"/>
      <c r="J171" s="77"/>
      <c r="K171" s="77"/>
      <c r="L171" s="77"/>
      <c r="M171" s="77"/>
      <c r="N171" s="77"/>
      <c r="O171" s="77"/>
      <c r="P171" s="77"/>
      <c r="Q171" s="30"/>
      <c r="R171" s="30"/>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row>
    <row r="172" ht="14.25" customHeight="1">
      <c r="A172" s="30"/>
      <c r="B172" s="30"/>
      <c r="D172" s="66"/>
      <c r="E172" s="66"/>
      <c r="H172" s="30"/>
      <c r="I172" s="77"/>
      <c r="J172" s="77"/>
      <c r="K172" s="77"/>
      <c r="L172" s="77"/>
      <c r="M172" s="77"/>
      <c r="N172" s="77"/>
      <c r="O172" s="77"/>
      <c r="P172" s="77"/>
      <c r="Q172" s="30"/>
      <c r="R172" s="30"/>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row>
    <row r="173" ht="14.25" customHeight="1">
      <c r="A173" s="30"/>
      <c r="B173" s="30"/>
      <c r="D173" s="66"/>
      <c r="E173" s="66"/>
      <c r="H173" s="30"/>
      <c r="I173" s="77"/>
      <c r="J173" s="77"/>
      <c r="K173" s="77"/>
      <c r="L173" s="77"/>
      <c r="M173" s="77"/>
      <c r="N173" s="77"/>
      <c r="O173" s="77"/>
      <c r="P173" s="77"/>
      <c r="Q173" s="30"/>
      <c r="R173" s="30"/>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row>
    <row r="174" ht="14.25" customHeight="1">
      <c r="A174" s="30"/>
      <c r="B174" s="30"/>
      <c r="D174" s="66"/>
      <c r="E174" s="66"/>
      <c r="H174" s="30"/>
      <c r="I174" s="77"/>
      <c r="J174" s="77"/>
      <c r="K174" s="77"/>
      <c r="L174" s="77"/>
      <c r="M174" s="77"/>
      <c r="N174" s="77"/>
      <c r="O174" s="77"/>
      <c r="P174" s="77"/>
      <c r="Q174" s="30"/>
      <c r="R174" s="30"/>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row>
    <row r="175" ht="14.25" customHeight="1">
      <c r="A175" s="30"/>
      <c r="B175" s="30"/>
      <c r="D175" s="66"/>
      <c r="E175" s="66"/>
      <c r="H175" s="30"/>
      <c r="I175" s="77"/>
      <c r="J175" s="77"/>
      <c r="K175" s="77"/>
      <c r="L175" s="77"/>
      <c r="M175" s="77"/>
      <c r="N175" s="77"/>
      <c r="O175" s="77"/>
      <c r="P175" s="77"/>
      <c r="Q175" s="30"/>
      <c r="R175" s="30"/>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row>
    <row r="176" ht="14.25" customHeight="1">
      <c r="A176" s="30"/>
      <c r="B176" s="30"/>
      <c r="D176" s="66"/>
      <c r="E176" s="66"/>
      <c r="H176" s="30"/>
      <c r="I176" s="77"/>
      <c r="J176" s="77"/>
      <c r="K176" s="77"/>
      <c r="L176" s="77"/>
      <c r="M176" s="77"/>
      <c r="N176" s="77"/>
      <c r="O176" s="77"/>
      <c r="P176" s="77"/>
      <c r="Q176" s="30"/>
      <c r="R176" s="30"/>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row>
    <row r="177" ht="14.25" customHeight="1">
      <c r="A177" s="30"/>
      <c r="B177" s="30"/>
      <c r="D177" s="66"/>
      <c r="E177" s="66"/>
      <c r="H177" s="30"/>
      <c r="I177" s="77"/>
      <c r="J177" s="77"/>
      <c r="K177" s="77"/>
      <c r="L177" s="77"/>
      <c r="M177" s="77"/>
      <c r="N177" s="77"/>
      <c r="O177" s="77"/>
      <c r="P177" s="77"/>
      <c r="Q177" s="30"/>
      <c r="R177" s="30"/>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row>
    <row r="178" ht="14.25" customHeight="1">
      <c r="A178" s="30"/>
      <c r="B178" s="30"/>
      <c r="D178" s="66"/>
      <c r="E178" s="66"/>
      <c r="H178" s="30"/>
      <c r="I178" s="77"/>
      <c r="J178" s="77"/>
      <c r="K178" s="77"/>
      <c r="L178" s="77"/>
      <c r="M178" s="77"/>
      <c r="N178" s="77"/>
      <c r="O178" s="77"/>
      <c r="P178" s="77"/>
      <c r="Q178" s="30"/>
      <c r="R178" s="30"/>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row>
    <row r="179" ht="14.25" customHeight="1">
      <c r="A179" s="30"/>
      <c r="B179" s="30"/>
      <c r="D179" s="66"/>
      <c r="E179" s="66"/>
      <c r="H179" s="30"/>
      <c r="I179" s="77"/>
      <c r="J179" s="77"/>
      <c r="K179" s="77"/>
      <c r="L179" s="77"/>
      <c r="M179" s="77"/>
      <c r="N179" s="77"/>
      <c r="O179" s="77"/>
      <c r="P179" s="77"/>
      <c r="Q179" s="30"/>
      <c r="R179" s="30"/>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row>
    <row r="180" ht="14.25" customHeight="1">
      <c r="A180" s="30"/>
      <c r="B180" s="30"/>
      <c r="D180" s="66"/>
      <c r="E180" s="66"/>
      <c r="H180" s="30"/>
      <c r="I180" s="77"/>
      <c r="J180" s="77"/>
      <c r="K180" s="77"/>
      <c r="L180" s="77"/>
      <c r="M180" s="77"/>
      <c r="N180" s="77"/>
      <c r="O180" s="77"/>
      <c r="P180" s="77"/>
      <c r="Q180" s="30"/>
      <c r="R180" s="30"/>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row>
    <row r="181" ht="14.25" customHeight="1">
      <c r="A181" s="30"/>
      <c r="B181" s="30"/>
      <c r="D181" s="66"/>
      <c r="E181" s="66"/>
      <c r="H181" s="30"/>
      <c r="I181" s="77"/>
      <c r="J181" s="77"/>
      <c r="K181" s="77"/>
      <c r="L181" s="77"/>
      <c r="M181" s="77"/>
      <c r="N181" s="77"/>
      <c r="O181" s="77"/>
      <c r="P181" s="77"/>
      <c r="Q181" s="30"/>
      <c r="R181" s="30"/>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row>
    <row r="182" ht="14.25" customHeight="1">
      <c r="A182" s="30"/>
      <c r="B182" s="30"/>
      <c r="D182" s="66"/>
      <c r="E182" s="66"/>
      <c r="H182" s="30"/>
      <c r="I182" s="77"/>
      <c r="J182" s="77"/>
      <c r="K182" s="77"/>
      <c r="L182" s="77"/>
      <c r="M182" s="77"/>
      <c r="N182" s="77"/>
      <c r="O182" s="77"/>
      <c r="P182" s="77"/>
      <c r="Q182" s="30"/>
      <c r="R182" s="30"/>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row>
    <row r="183" ht="14.25" customHeight="1">
      <c r="A183" s="30"/>
      <c r="B183" s="30"/>
      <c r="D183" s="66"/>
      <c r="E183" s="66"/>
      <c r="H183" s="30"/>
      <c r="I183" s="77"/>
      <c r="J183" s="77"/>
      <c r="K183" s="77"/>
      <c r="L183" s="77"/>
      <c r="M183" s="77"/>
      <c r="N183" s="77"/>
      <c r="O183" s="77"/>
      <c r="P183" s="77"/>
      <c r="Q183" s="30"/>
      <c r="R183" s="30"/>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row>
    <row r="184" ht="14.25" customHeight="1">
      <c r="A184" s="30"/>
      <c r="B184" s="30"/>
      <c r="D184" s="66"/>
      <c r="E184" s="66"/>
      <c r="H184" s="30"/>
      <c r="I184" s="77"/>
      <c r="J184" s="77"/>
      <c r="K184" s="77"/>
      <c r="L184" s="77"/>
      <c r="M184" s="77"/>
      <c r="N184" s="77"/>
      <c r="O184" s="77"/>
      <c r="P184" s="77"/>
      <c r="Q184" s="30"/>
      <c r="R184" s="30"/>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row>
    <row r="185" ht="14.25" customHeight="1">
      <c r="A185" s="30"/>
      <c r="B185" s="30"/>
      <c r="D185" s="66"/>
      <c r="E185" s="66"/>
      <c r="H185" s="30"/>
      <c r="I185" s="77"/>
      <c r="J185" s="77"/>
      <c r="K185" s="77"/>
      <c r="L185" s="77"/>
      <c r="M185" s="77"/>
      <c r="N185" s="77"/>
      <c r="O185" s="77"/>
      <c r="P185" s="77"/>
      <c r="Q185" s="30"/>
      <c r="R185" s="30"/>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row>
    <row r="186" ht="14.25" customHeight="1">
      <c r="A186" s="30"/>
      <c r="B186" s="30"/>
      <c r="D186" s="66"/>
      <c r="E186" s="66"/>
      <c r="H186" s="30"/>
      <c r="I186" s="77"/>
      <c r="J186" s="77"/>
      <c r="K186" s="77"/>
      <c r="L186" s="77"/>
      <c r="M186" s="77"/>
      <c r="N186" s="77"/>
      <c r="O186" s="77"/>
      <c r="P186" s="77"/>
      <c r="Q186" s="30"/>
      <c r="R186" s="30"/>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row>
    <row r="187" ht="14.25" customHeight="1">
      <c r="A187" s="30"/>
      <c r="B187" s="30"/>
      <c r="D187" s="66"/>
      <c r="E187" s="66"/>
      <c r="H187" s="30"/>
      <c r="I187" s="77"/>
      <c r="J187" s="77"/>
      <c r="K187" s="77"/>
      <c r="L187" s="77"/>
      <c r="M187" s="77"/>
      <c r="N187" s="77"/>
      <c r="O187" s="77"/>
      <c r="P187" s="77"/>
      <c r="Q187" s="30"/>
      <c r="R187" s="30"/>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row>
    <row r="188" ht="14.25" customHeight="1">
      <c r="A188" s="30"/>
      <c r="B188" s="30"/>
      <c r="D188" s="66"/>
      <c r="E188" s="66"/>
      <c r="H188" s="30"/>
      <c r="I188" s="77"/>
      <c r="J188" s="77"/>
      <c r="K188" s="77"/>
      <c r="L188" s="77"/>
      <c r="M188" s="77"/>
      <c r="N188" s="77"/>
      <c r="O188" s="77"/>
      <c r="P188" s="77"/>
      <c r="Q188" s="30"/>
      <c r="R188" s="30"/>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row>
    <row r="189" ht="14.25" customHeight="1">
      <c r="A189" s="30"/>
      <c r="B189" s="30"/>
      <c r="D189" s="66"/>
      <c r="E189" s="66"/>
      <c r="H189" s="30"/>
      <c r="I189" s="77"/>
      <c r="J189" s="77"/>
      <c r="K189" s="77"/>
      <c r="L189" s="77"/>
      <c r="M189" s="77"/>
      <c r="N189" s="77"/>
      <c r="O189" s="77"/>
      <c r="P189" s="77"/>
      <c r="Q189" s="30"/>
      <c r="R189" s="30"/>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row>
    <row r="190" ht="14.25" customHeight="1">
      <c r="A190" s="30"/>
      <c r="B190" s="30"/>
      <c r="D190" s="66"/>
      <c r="E190" s="66"/>
      <c r="H190" s="30"/>
      <c r="I190" s="77"/>
      <c r="J190" s="77"/>
      <c r="K190" s="77"/>
      <c r="L190" s="77"/>
      <c r="M190" s="77"/>
      <c r="N190" s="77"/>
      <c r="O190" s="77"/>
      <c r="P190" s="77"/>
      <c r="Q190" s="30"/>
      <c r="R190" s="30"/>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row>
    <row r="191" ht="14.25" customHeight="1">
      <c r="A191" s="30"/>
      <c r="B191" s="30"/>
      <c r="D191" s="66"/>
      <c r="E191" s="66"/>
      <c r="H191" s="30"/>
      <c r="I191" s="77"/>
      <c r="J191" s="77"/>
      <c r="K191" s="77"/>
      <c r="L191" s="77"/>
      <c r="M191" s="77"/>
      <c r="N191" s="77"/>
      <c r="O191" s="77"/>
      <c r="P191" s="77"/>
      <c r="Q191" s="30"/>
      <c r="R191" s="30"/>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row>
    <row r="192" ht="14.25" customHeight="1">
      <c r="A192" s="30"/>
      <c r="B192" s="30"/>
      <c r="D192" s="66"/>
      <c r="E192" s="66"/>
      <c r="H192" s="30"/>
      <c r="I192" s="77"/>
      <c r="J192" s="77"/>
      <c r="K192" s="77"/>
      <c r="L192" s="77"/>
      <c r="M192" s="77"/>
      <c r="N192" s="77"/>
      <c r="O192" s="77"/>
      <c r="P192" s="77"/>
      <c r="Q192" s="30"/>
      <c r="R192" s="30"/>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row>
    <row r="193" ht="14.25" customHeight="1">
      <c r="A193" s="30"/>
      <c r="B193" s="30"/>
      <c r="D193" s="66"/>
      <c r="E193" s="66"/>
      <c r="H193" s="30"/>
      <c r="I193" s="77"/>
      <c r="J193" s="77"/>
      <c r="K193" s="77"/>
      <c r="L193" s="77"/>
      <c r="M193" s="77"/>
      <c r="N193" s="77"/>
      <c r="O193" s="77"/>
      <c r="P193" s="77"/>
      <c r="Q193" s="30"/>
      <c r="R193" s="30"/>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row>
    <row r="194" ht="14.25" customHeight="1">
      <c r="A194" s="30"/>
      <c r="B194" s="30"/>
      <c r="D194" s="66"/>
      <c r="E194" s="66"/>
      <c r="H194" s="30"/>
      <c r="I194" s="77"/>
      <c r="J194" s="77"/>
      <c r="K194" s="77"/>
      <c r="L194" s="77"/>
      <c r="M194" s="77"/>
      <c r="N194" s="77"/>
      <c r="O194" s="77"/>
      <c r="P194" s="77"/>
      <c r="Q194" s="30"/>
      <c r="R194" s="30"/>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row>
    <row r="195" ht="14.25" customHeight="1">
      <c r="A195" s="30"/>
      <c r="B195" s="30"/>
      <c r="D195" s="66"/>
      <c r="E195" s="66"/>
      <c r="H195" s="30"/>
      <c r="I195" s="77"/>
      <c r="J195" s="77"/>
      <c r="K195" s="77"/>
      <c r="L195" s="77"/>
      <c r="M195" s="77"/>
      <c r="N195" s="77"/>
      <c r="O195" s="77"/>
      <c r="P195" s="77"/>
      <c r="Q195" s="30"/>
      <c r="R195" s="30"/>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row>
    <row r="196" ht="14.25" customHeight="1">
      <c r="A196" s="30"/>
      <c r="B196" s="30"/>
      <c r="D196" s="66"/>
      <c r="E196" s="66"/>
      <c r="H196" s="30"/>
      <c r="I196" s="77"/>
      <c r="J196" s="77"/>
      <c r="K196" s="77"/>
      <c r="L196" s="77"/>
      <c r="M196" s="77"/>
      <c r="N196" s="77"/>
      <c r="O196" s="77"/>
      <c r="P196" s="77"/>
      <c r="Q196" s="30"/>
      <c r="R196" s="30"/>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row>
    <row r="197" ht="14.25" customHeight="1">
      <c r="A197" s="30"/>
      <c r="B197" s="30"/>
      <c r="D197" s="66"/>
      <c r="E197" s="66"/>
      <c r="H197" s="30"/>
      <c r="I197" s="77"/>
      <c r="J197" s="77"/>
      <c r="K197" s="77"/>
      <c r="L197" s="77"/>
      <c r="M197" s="77"/>
      <c r="N197" s="77"/>
      <c r="O197" s="77"/>
      <c r="P197" s="77"/>
      <c r="Q197" s="30"/>
      <c r="R197" s="30"/>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row>
    <row r="198" ht="14.25" customHeight="1">
      <c r="A198" s="30"/>
      <c r="B198" s="30"/>
      <c r="D198" s="66"/>
      <c r="E198" s="66"/>
      <c r="H198" s="30"/>
      <c r="I198" s="77"/>
      <c r="J198" s="77"/>
      <c r="K198" s="77"/>
      <c r="L198" s="77"/>
      <c r="M198" s="77"/>
      <c r="N198" s="77"/>
      <c r="O198" s="77"/>
      <c r="P198" s="77"/>
      <c r="Q198" s="30"/>
      <c r="R198" s="30"/>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row>
    <row r="199" ht="14.25" customHeight="1">
      <c r="A199" s="30"/>
      <c r="B199" s="30"/>
      <c r="D199" s="66"/>
      <c r="E199" s="66"/>
      <c r="H199" s="30"/>
      <c r="I199" s="77"/>
      <c r="J199" s="77"/>
      <c r="K199" s="77"/>
      <c r="L199" s="77"/>
      <c r="M199" s="77"/>
      <c r="N199" s="77"/>
      <c r="O199" s="77"/>
      <c r="P199" s="77"/>
      <c r="Q199" s="30"/>
      <c r="R199" s="30"/>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row>
    <row r="200" ht="14.25" customHeight="1">
      <c r="A200" s="30"/>
      <c r="B200" s="30"/>
      <c r="D200" s="66"/>
      <c r="E200" s="66"/>
      <c r="H200" s="30"/>
      <c r="I200" s="77"/>
      <c r="J200" s="77"/>
      <c r="K200" s="77"/>
      <c r="L200" s="77"/>
      <c r="M200" s="77"/>
      <c r="N200" s="77"/>
      <c r="O200" s="77"/>
      <c r="P200" s="77"/>
      <c r="Q200" s="30"/>
      <c r="R200" s="30"/>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row>
    <row r="201" ht="14.25" customHeight="1">
      <c r="A201" s="30"/>
      <c r="B201" s="30"/>
      <c r="D201" s="66"/>
      <c r="E201" s="66"/>
      <c r="H201" s="30"/>
      <c r="I201" s="77"/>
      <c r="J201" s="77"/>
      <c r="K201" s="77"/>
      <c r="L201" s="77"/>
      <c r="M201" s="77"/>
      <c r="N201" s="77"/>
      <c r="O201" s="77"/>
      <c r="P201" s="77"/>
      <c r="Q201" s="30"/>
      <c r="R201" s="30"/>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row>
    <row r="202" ht="14.25" customHeight="1">
      <c r="A202" s="30"/>
      <c r="B202" s="30"/>
      <c r="D202" s="66"/>
      <c r="E202" s="66"/>
      <c r="H202" s="30"/>
      <c r="I202" s="77"/>
      <c r="J202" s="77"/>
      <c r="K202" s="77"/>
      <c r="L202" s="77"/>
      <c r="M202" s="77"/>
      <c r="N202" s="77"/>
      <c r="O202" s="77"/>
      <c r="P202" s="77"/>
      <c r="Q202" s="30"/>
      <c r="R202" s="30"/>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row>
    <row r="203" ht="14.25" customHeight="1">
      <c r="A203" s="30"/>
      <c r="B203" s="30"/>
      <c r="D203" s="66"/>
      <c r="E203" s="66"/>
      <c r="H203" s="30"/>
      <c r="I203" s="77"/>
      <c r="J203" s="77"/>
      <c r="K203" s="77"/>
      <c r="L203" s="77"/>
      <c r="M203" s="77"/>
      <c r="N203" s="77"/>
      <c r="O203" s="77"/>
      <c r="P203" s="77"/>
      <c r="Q203" s="30"/>
      <c r="R203" s="30"/>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row>
    <row r="204" ht="14.25" customHeight="1">
      <c r="A204" s="30"/>
      <c r="B204" s="30"/>
      <c r="D204" s="66"/>
      <c r="E204" s="66"/>
      <c r="H204" s="30"/>
      <c r="I204" s="77"/>
      <c r="J204" s="77"/>
      <c r="K204" s="77"/>
      <c r="L204" s="77"/>
      <c r="M204" s="77"/>
      <c r="N204" s="77"/>
      <c r="O204" s="77"/>
      <c r="P204" s="77"/>
      <c r="Q204" s="30"/>
      <c r="R204" s="30"/>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row>
    <row r="205" ht="14.25" customHeight="1">
      <c r="A205" s="30"/>
      <c r="B205" s="30"/>
      <c r="D205" s="66"/>
      <c r="E205" s="66"/>
      <c r="H205" s="30"/>
      <c r="I205" s="77"/>
      <c r="J205" s="77"/>
      <c r="K205" s="77"/>
      <c r="L205" s="77"/>
      <c r="M205" s="77"/>
      <c r="N205" s="77"/>
      <c r="O205" s="77"/>
      <c r="P205" s="77"/>
      <c r="Q205" s="30"/>
      <c r="R205" s="30"/>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row>
    <row r="206" ht="14.25" customHeight="1">
      <c r="A206" s="30"/>
      <c r="B206" s="30"/>
      <c r="D206" s="66"/>
      <c r="E206" s="66"/>
      <c r="H206" s="30"/>
      <c r="I206" s="77"/>
      <c r="J206" s="77"/>
      <c r="K206" s="77"/>
      <c r="L206" s="77"/>
      <c r="M206" s="77"/>
      <c r="N206" s="77"/>
      <c r="O206" s="77"/>
      <c r="P206" s="77"/>
      <c r="Q206" s="30"/>
      <c r="R206" s="30"/>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row>
    <row r="207" ht="14.25" customHeight="1">
      <c r="A207" s="30"/>
      <c r="B207" s="30"/>
      <c r="D207" s="66"/>
      <c r="E207" s="66"/>
      <c r="H207" s="30"/>
      <c r="I207" s="77"/>
      <c r="J207" s="77"/>
      <c r="K207" s="77"/>
      <c r="L207" s="77"/>
      <c r="M207" s="77"/>
      <c r="N207" s="77"/>
      <c r="O207" s="77"/>
      <c r="P207" s="77"/>
      <c r="Q207" s="30"/>
      <c r="R207" s="30"/>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row>
    <row r="208" ht="14.25" customHeight="1">
      <c r="A208" s="30"/>
      <c r="B208" s="30"/>
      <c r="D208" s="66"/>
      <c r="E208" s="66"/>
      <c r="H208" s="30"/>
      <c r="I208" s="77"/>
      <c r="J208" s="77"/>
      <c r="K208" s="77"/>
      <c r="L208" s="77"/>
      <c r="M208" s="77"/>
      <c r="N208" s="77"/>
      <c r="O208" s="77"/>
      <c r="P208" s="77"/>
      <c r="Q208" s="30"/>
      <c r="R208" s="30"/>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row>
    <row r="209" ht="14.25" customHeight="1">
      <c r="A209" s="30"/>
      <c r="B209" s="30"/>
      <c r="D209" s="66"/>
      <c r="E209" s="66"/>
      <c r="H209" s="30"/>
      <c r="I209" s="77"/>
      <c r="J209" s="77"/>
      <c r="K209" s="77"/>
      <c r="L209" s="77"/>
      <c r="M209" s="77"/>
      <c r="N209" s="77"/>
      <c r="O209" s="77"/>
      <c r="P209" s="77"/>
      <c r="Q209" s="30"/>
      <c r="R209" s="30"/>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row>
    <row r="210" ht="14.25" customHeight="1">
      <c r="A210" s="30"/>
      <c r="B210" s="30"/>
      <c r="D210" s="66"/>
      <c r="E210" s="66"/>
      <c r="H210" s="30"/>
      <c r="I210" s="77"/>
      <c r="J210" s="77"/>
      <c r="K210" s="77"/>
      <c r="L210" s="77"/>
      <c r="M210" s="77"/>
      <c r="N210" s="77"/>
      <c r="O210" s="77"/>
      <c r="P210" s="77"/>
      <c r="Q210" s="30"/>
      <c r="R210" s="30"/>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row>
    <row r="211" ht="14.25" customHeight="1">
      <c r="A211" s="30"/>
      <c r="B211" s="30"/>
      <c r="D211" s="66"/>
      <c r="E211" s="66"/>
      <c r="H211" s="30"/>
      <c r="I211" s="77"/>
      <c r="J211" s="77"/>
      <c r="K211" s="77"/>
      <c r="L211" s="77"/>
      <c r="M211" s="77"/>
      <c r="N211" s="77"/>
      <c r="O211" s="77"/>
      <c r="P211" s="77"/>
      <c r="Q211" s="30"/>
      <c r="R211" s="30"/>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row>
    <row r="212" ht="14.25" customHeight="1">
      <c r="A212" s="30"/>
      <c r="B212" s="30"/>
      <c r="D212" s="66"/>
      <c r="E212" s="66"/>
      <c r="H212" s="30"/>
      <c r="I212" s="77"/>
      <c r="J212" s="77"/>
      <c r="K212" s="77"/>
      <c r="L212" s="77"/>
      <c r="M212" s="77"/>
      <c r="N212" s="77"/>
      <c r="O212" s="77"/>
      <c r="P212" s="77"/>
      <c r="Q212" s="30"/>
      <c r="R212" s="30"/>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row>
    <row r="213" ht="14.25" customHeight="1">
      <c r="A213" s="30"/>
      <c r="B213" s="30"/>
      <c r="D213" s="66"/>
      <c r="E213" s="66"/>
      <c r="H213" s="30"/>
      <c r="I213" s="77"/>
      <c r="J213" s="77"/>
      <c r="K213" s="77"/>
      <c r="L213" s="77"/>
      <c r="M213" s="77"/>
      <c r="N213" s="77"/>
      <c r="O213" s="77"/>
      <c r="P213" s="77"/>
      <c r="Q213" s="30"/>
      <c r="R213" s="30"/>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row>
    <row r="214" ht="14.25" customHeight="1">
      <c r="A214" s="30"/>
      <c r="B214" s="30"/>
      <c r="D214" s="66"/>
      <c r="E214" s="66"/>
      <c r="H214" s="30"/>
      <c r="I214" s="77"/>
      <c r="J214" s="77"/>
      <c r="K214" s="77"/>
      <c r="L214" s="77"/>
      <c r="M214" s="77"/>
      <c r="N214" s="77"/>
      <c r="O214" s="77"/>
      <c r="P214" s="77"/>
      <c r="Q214" s="30"/>
      <c r="R214" s="30"/>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row>
    <row r="215" ht="14.25" customHeight="1">
      <c r="A215" s="30"/>
      <c r="B215" s="30"/>
      <c r="D215" s="66"/>
      <c r="E215" s="66"/>
      <c r="H215" s="30"/>
      <c r="I215" s="77"/>
      <c r="J215" s="77"/>
      <c r="K215" s="77"/>
      <c r="L215" s="77"/>
      <c r="M215" s="77"/>
      <c r="N215" s="77"/>
      <c r="O215" s="77"/>
      <c r="P215" s="77"/>
      <c r="Q215" s="30"/>
      <c r="R215" s="30"/>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row>
    <row r="216" ht="14.25" customHeight="1">
      <c r="A216" s="30"/>
      <c r="B216" s="30"/>
      <c r="D216" s="66"/>
      <c r="E216" s="66"/>
      <c r="H216" s="30"/>
      <c r="I216" s="77"/>
      <c r="J216" s="77"/>
      <c r="K216" s="77"/>
      <c r="L216" s="77"/>
      <c r="M216" s="77"/>
      <c r="N216" s="77"/>
      <c r="O216" s="77"/>
      <c r="P216" s="77"/>
      <c r="Q216" s="30"/>
      <c r="R216" s="30"/>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row>
    <row r="217" ht="14.25" customHeight="1">
      <c r="A217" s="30"/>
      <c r="B217" s="30"/>
      <c r="D217" s="66"/>
      <c r="E217" s="66"/>
      <c r="H217" s="30"/>
      <c r="I217" s="77"/>
      <c r="J217" s="77"/>
      <c r="K217" s="77"/>
      <c r="L217" s="77"/>
      <c r="M217" s="77"/>
      <c r="N217" s="77"/>
      <c r="O217" s="77"/>
      <c r="P217" s="77"/>
      <c r="Q217" s="30"/>
      <c r="R217" s="30"/>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row>
    <row r="218" ht="14.25" customHeight="1">
      <c r="A218" s="30"/>
      <c r="B218" s="30"/>
      <c r="D218" s="66"/>
      <c r="E218" s="66"/>
      <c r="H218" s="30"/>
      <c r="I218" s="77"/>
      <c r="J218" s="77"/>
      <c r="K218" s="77"/>
      <c r="L218" s="77"/>
      <c r="M218" s="77"/>
      <c r="N218" s="77"/>
      <c r="O218" s="77"/>
      <c r="P218" s="77"/>
      <c r="Q218" s="30"/>
      <c r="R218" s="30"/>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row>
    <row r="219" ht="14.25" customHeight="1">
      <c r="A219" s="30"/>
      <c r="B219" s="30"/>
      <c r="D219" s="66"/>
      <c r="E219" s="66"/>
      <c r="H219" s="30"/>
      <c r="I219" s="77"/>
      <c r="J219" s="77"/>
      <c r="K219" s="77"/>
      <c r="L219" s="77"/>
      <c r="M219" s="77"/>
      <c r="N219" s="77"/>
      <c r="O219" s="77"/>
      <c r="P219" s="77"/>
      <c r="Q219" s="30"/>
      <c r="R219" s="30"/>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row>
    <row r="220" ht="14.25" customHeight="1">
      <c r="A220" s="30"/>
      <c r="B220" s="30"/>
      <c r="D220" s="66"/>
      <c r="E220" s="66"/>
      <c r="H220" s="30"/>
      <c r="I220" s="77"/>
      <c r="J220" s="77"/>
      <c r="K220" s="77"/>
      <c r="L220" s="77"/>
      <c r="M220" s="77"/>
      <c r="N220" s="77"/>
      <c r="O220" s="77"/>
      <c r="P220" s="77"/>
      <c r="Q220" s="30"/>
      <c r="R220" s="30"/>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row>
    <row r="221" ht="14.25" customHeight="1">
      <c r="A221" s="30"/>
      <c r="B221" s="30"/>
      <c r="D221" s="66"/>
      <c r="E221" s="66"/>
      <c r="H221" s="30"/>
      <c r="I221" s="77"/>
      <c r="J221" s="77"/>
      <c r="K221" s="77"/>
      <c r="L221" s="77"/>
      <c r="M221" s="77"/>
      <c r="N221" s="77"/>
      <c r="O221" s="77"/>
      <c r="P221" s="77"/>
      <c r="Q221" s="30"/>
      <c r="R221" s="30"/>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row>
    <row r="222" ht="14.25" customHeight="1">
      <c r="A222" s="30"/>
      <c r="B222" s="30"/>
      <c r="D222" s="66"/>
      <c r="E222" s="66"/>
      <c r="H222" s="30"/>
      <c r="I222" s="77"/>
      <c r="J222" s="77"/>
      <c r="K222" s="77"/>
      <c r="L222" s="77"/>
      <c r="M222" s="77"/>
      <c r="N222" s="77"/>
      <c r="O222" s="77"/>
      <c r="P222" s="77"/>
      <c r="Q222" s="30"/>
      <c r="R222" s="30"/>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row>
    <row r="223" ht="14.25" customHeight="1">
      <c r="A223" s="30"/>
      <c r="B223" s="30"/>
      <c r="D223" s="66"/>
      <c r="E223" s="66"/>
      <c r="H223" s="30"/>
      <c r="I223" s="77"/>
      <c r="J223" s="77"/>
      <c r="K223" s="77"/>
      <c r="L223" s="77"/>
      <c r="M223" s="77"/>
      <c r="N223" s="77"/>
      <c r="O223" s="77"/>
      <c r="P223" s="77"/>
      <c r="Q223" s="30"/>
      <c r="R223" s="30"/>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row>
    <row r="224" ht="14.25" customHeight="1">
      <c r="A224" s="30"/>
      <c r="B224" s="30"/>
      <c r="D224" s="66"/>
      <c r="E224" s="66"/>
      <c r="H224" s="30"/>
      <c r="I224" s="77"/>
      <c r="J224" s="77"/>
      <c r="K224" s="77"/>
      <c r="L224" s="77"/>
      <c r="M224" s="77"/>
      <c r="N224" s="77"/>
      <c r="O224" s="77"/>
      <c r="P224" s="77"/>
      <c r="Q224" s="30"/>
      <c r="R224" s="30"/>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row>
    <row r="225" ht="14.25" customHeight="1">
      <c r="A225" s="30"/>
      <c r="B225" s="30"/>
      <c r="D225" s="66"/>
      <c r="E225" s="66"/>
      <c r="H225" s="30"/>
      <c r="I225" s="77"/>
      <c r="J225" s="77"/>
      <c r="K225" s="77"/>
      <c r="L225" s="77"/>
      <c r="M225" s="77"/>
      <c r="N225" s="77"/>
      <c r="O225" s="77"/>
      <c r="P225" s="77"/>
      <c r="Q225" s="30"/>
      <c r="R225" s="30"/>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row>
    <row r="226" ht="14.25" customHeight="1">
      <c r="A226" s="30"/>
      <c r="B226" s="30"/>
      <c r="D226" s="66"/>
      <c r="E226" s="66"/>
      <c r="H226" s="30"/>
      <c r="I226" s="77"/>
      <c r="J226" s="77"/>
      <c r="K226" s="77"/>
      <c r="L226" s="77"/>
      <c r="M226" s="77"/>
      <c r="N226" s="77"/>
      <c r="O226" s="77"/>
      <c r="P226" s="77"/>
      <c r="Q226" s="30"/>
      <c r="R226" s="30"/>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row>
    <row r="227" ht="14.25" customHeight="1">
      <c r="A227" s="30"/>
      <c r="B227" s="30"/>
      <c r="D227" s="66"/>
      <c r="E227" s="66"/>
      <c r="H227" s="30"/>
      <c r="I227" s="77"/>
      <c r="J227" s="77"/>
      <c r="K227" s="77"/>
      <c r="L227" s="77"/>
      <c r="M227" s="77"/>
      <c r="N227" s="77"/>
      <c r="O227" s="77"/>
      <c r="P227" s="77"/>
      <c r="Q227" s="30"/>
      <c r="R227" s="30"/>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row>
    <row r="228" ht="14.25" customHeight="1">
      <c r="A228" s="30"/>
      <c r="B228" s="30"/>
      <c r="D228" s="66"/>
      <c r="E228" s="66"/>
      <c r="H228" s="30"/>
      <c r="I228" s="77"/>
      <c r="J228" s="77"/>
      <c r="K228" s="77"/>
      <c r="L228" s="77"/>
      <c r="M228" s="77"/>
      <c r="N228" s="77"/>
      <c r="O228" s="77"/>
      <c r="P228" s="77"/>
      <c r="Q228" s="30"/>
      <c r="R228" s="30"/>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6:E26"/>
  </mergeCells>
  <conditionalFormatting sqref="D6:D25">
    <cfRule type="containsText" dxfId="1" priority="1" operator="containsText" text="Sem">
      <formula>NOT(ISERROR(SEARCH(("Sem"),(D6))))</formula>
    </cfRule>
  </conditionalFormatting>
  <conditionalFormatting sqref="D6:D25">
    <cfRule type="containsText" dxfId="2" priority="2" operator="containsText" text="Muito">
      <formula>NOT(ISERROR(SEARCH(("Muito"),(D6))))</formula>
    </cfRule>
  </conditionalFormatting>
  <conditionalFormatting sqref="D6:D25">
    <cfRule type="containsText" dxfId="3" priority="3" operator="containsText" text="Totalmente">
      <formula>NOT(ISERROR(SEARCH(("Totalmente"),(D6))))</formula>
    </cfRule>
  </conditionalFormatting>
  <conditionalFormatting sqref="D6:E25">
    <cfRule type="containsText" dxfId="0" priority="4" operator="containsText" text="Pouco">
      <formula>NOT(ISERROR(SEARCH(("Pouco"),(D6))))</formula>
    </cfRule>
  </conditionalFormatting>
  <conditionalFormatting sqref="E6:E25">
    <cfRule type="containsText" dxfId="1" priority="5" operator="containsText" text="Nada">
      <formula>NOT(ISERROR(SEARCH(("Nada"),(E6))))</formula>
    </cfRule>
  </conditionalFormatting>
  <conditionalFormatting sqref="E6:E25">
    <cfRule type="containsText" dxfId="2" priority="6" operator="containsText" text="Muito">
      <formula>NOT(ISERROR(SEARCH(("Muito"),(E6))))</formula>
    </cfRule>
  </conditionalFormatting>
  <conditionalFormatting sqref="E6:E25">
    <cfRule type="containsText" dxfId="3" priority="7" operator="containsText" text="Pra">
      <formula>NOT(ISERROR(SEARCH(("Pra"),(E6))))</formula>
    </cfRule>
  </conditionalFormatting>
  <conditionalFormatting sqref="F6:F25">
    <cfRule type="containsText" dxfId="1" priority="8" operator="containsText" text="Piora muito">
      <formula>NOT(ISERROR(SEARCH(("Piora muito"),(F6))))</formula>
    </cfRule>
  </conditionalFormatting>
  <conditionalFormatting sqref="F6:F25">
    <cfRule type="containsText" dxfId="0" priority="9" operator="containsText" text="Piora">
      <formula>NOT(ISERROR(SEARCH(("Piora"),(F6))))</formula>
    </cfRule>
  </conditionalFormatting>
  <conditionalFormatting sqref="F6:F25">
    <cfRule type="containsText" dxfId="3" priority="10" operator="containsText" text="Melhora muito">
      <formula>NOT(ISERROR(SEARCH(("Melhora muito"),(F6))))</formula>
    </cfRule>
  </conditionalFormatting>
  <conditionalFormatting sqref="F6:F25">
    <cfRule type="containsText" dxfId="2" priority="11" operator="containsText" text="Melhora">
      <formula>NOT(ISERROR(SEARCH(("Melhora"),(F6))))</formula>
    </cfRule>
  </conditionalFormatting>
  <conditionalFormatting sqref="G6:G25">
    <cfRule type="containsText" dxfId="0" priority="12" operator="containsText" text="POUCA IMPORTÂNCIA">
      <formula>NOT(ISERROR(SEARCH(("POUCA IMPORTÂNCIA"),(G6))))</formula>
    </cfRule>
  </conditionalFormatting>
  <conditionalFormatting sqref="G6:G25">
    <cfRule type="containsText" dxfId="1" priority="13" operator="containsText" text="TOTALMENTE SEM IMPORTÂNCIA">
      <formula>NOT(ISERROR(SEARCH(("TOTALMENTE SEM IMPORTÂNCIA"),(G6))))</formula>
    </cfRule>
  </conditionalFormatting>
  <conditionalFormatting sqref="G6:G25">
    <cfRule type="containsText" dxfId="2" priority="14" operator="containsText" text="MUITO IMPORTANTE">
      <formula>NOT(ISERROR(SEARCH(("MUITO IMPORTANTE"),(G6))))</formula>
    </cfRule>
  </conditionalFormatting>
  <conditionalFormatting sqref="G6:G25">
    <cfRule type="containsText" dxfId="3" priority="15" operator="containsText" text="TOTALMENTE IMPORTANTE">
      <formula>NOT(ISERROR(SEARCH(("TOTALMENTE IMPORTANTE"),(G6))))</formula>
    </cfRule>
  </conditionalFormatting>
  <dataValidations>
    <dataValidation type="list" allowBlank="1" showErrorMessage="1" sqref="D6:D25">
      <formula1>$I$8:$I$12</formula1>
    </dataValidation>
    <dataValidation type="list" allowBlank="1" showErrorMessage="1" sqref="F6:F25">
      <formula1>$I$24:$I$28</formula1>
    </dataValidation>
    <dataValidation type="list" allowBlank="1" showErrorMessage="1" sqref="E6:E25">
      <formula1>$I$16:$I$20</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50.71"/>
    <col customWidth="1" min="4" max="6" width="25.71"/>
    <col customWidth="1" min="7" max="7" width="15.71"/>
    <col customWidth="1" min="8" max="8" width="10.43"/>
    <col customWidth="1" min="9" max="9" width="20.43"/>
    <col customWidth="1" min="10" max="17" width="8.71"/>
    <col customWidth="1" min="18" max="18" width="9.29"/>
    <col customWidth="1" hidden="1" min="19" max="47" width="9.29"/>
  </cols>
  <sheetData>
    <row r="1" ht="24.0" customHeight="1">
      <c r="A1" s="30"/>
      <c r="B1" s="30"/>
      <c r="C1" s="31"/>
      <c r="D1" s="74"/>
      <c r="E1" s="74"/>
      <c r="F1" s="74"/>
      <c r="G1" s="74"/>
      <c r="H1" s="75"/>
      <c r="I1" s="75"/>
      <c r="J1" s="75"/>
      <c r="K1" s="75"/>
      <c r="L1" s="75"/>
      <c r="M1" s="30"/>
      <c r="N1" s="30"/>
      <c r="O1" s="30"/>
      <c r="P1" s="30"/>
      <c r="Q1" s="30"/>
      <c r="R1" s="30"/>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row>
    <row r="2" ht="42.75" customHeight="1">
      <c r="A2" s="36"/>
      <c r="B2" s="30"/>
      <c r="C2" s="78"/>
      <c r="D2" s="79"/>
      <c r="E2" s="79"/>
      <c r="F2" s="79"/>
      <c r="G2" s="79"/>
      <c r="H2" s="80"/>
      <c r="I2" s="80"/>
      <c r="J2" s="80"/>
      <c r="K2" s="80"/>
      <c r="L2" s="80"/>
      <c r="M2" s="30"/>
      <c r="N2" s="30"/>
      <c r="O2" s="30"/>
      <c r="P2" s="30"/>
      <c r="Q2" s="30"/>
      <c r="R2" s="30"/>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row>
    <row r="3" ht="45.0" customHeight="1">
      <c r="A3" s="30"/>
      <c r="B3" s="30"/>
      <c r="C3" s="30"/>
      <c r="D3" s="30"/>
      <c r="E3" s="30"/>
      <c r="F3" s="30"/>
      <c r="G3" s="30"/>
      <c r="H3" s="30"/>
      <c r="I3" s="30"/>
      <c r="J3" s="30"/>
      <c r="K3" s="30"/>
      <c r="L3" s="30"/>
      <c r="M3" s="30"/>
      <c r="N3" s="30"/>
      <c r="O3" s="30"/>
      <c r="P3" s="30"/>
      <c r="Q3" s="30"/>
      <c r="R3" s="30"/>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row>
    <row r="4" ht="30.0" customHeight="1">
      <c r="A4" s="30"/>
      <c r="B4" s="41"/>
      <c r="C4" s="68" t="s">
        <v>40</v>
      </c>
      <c r="D4" s="43" t="s">
        <v>41</v>
      </c>
      <c r="E4" s="43" t="s">
        <v>68</v>
      </c>
      <c r="F4" s="43" t="s">
        <v>43</v>
      </c>
      <c r="G4" s="44" t="s">
        <v>44</v>
      </c>
      <c r="H4" s="67"/>
      <c r="I4" s="67"/>
      <c r="J4" s="67"/>
      <c r="K4" s="67"/>
      <c r="L4" s="67"/>
      <c r="M4" s="67"/>
      <c r="N4" s="67"/>
      <c r="O4" s="67"/>
      <c r="P4" s="67"/>
      <c r="Q4" s="67"/>
      <c r="R4" s="67"/>
      <c r="S4" s="89">
        <v>1.0</v>
      </c>
      <c r="T4" s="89">
        <v>1.0</v>
      </c>
      <c r="U4" s="89">
        <v>1.0</v>
      </c>
      <c r="V4" s="89">
        <v>1.0</v>
      </c>
      <c r="W4" s="89">
        <v>2.0</v>
      </c>
      <c r="X4" s="89">
        <v>2.0</v>
      </c>
      <c r="Y4" s="89">
        <v>2.0</v>
      </c>
      <c r="Z4" s="89">
        <v>2.0</v>
      </c>
      <c r="AA4" s="89">
        <v>2.0</v>
      </c>
      <c r="AB4" s="89">
        <v>2.0</v>
      </c>
      <c r="AC4" s="89">
        <v>2.0</v>
      </c>
      <c r="AD4" s="89">
        <v>2.0</v>
      </c>
      <c r="AE4" s="89">
        <v>2.0</v>
      </c>
      <c r="AF4" s="89">
        <v>2.0</v>
      </c>
      <c r="AG4" s="89">
        <v>2.0</v>
      </c>
      <c r="AH4" s="89">
        <v>2.0</v>
      </c>
      <c r="AI4" s="89">
        <v>3.0</v>
      </c>
      <c r="AJ4" s="89">
        <v>3.0</v>
      </c>
      <c r="AK4" s="89">
        <v>3.0</v>
      </c>
      <c r="AL4" s="89">
        <v>3.0</v>
      </c>
      <c r="AM4" s="89">
        <v>3.0</v>
      </c>
      <c r="AN4" s="89">
        <v>3.0</v>
      </c>
      <c r="AO4" s="89">
        <v>3.0</v>
      </c>
      <c r="AP4" s="89">
        <v>3.0</v>
      </c>
      <c r="AQ4" s="89">
        <v>3.0</v>
      </c>
      <c r="AR4" s="89">
        <v>3.0</v>
      </c>
      <c r="AS4" s="89">
        <v>3.0</v>
      </c>
      <c r="AT4" s="89">
        <v>3.0</v>
      </c>
      <c r="AU4" s="89"/>
    </row>
    <row r="5" ht="30.0" customHeight="1">
      <c r="A5" s="30"/>
      <c r="B5" s="30"/>
      <c r="C5" s="69" t="s">
        <v>69</v>
      </c>
      <c r="D5" s="47" t="s">
        <v>46</v>
      </c>
      <c r="E5" s="48" t="s">
        <v>70</v>
      </c>
      <c r="F5" s="49" t="s">
        <v>48</v>
      </c>
      <c r="G5" s="49" t="s">
        <v>49</v>
      </c>
      <c r="H5" s="64"/>
      <c r="I5" s="64"/>
      <c r="J5" s="64"/>
      <c r="K5" s="64"/>
      <c r="L5" s="64"/>
      <c r="M5" s="64"/>
      <c r="N5" s="64"/>
      <c r="O5" s="64"/>
      <c r="P5" s="64"/>
      <c r="Q5" s="64"/>
      <c r="R5" s="64"/>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row>
    <row r="6" ht="30.0" customHeight="1">
      <c r="A6" s="30"/>
      <c r="B6" s="30"/>
      <c r="C6" s="70"/>
      <c r="D6" s="51"/>
      <c r="E6" s="51"/>
      <c r="F6" s="52"/>
      <c r="G6" s="53" t="str">
        <f t="shared" ref="G6:G25" si="1">IF(ISERROR(VLOOKUP(D6,$I$8:$J$12,2,FALSE)*VLOOKUP(E6,$I$16:$J$20,2,FALSE)*VLOOKUP(F6,$I$24:$J$28,2,FALSE)),"",VLOOKUP(D6,$I$8:$J$12,2,FALSE)*VLOOKUP(E6,$I$16:$J$20,2,FALSE)*VLOOKUP(F6,$I$24:$J$28,2,FALSE))</f>
        <v/>
      </c>
      <c r="H6" s="64"/>
      <c r="I6" s="90" t="s">
        <v>41</v>
      </c>
      <c r="J6" s="90"/>
      <c r="K6" s="90"/>
      <c r="L6" s="90">
        <v>2.0E-4</v>
      </c>
      <c r="M6" s="91" t="str">
        <f t="shared" ref="M6:M25" si="2">IF(G6="","",G6+L7)</f>
        <v/>
      </c>
      <c r="N6" s="92" t="str">
        <f t="shared" ref="N6:N25" si="3">IF(C6=0,"",C6)</f>
        <v/>
      </c>
      <c r="O6" s="91" t="str">
        <f t="shared" ref="O6:O25" si="4">G6</f>
        <v/>
      </c>
      <c r="P6" s="93"/>
      <c r="Q6" s="64"/>
      <c r="R6" s="64"/>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row>
    <row r="7" ht="30.0" customHeight="1">
      <c r="A7" s="30"/>
      <c r="B7" s="30"/>
      <c r="C7" s="70"/>
      <c r="D7" s="51"/>
      <c r="E7" s="51"/>
      <c r="F7" s="52"/>
      <c r="G7" s="53" t="str">
        <f t="shared" si="1"/>
        <v/>
      </c>
      <c r="H7" s="94"/>
      <c r="I7" s="95"/>
      <c r="J7" s="90"/>
      <c r="K7" s="90"/>
      <c r="L7" s="90">
        <v>1.9E-4</v>
      </c>
      <c r="M7" s="91" t="str">
        <f t="shared" si="2"/>
        <v/>
      </c>
      <c r="N7" s="92" t="str">
        <f t="shared" si="3"/>
        <v/>
      </c>
      <c r="O7" s="91" t="str">
        <f t="shared" si="4"/>
        <v/>
      </c>
      <c r="P7" s="93"/>
      <c r="Q7" s="64"/>
      <c r="R7" s="64"/>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row>
    <row r="8" ht="30.0" customHeight="1">
      <c r="A8" s="30"/>
      <c r="B8" s="30"/>
      <c r="C8" s="70"/>
      <c r="D8" s="51"/>
      <c r="E8" s="51"/>
      <c r="F8" s="52"/>
      <c r="G8" s="53" t="str">
        <f t="shared" si="1"/>
        <v/>
      </c>
      <c r="H8" s="96"/>
      <c r="I8" s="90" t="s">
        <v>50</v>
      </c>
      <c r="J8" s="95">
        <v>1.0</v>
      </c>
      <c r="K8" s="90"/>
      <c r="L8" s="90">
        <v>1.8E-4</v>
      </c>
      <c r="M8" s="90" t="str">
        <f t="shared" si="2"/>
        <v/>
      </c>
      <c r="N8" s="90" t="str">
        <f t="shared" si="3"/>
        <v/>
      </c>
      <c r="O8" s="91" t="str">
        <f t="shared" si="4"/>
        <v/>
      </c>
      <c r="P8" s="93"/>
      <c r="Q8" s="64"/>
      <c r="R8" s="64"/>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row>
    <row r="9" ht="30.0" customHeight="1">
      <c r="A9" s="30"/>
      <c r="B9" s="30"/>
      <c r="C9" s="70"/>
      <c r="D9" s="51"/>
      <c r="E9" s="51"/>
      <c r="F9" s="52"/>
      <c r="G9" s="53" t="str">
        <f t="shared" si="1"/>
        <v/>
      </c>
      <c r="H9" s="64"/>
      <c r="I9" s="90" t="s">
        <v>51</v>
      </c>
      <c r="J9" s="95">
        <v>2.0</v>
      </c>
      <c r="K9" s="90"/>
      <c r="L9" s="90">
        <v>1.7E-4</v>
      </c>
      <c r="M9" s="90" t="str">
        <f t="shared" si="2"/>
        <v/>
      </c>
      <c r="N9" s="90" t="str">
        <f t="shared" si="3"/>
        <v/>
      </c>
      <c r="O9" s="91" t="str">
        <f t="shared" si="4"/>
        <v/>
      </c>
      <c r="P9" s="93"/>
      <c r="Q9" s="64"/>
      <c r="R9" s="64"/>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row>
    <row r="10" ht="30.0" customHeight="1">
      <c r="A10" s="30"/>
      <c r="B10" s="30"/>
      <c r="C10" s="70"/>
      <c r="D10" s="51"/>
      <c r="E10" s="51"/>
      <c r="F10" s="52"/>
      <c r="G10" s="53" t="str">
        <f t="shared" si="1"/>
        <v/>
      </c>
      <c r="H10" s="64"/>
      <c r="I10" s="90" t="s">
        <v>52</v>
      </c>
      <c r="J10" s="95">
        <v>3.0</v>
      </c>
      <c r="K10" s="90"/>
      <c r="L10" s="90">
        <v>1.6E-4</v>
      </c>
      <c r="M10" s="90" t="str">
        <f t="shared" si="2"/>
        <v/>
      </c>
      <c r="N10" s="90" t="str">
        <f t="shared" si="3"/>
        <v/>
      </c>
      <c r="O10" s="91" t="str">
        <f t="shared" si="4"/>
        <v/>
      </c>
      <c r="P10" s="93"/>
      <c r="Q10" s="64"/>
      <c r="R10" s="64"/>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row>
    <row r="11" ht="30.0" customHeight="1">
      <c r="A11" s="30"/>
      <c r="B11" s="30"/>
      <c r="C11" s="70"/>
      <c r="D11" s="51"/>
      <c r="E11" s="51"/>
      <c r="F11" s="52"/>
      <c r="G11" s="53" t="str">
        <f t="shared" si="1"/>
        <v/>
      </c>
      <c r="H11" s="64"/>
      <c r="I11" s="90" t="s">
        <v>53</v>
      </c>
      <c r="J11" s="95">
        <v>4.0</v>
      </c>
      <c r="K11" s="90"/>
      <c r="L11" s="90">
        <v>1.5E-4</v>
      </c>
      <c r="M11" s="90" t="str">
        <f t="shared" si="2"/>
        <v/>
      </c>
      <c r="N11" s="90" t="str">
        <f t="shared" si="3"/>
        <v/>
      </c>
      <c r="O11" s="91" t="str">
        <f t="shared" si="4"/>
        <v/>
      </c>
      <c r="P11" s="93"/>
      <c r="Q11" s="64"/>
      <c r="R11" s="64"/>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row>
    <row r="12" ht="30.0" customHeight="1">
      <c r="A12" s="30"/>
      <c r="B12" s="30"/>
      <c r="C12" s="70"/>
      <c r="D12" s="51"/>
      <c r="E12" s="51"/>
      <c r="F12" s="52"/>
      <c r="G12" s="53" t="str">
        <f t="shared" si="1"/>
        <v/>
      </c>
      <c r="H12" s="64"/>
      <c r="I12" s="90" t="s">
        <v>54</v>
      </c>
      <c r="J12" s="95">
        <v>5.0</v>
      </c>
      <c r="K12" s="90"/>
      <c r="L12" s="90">
        <v>1.4E-4</v>
      </c>
      <c r="M12" s="90" t="str">
        <f t="shared" si="2"/>
        <v/>
      </c>
      <c r="N12" s="90" t="str">
        <f t="shared" si="3"/>
        <v/>
      </c>
      <c r="O12" s="91" t="str">
        <f t="shared" si="4"/>
        <v/>
      </c>
      <c r="P12" s="93"/>
      <c r="Q12" s="64"/>
      <c r="R12" s="64"/>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row>
    <row r="13" ht="30.0" customHeight="1">
      <c r="A13" s="30"/>
      <c r="B13" s="30"/>
      <c r="C13" s="70"/>
      <c r="D13" s="51"/>
      <c r="E13" s="51"/>
      <c r="F13" s="52"/>
      <c r="G13" s="53" t="str">
        <f t="shared" si="1"/>
        <v/>
      </c>
      <c r="H13" s="64"/>
      <c r="I13" s="90"/>
      <c r="J13" s="90"/>
      <c r="K13" s="90"/>
      <c r="L13" s="90">
        <v>1.3E-4</v>
      </c>
      <c r="M13" s="90" t="str">
        <f t="shared" si="2"/>
        <v/>
      </c>
      <c r="N13" s="90" t="str">
        <f t="shared" si="3"/>
        <v/>
      </c>
      <c r="O13" s="91" t="str">
        <f t="shared" si="4"/>
        <v/>
      </c>
      <c r="P13" s="93"/>
      <c r="Q13" s="64"/>
      <c r="R13" s="64"/>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row>
    <row r="14" ht="30.0" customHeight="1">
      <c r="A14" s="59"/>
      <c r="B14" s="30"/>
      <c r="C14" s="70"/>
      <c r="D14" s="51"/>
      <c r="E14" s="51"/>
      <c r="F14" s="52"/>
      <c r="G14" s="53" t="str">
        <f t="shared" si="1"/>
        <v/>
      </c>
      <c r="H14" s="64"/>
      <c r="I14" s="90" t="s">
        <v>68</v>
      </c>
      <c r="J14" s="90"/>
      <c r="K14" s="90"/>
      <c r="L14" s="90">
        <v>1.2E-4</v>
      </c>
      <c r="M14" s="90" t="str">
        <f t="shared" si="2"/>
        <v/>
      </c>
      <c r="N14" s="90" t="str">
        <f t="shared" si="3"/>
        <v/>
      </c>
      <c r="O14" s="91" t="str">
        <f t="shared" si="4"/>
        <v/>
      </c>
      <c r="P14" s="93"/>
      <c r="Q14" s="64"/>
      <c r="R14" s="64"/>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row>
    <row r="15" ht="30.0" customHeight="1">
      <c r="A15" s="59"/>
      <c r="B15" s="30"/>
      <c r="C15" s="70"/>
      <c r="D15" s="51"/>
      <c r="E15" s="51"/>
      <c r="F15" s="52"/>
      <c r="G15" s="53" t="str">
        <f t="shared" si="1"/>
        <v/>
      </c>
      <c r="H15" s="64"/>
      <c r="I15" s="95"/>
      <c r="J15" s="90"/>
      <c r="K15" s="90"/>
      <c r="L15" s="90">
        <v>1.1E-4</v>
      </c>
      <c r="M15" s="90" t="str">
        <f t="shared" si="2"/>
        <v/>
      </c>
      <c r="N15" s="90" t="str">
        <f t="shared" si="3"/>
        <v/>
      </c>
      <c r="O15" s="91" t="str">
        <f t="shared" si="4"/>
        <v/>
      </c>
      <c r="P15" s="93"/>
      <c r="Q15" s="64"/>
      <c r="R15" s="64"/>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row>
    <row r="16" ht="30.0" customHeight="1">
      <c r="A16" s="30"/>
      <c r="B16" s="30"/>
      <c r="C16" s="70"/>
      <c r="D16" s="51"/>
      <c r="E16" s="51"/>
      <c r="F16" s="52"/>
      <c r="G16" s="53" t="str">
        <f t="shared" si="1"/>
        <v/>
      </c>
      <c r="H16" s="64"/>
      <c r="I16" s="90" t="s">
        <v>71</v>
      </c>
      <c r="J16" s="95">
        <v>1.0</v>
      </c>
      <c r="K16" s="90"/>
      <c r="L16" s="90">
        <v>1.0E-4</v>
      </c>
      <c r="M16" s="90" t="str">
        <f t="shared" si="2"/>
        <v/>
      </c>
      <c r="N16" s="90" t="str">
        <f t="shared" si="3"/>
        <v/>
      </c>
      <c r="O16" s="91" t="str">
        <f t="shared" si="4"/>
        <v/>
      </c>
      <c r="P16" s="93"/>
      <c r="Q16" s="64"/>
      <c r="R16" s="64"/>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row>
    <row r="17" ht="30.0" customHeight="1">
      <c r="A17" s="30"/>
      <c r="B17" s="30"/>
      <c r="C17" s="70"/>
      <c r="D17" s="51"/>
      <c r="E17" s="51"/>
      <c r="F17" s="52"/>
      <c r="G17" s="53" t="str">
        <f t="shared" si="1"/>
        <v/>
      </c>
      <c r="H17" s="64"/>
      <c r="I17" s="90" t="s">
        <v>72</v>
      </c>
      <c r="J17" s="95">
        <v>2.0</v>
      </c>
      <c r="K17" s="90"/>
      <c r="L17" s="90">
        <v>9.0E-5</v>
      </c>
      <c r="M17" s="90" t="str">
        <f t="shared" si="2"/>
        <v/>
      </c>
      <c r="N17" s="90" t="str">
        <f t="shared" si="3"/>
        <v/>
      </c>
      <c r="O17" s="91" t="str">
        <f t="shared" si="4"/>
        <v/>
      </c>
      <c r="P17" s="93"/>
      <c r="Q17" s="64"/>
      <c r="R17" s="64"/>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row>
    <row r="18" ht="30.0" customHeight="1">
      <c r="A18" s="30"/>
      <c r="B18" s="30"/>
      <c r="C18" s="70"/>
      <c r="D18" s="51"/>
      <c r="E18" s="51"/>
      <c r="F18" s="52"/>
      <c r="G18" s="53" t="str">
        <f t="shared" si="1"/>
        <v/>
      </c>
      <c r="H18" s="64"/>
      <c r="I18" s="90" t="s">
        <v>73</v>
      </c>
      <c r="J18" s="95">
        <v>3.0</v>
      </c>
      <c r="K18" s="90"/>
      <c r="L18" s="90">
        <v>8.0E-5</v>
      </c>
      <c r="M18" s="90" t="str">
        <f t="shared" si="2"/>
        <v/>
      </c>
      <c r="N18" s="90" t="str">
        <f t="shared" si="3"/>
        <v/>
      </c>
      <c r="O18" s="91" t="str">
        <f t="shared" si="4"/>
        <v/>
      </c>
      <c r="P18" s="93"/>
      <c r="Q18" s="64"/>
      <c r="R18" s="64"/>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row>
    <row r="19" ht="30.0" customHeight="1">
      <c r="A19" s="30"/>
      <c r="B19" s="30"/>
      <c r="C19" s="70"/>
      <c r="D19" s="51"/>
      <c r="E19" s="51"/>
      <c r="F19" s="52"/>
      <c r="G19" s="53" t="str">
        <f t="shared" si="1"/>
        <v/>
      </c>
      <c r="H19" s="64"/>
      <c r="I19" s="90" t="s">
        <v>74</v>
      </c>
      <c r="J19" s="95">
        <v>4.0</v>
      </c>
      <c r="K19" s="90"/>
      <c r="L19" s="90">
        <v>7.0E-5</v>
      </c>
      <c r="M19" s="90" t="str">
        <f t="shared" si="2"/>
        <v/>
      </c>
      <c r="N19" s="90" t="str">
        <f t="shared" si="3"/>
        <v/>
      </c>
      <c r="O19" s="91" t="str">
        <f t="shared" si="4"/>
        <v/>
      </c>
      <c r="P19" s="93"/>
      <c r="Q19" s="64"/>
      <c r="R19" s="64"/>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row>
    <row r="20" ht="30.0" customHeight="1">
      <c r="A20" s="30"/>
      <c r="B20" s="30"/>
      <c r="C20" s="70"/>
      <c r="D20" s="51"/>
      <c r="E20" s="51"/>
      <c r="F20" s="52"/>
      <c r="G20" s="53" t="str">
        <f t="shared" si="1"/>
        <v/>
      </c>
      <c r="H20" s="64"/>
      <c r="I20" s="90" t="s">
        <v>75</v>
      </c>
      <c r="J20" s="95">
        <v>5.0</v>
      </c>
      <c r="K20" s="90"/>
      <c r="L20" s="90">
        <v>6.0E-5</v>
      </c>
      <c r="M20" s="90" t="str">
        <f t="shared" si="2"/>
        <v/>
      </c>
      <c r="N20" s="90" t="str">
        <f t="shared" si="3"/>
        <v/>
      </c>
      <c r="O20" s="91" t="str">
        <f t="shared" si="4"/>
        <v/>
      </c>
      <c r="P20" s="93"/>
      <c r="Q20" s="64"/>
      <c r="R20" s="64"/>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row>
    <row r="21" ht="30.0" customHeight="1">
      <c r="A21" s="30"/>
      <c r="B21" s="30"/>
      <c r="C21" s="70"/>
      <c r="D21" s="51"/>
      <c r="E21" s="51"/>
      <c r="F21" s="52"/>
      <c r="G21" s="53" t="str">
        <f t="shared" si="1"/>
        <v/>
      </c>
      <c r="H21" s="64"/>
      <c r="I21" s="90"/>
      <c r="J21" s="90"/>
      <c r="K21" s="90"/>
      <c r="L21" s="90">
        <v>5.0E-5</v>
      </c>
      <c r="M21" s="90" t="str">
        <f t="shared" si="2"/>
        <v/>
      </c>
      <c r="N21" s="90" t="str">
        <f t="shared" si="3"/>
        <v/>
      </c>
      <c r="O21" s="91" t="str">
        <f t="shared" si="4"/>
        <v/>
      </c>
      <c r="P21" s="93"/>
      <c r="Q21" s="64"/>
      <c r="R21" s="64"/>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row>
    <row r="22" ht="30.0" customHeight="1">
      <c r="A22" s="30"/>
      <c r="B22" s="30"/>
      <c r="C22" s="70"/>
      <c r="D22" s="51"/>
      <c r="E22" s="51"/>
      <c r="F22" s="52"/>
      <c r="G22" s="53" t="str">
        <f t="shared" si="1"/>
        <v/>
      </c>
      <c r="H22" s="64"/>
      <c r="I22" s="90" t="s">
        <v>43</v>
      </c>
      <c r="J22" s="90"/>
      <c r="K22" s="90"/>
      <c r="L22" s="90">
        <v>4.0E-5</v>
      </c>
      <c r="M22" s="90" t="str">
        <f t="shared" si="2"/>
        <v/>
      </c>
      <c r="N22" s="90" t="str">
        <f t="shared" si="3"/>
        <v/>
      </c>
      <c r="O22" s="91" t="str">
        <f t="shared" si="4"/>
        <v/>
      </c>
      <c r="P22" s="93"/>
      <c r="Q22" s="64"/>
      <c r="R22" s="64"/>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row>
    <row r="23" ht="30.0" customHeight="1">
      <c r="A23" s="59"/>
      <c r="B23" s="30"/>
      <c r="C23" s="70"/>
      <c r="D23" s="51"/>
      <c r="E23" s="51"/>
      <c r="F23" s="52"/>
      <c r="G23" s="53" t="str">
        <f t="shared" si="1"/>
        <v/>
      </c>
      <c r="H23" s="64"/>
      <c r="I23" s="95"/>
      <c r="J23" s="90"/>
      <c r="K23" s="90"/>
      <c r="L23" s="90">
        <v>3.0E-5</v>
      </c>
      <c r="M23" s="90" t="str">
        <f t="shared" si="2"/>
        <v/>
      </c>
      <c r="N23" s="90" t="str">
        <f t="shared" si="3"/>
        <v/>
      </c>
      <c r="O23" s="91" t="str">
        <f t="shared" si="4"/>
        <v/>
      </c>
      <c r="P23" s="93"/>
      <c r="Q23" s="64"/>
      <c r="R23" s="64"/>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row>
    <row r="24" ht="30.0" customHeight="1">
      <c r="A24" s="59"/>
      <c r="B24" s="30"/>
      <c r="C24" s="70"/>
      <c r="D24" s="51"/>
      <c r="E24" s="51"/>
      <c r="F24" s="52"/>
      <c r="G24" s="53" t="str">
        <f t="shared" si="1"/>
        <v/>
      </c>
      <c r="H24" s="64"/>
      <c r="I24" s="90" t="s">
        <v>60</v>
      </c>
      <c r="J24" s="95">
        <v>1.0</v>
      </c>
      <c r="K24" s="90"/>
      <c r="L24" s="90">
        <v>2.0E-5</v>
      </c>
      <c r="M24" s="90" t="str">
        <f t="shared" si="2"/>
        <v/>
      </c>
      <c r="N24" s="90" t="str">
        <f t="shared" si="3"/>
        <v/>
      </c>
      <c r="O24" s="91" t="str">
        <f t="shared" si="4"/>
        <v/>
      </c>
      <c r="P24" s="93"/>
      <c r="Q24" s="64"/>
      <c r="R24" s="64"/>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row>
    <row r="25" ht="30.0" customHeight="1">
      <c r="A25" s="30"/>
      <c r="B25" s="30"/>
      <c r="C25" s="70"/>
      <c r="D25" s="51"/>
      <c r="E25" s="51"/>
      <c r="F25" s="52"/>
      <c r="G25" s="53" t="str">
        <f t="shared" si="1"/>
        <v/>
      </c>
      <c r="H25" s="64"/>
      <c r="I25" s="90" t="s">
        <v>61</v>
      </c>
      <c r="J25" s="95">
        <v>2.0</v>
      </c>
      <c r="K25" s="90"/>
      <c r="L25" s="90">
        <v>1.0E-5</v>
      </c>
      <c r="M25" s="90" t="str">
        <f t="shared" si="2"/>
        <v/>
      </c>
      <c r="N25" s="90" t="str">
        <f t="shared" si="3"/>
        <v/>
      </c>
      <c r="O25" s="91" t="str">
        <f t="shared" si="4"/>
        <v/>
      </c>
      <c r="P25" s="93"/>
      <c r="Q25" s="64"/>
      <c r="R25" s="64"/>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row>
    <row r="26" ht="30.0" customHeight="1">
      <c r="A26" s="30"/>
      <c r="B26" s="30"/>
      <c r="C26" s="60" t="s">
        <v>77</v>
      </c>
      <c r="D26" s="61"/>
      <c r="E26" s="61"/>
      <c r="F26" s="62" t="s">
        <v>64</v>
      </c>
      <c r="G26" s="63">
        <f>SUM(G6:G25)</f>
        <v>0</v>
      </c>
      <c r="H26" s="64"/>
      <c r="I26" s="90" t="s">
        <v>62</v>
      </c>
      <c r="J26" s="95">
        <v>3.0</v>
      </c>
      <c r="K26" s="90"/>
      <c r="L26" s="90"/>
      <c r="M26" s="90"/>
      <c r="N26" s="90"/>
      <c r="O26" s="91"/>
      <c r="P26" s="93"/>
      <c r="Q26" s="64"/>
      <c r="R26" s="64"/>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row>
    <row r="27" ht="30.0" customHeight="1">
      <c r="A27" s="30"/>
      <c r="B27" s="30"/>
      <c r="H27" s="64"/>
      <c r="I27" s="90" t="s">
        <v>65</v>
      </c>
      <c r="J27" s="95">
        <v>4.0</v>
      </c>
      <c r="K27" s="90"/>
      <c r="L27" s="90"/>
      <c r="M27" s="90"/>
      <c r="N27" s="90"/>
      <c r="O27" s="91"/>
      <c r="P27" s="93"/>
      <c r="Q27" s="64"/>
      <c r="R27" s="64"/>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row>
    <row r="28" ht="30.0" customHeight="1">
      <c r="A28" s="30"/>
      <c r="B28" s="30"/>
      <c r="H28" s="64"/>
      <c r="I28" s="90" t="s">
        <v>66</v>
      </c>
      <c r="J28" s="95">
        <v>5.0</v>
      </c>
      <c r="K28" s="90"/>
      <c r="L28" s="90"/>
      <c r="M28" s="90"/>
      <c r="N28" s="90"/>
      <c r="O28" s="91"/>
      <c r="P28" s="93"/>
      <c r="Q28" s="64"/>
      <c r="R28" s="64"/>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row>
    <row r="29" ht="30.0" customHeight="1">
      <c r="A29" s="30"/>
      <c r="B29" s="30"/>
      <c r="H29" s="64"/>
      <c r="I29" s="64"/>
      <c r="J29" s="64"/>
      <c r="K29" s="64"/>
      <c r="L29" s="64"/>
      <c r="M29" s="64"/>
      <c r="N29" s="64"/>
      <c r="O29" s="97"/>
      <c r="P29" s="93"/>
      <c r="Q29" s="64"/>
      <c r="R29" s="64"/>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row>
    <row r="30" ht="30.0" customHeight="1">
      <c r="A30" s="30"/>
      <c r="B30" s="30"/>
      <c r="H30" s="64"/>
      <c r="I30" s="64"/>
      <c r="J30" s="64"/>
      <c r="K30" s="64"/>
      <c r="L30" s="64"/>
      <c r="M30" s="64"/>
      <c r="N30" s="64"/>
      <c r="O30" s="97"/>
      <c r="P30" s="93"/>
      <c r="Q30" s="64"/>
      <c r="R30" s="64"/>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row>
    <row r="31" ht="30.0" customHeight="1">
      <c r="A31" s="30"/>
      <c r="B31" s="30"/>
      <c r="H31" s="64"/>
      <c r="I31" s="64"/>
      <c r="J31" s="64"/>
      <c r="K31" s="64"/>
      <c r="L31" s="64"/>
      <c r="M31" s="64"/>
      <c r="N31" s="64"/>
      <c r="O31" s="97"/>
      <c r="P31" s="93"/>
      <c r="Q31" s="64"/>
      <c r="R31" s="64"/>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row>
    <row r="32" ht="30.0" customHeight="1">
      <c r="A32" s="30"/>
      <c r="B32" s="30"/>
      <c r="H32" s="64"/>
      <c r="I32" s="64"/>
      <c r="J32" s="64"/>
      <c r="K32" s="64"/>
      <c r="L32" s="64"/>
      <c r="M32" s="64"/>
      <c r="N32" s="64"/>
      <c r="O32" s="97"/>
      <c r="P32" s="93"/>
      <c r="Q32" s="64"/>
      <c r="R32" s="64"/>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row>
    <row r="33" ht="30.0" customHeight="1">
      <c r="A33" s="30"/>
      <c r="B33" s="30"/>
      <c r="H33" s="64"/>
      <c r="I33" s="64"/>
      <c r="J33" s="64"/>
      <c r="K33" s="64"/>
      <c r="L33" s="64"/>
      <c r="M33" s="64"/>
      <c r="N33" s="64"/>
      <c r="O33" s="97"/>
      <c r="P33" s="93"/>
      <c r="Q33" s="64"/>
      <c r="R33" s="64"/>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row>
    <row r="34" ht="30.0" customHeight="1">
      <c r="A34" s="30"/>
      <c r="B34" s="30"/>
      <c r="H34" s="64"/>
      <c r="I34" s="64"/>
      <c r="J34" s="64"/>
      <c r="K34" s="64"/>
      <c r="L34" s="64"/>
      <c r="M34" s="64"/>
      <c r="N34" s="64"/>
      <c r="O34" s="97"/>
      <c r="P34" s="93"/>
      <c r="Q34" s="64"/>
      <c r="R34" s="64"/>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row>
    <row r="35" ht="30.0" customHeight="1">
      <c r="A35" s="30"/>
      <c r="B35" s="30"/>
      <c r="H35" s="64"/>
      <c r="I35" s="64"/>
      <c r="J35" s="64"/>
      <c r="K35" s="64"/>
      <c r="L35" s="64"/>
      <c r="M35" s="64"/>
      <c r="N35" s="64"/>
      <c r="O35" s="97"/>
      <c r="P35" s="93"/>
      <c r="Q35" s="64"/>
      <c r="R35" s="64"/>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row>
    <row r="36" ht="30.0" customHeight="1">
      <c r="A36" s="30"/>
      <c r="B36" s="30"/>
      <c r="H36" s="64"/>
      <c r="I36" s="64"/>
      <c r="J36" s="64"/>
      <c r="K36" s="64"/>
      <c r="L36" s="64"/>
      <c r="M36" s="64"/>
      <c r="N36" s="64"/>
      <c r="O36" s="97"/>
      <c r="P36" s="93"/>
      <c r="Q36" s="64"/>
      <c r="R36" s="64"/>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row>
    <row r="37" ht="30.0" customHeight="1">
      <c r="A37" s="30"/>
      <c r="B37" s="30"/>
      <c r="H37" s="64"/>
      <c r="I37" s="64"/>
      <c r="J37" s="64"/>
      <c r="K37" s="64"/>
      <c r="L37" s="64"/>
      <c r="M37" s="64"/>
      <c r="N37" s="64"/>
      <c r="O37" s="97"/>
      <c r="P37" s="93"/>
      <c r="Q37" s="64"/>
      <c r="R37" s="64"/>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row>
    <row r="38" ht="30.0" customHeight="1">
      <c r="A38" s="30"/>
      <c r="B38" s="30"/>
      <c r="H38" s="64"/>
      <c r="I38" s="64"/>
      <c r="J38" s="64"/>
      <c r="K38" s="64"/>
      <c r="L38" s="64"/>
      <c r="M38" s="64"/>
      <c r="N38" s="64"/>
      <c r="O38" s="97"/>
      <c r="P38" s="93"/>
      <c r="Q38" s="64"/>
      <c r="R38" s="64"/>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row>
    <row r="39" ht="30.0" customHeight="1">
      <c r="A39" s="30"/>
      <c r="B39" s="30"/>
      <c r="H39" s="64"/>
      <c r="I39" s="64"/>
      <c r="J39" s="64"/>
      <c r="K39" s="64"/>
      <c r="L39" s="64"/>
      <c r="M39" s="64"/>
      <c r="N39" s="64"/>
      <c r="O39" s="97"/>
      <c r="P39" s="93"/>
      <c r="Q39" s="64"/>
      <c r="R39" s="64"/>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row>
    <row r="40" ht="30.0" customHeight="1">
      <c r="A40" s="30"/>
      <c r="B40" s="30"/>
      <c r="H40" s="64"/>
      <c r="I40" s="64"/>
      <c r="J40" s="64"/>
      <c r="K40" s="64"/>
      <c r="L40" s="64"/>
      <c r="M40" s="64"/>
      <c r="N40" s="64"/>
      <c r="O40" s="97"/>
      <c r="P40" s="93"/>
      <c r="Q40" s="64"/>
      <c r="R40" s="64"/>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row>
    <row r="41" ht="30.0" customHeight="1">
      <c r="A41" s="30"/>
      <c r="B41" s="30"/>
      <c r="H41" s="64"/>
      <c r="I41" s="64"/>
      <c r="J41" s="64"/>
      <c r="K41" s="64"/>
      <c r="L41" s="64"/>
      <c r="M41" s="64"/>
      <c r="N41" s="64"/>
      <c r="O41" s="97"/>
      <c r="P41" s="93"/>
      <c r="Q41" s="64"/>
      <c r="R41" s="64"/>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row>
    <row r="42" ht="30.0" customHeight="1">
      <c r="A42" s="30"/>
      <c r="B42" s="30"/>
      <c r="H42" s="64"/>
      <c r="I42" s="64"/>
      <c r="J42" s="64"/>
      <c r="K42" s="64"/>
      <c r="L42" s="64"/>
      <c r="M42" s="64"/>
      <c r="N42" s="64"/>
      <c r="O42" s="97"/>
      <c r="P42" s="93"/>
      <c r="Q42" s="64"/>
      <c r="R42" s="64"/>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row>
    <row r="43" ht="30.0" customHeight="1">
      <c r="A43" s="30"/>
      <c r="B43" s="30"/>
      <c r="H43" s="64"/>
      <c r="I43" s="64"/>
      <c r="J43" s="64"/>
      <c r="K43" s="64"/>
      <c r="L43" s="64"/>
      <c r="M43" s="64"/>
      <c r="N43" s="64"/>
      <c r="O43" s="97"/>
      <c r="P43" s="93"/>
      <c r="Q43" s="64"/>
      <c r="R43" s="64"/>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row>
    <row r="44" ht="30.0" customHeight="1">
      <c r="A44" s="30"/>
      <c r="B44" s="30"/>
      <c r="H44" s="64"/>
      <c r="I44" s="64"/>
      <c r="J44" s="64"/>
      <c r="K44" s="64"/>
      <c r="L44" s="64"/>
      <c r="M44" s="64"/>
      <c r="N44" s="64"/>
      <c r="O44" s="97"/>
      <c r="P44" s="93"/>
      <c r="Q44" s="64"/>
      <c r="R44" s="64"/>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row>
    <row r="45" ht="30.0" customHeight="1">
      <c r="A45" s="30"/>
      <c r="B45" s="30"/>
      <c r="H45" s="64"/>
      <c r="I45" s="64"/>
      <c r="J45" s="64"/>
      <c r="K45" s="64"/>
      <c r="L45" s="64"/>
      <c r="M45" s="64"/>
      <c r="N45" s="64"/>
      <c r="O45" s="97"/>
      <c r="P45" s="98"/>
      <c r="Q45" s="64"/>
      <c r="R45" s="64"/>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row>
    <row r="46" ht="37.5" customHeight="1">
      <c r="A46" s="30"/>
      <c r="B46" s="30"/>
      <c r="H46" s="64"/>
      <c r="I46" s="64"/>
      <c r="J46" s="64"/>
      <c r="K46" s="64"/>
      <c r="L46" s="64"/>
      <c r="M46" s="64"/>
      <c r="N46" s="93"/>
      <c r="O46" s="64"/>
      <c r="P46" s="64"/>
      <c r="Q46" s="64"/>
      <c r="R46" s="64"/>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row>
    <row r="47" ht="30.0" customHeight="1">
      <c r="A47" s="30"/>
      <c r="B47" s="30"/>
      <c r="H47" s="64"/>
      <c r="I47" s="64"/>
      <c r="J47" s="64"/>
      <c r="K47" s="64"/>
      <c r="L47" s="64"/>
      <c r="M47" s="64"/>
      <c r="N47" s="93"/>
      <c r="O47" s="64"/>
      <c r="P47" s="64"/>
      <c r="Q47" s="64"/>
      <c r="R47" s="64"/>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row>
    <row r="48" ht="30.0" customHeight="1">
      <c r="A48" s="30"/>
      <c r="B48" s="30"/>
      <c r="H48" s="64"/>
      <c r="I48" s="64"/>
      <c r="J48" s="64"/>
      <c r="K48" s="64"/>
      <c r="L48" s="64"/>
      <c r="M48" s="64"/>
      <c r="N48" s="93"/>
      <c r="O48" s="64"/>
      <c r="P48" s="64"/>
      <c r="Q48" s="64"/>
      <c r="R48" s="64"/>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row>
    <row r="49" ht="30.0" customHeight="1">
      <c r="A49" s="30"/>
      <c r="B49" s="30"/>
      <c r="D49" s="66"/>
      <c r="E49" s="66"/>
      <c r="H49" s="64"/>
      <c r="I49" s="64"/>
      <c r="J49" s="64"/>
      <c r="K49" s="64"/>
      <c r="L49" s="64"/>
      <c r="M49" s="64"/>
      <c r="N49" s="93"/>
      <c r="O49" s="64"/>
      <c r="P49" s="64"/>
      <c r="Q49" s="64"/>
      <c r="R49" s="64"/>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row>
    <row r="50" ht="30.0" hidden="1" customHeight="1">
      <c r="A50" s="30"/>
      <c r="B50" s="30"/>
      <c r="D50" s="66"/>
      <c r="E50" s="66"/>
      <c r="H50" s="64"/>
      <c r="I50" s="64"/>
      <c r="J50" s="64"/>
      <c r="K50" s="64"/>
      <c r="L50" s="64"/>
      <c r="M50" s="64"/>
      <c r="N50" s="93"/>
      <c r="O50" s="64"/>
      <c r="P50" s="64"/>
      <c r="Q50" s="64"/>
      <c r="R50" s="64"/>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row>
    <row r="51" ht="30.0" hidden="1" customHeight="1">
      <c r="A51" s="30"/>
      <c r="B51" s="30"/>
      <c r="D51" s="66"/>
      <c r="E51" s="66"/>
      <c r="H51" s="64"/>
      <c r="I51" s="64"/>
      <c r="J51" s="64"/>
      <c r="K51" s="64"/>
      <c r="L51" s="64"/>
      <c r="M51" s="64"/>
      <c r="N51" s="93"/>
      <c r="O51" s="64"/>
      <c r="P51" s="64"/>
      <c r="Q51" s="64"/>
      <c r="R51" s="64"/>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row>
    <row r="52" ht="30.0" hidden="1" customHeight="1">
      <c r="A52" s="30"/>
      <c r="B52" s="30"/>
      <c r="D52" s="66"/>
      <c r="E52" s="66"/>
      <c r="H52" s="64"/>
      <c r="I52" s="64"/>
      <c r="J52" s="64"/>
      <c r="K52" s="64"/>
      <c r="L52" s="64"/>
      <c r="M52" s="64"/>
      <c r="N52" s="93"/>
      <c r="O52" s="64"/>
      <c r="P52" s="64"/>
      <c r="Q52" s="64"/>
      <c r="R52" s="64"/>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row>
    <row r="53" ht="30.0" hidden="1" customHeight="1">
      <c r="A53" s="30"/>
      <c r="B53" s="30"/>
      <c r="D53" s="66"/>
      <c r="E53" s="66"/>
      <c r="H53" s="64"/>
      <c r="I53" s="64"/>
      <c r="J53" s="64"/>
      <c r="K53" s="64"/>
      <c r="L53" s="64"/>
      <c r="M53" s="64"/>
      <c r="N53" s="93"/>
      <c r="O53" s="64"/>
      <c r="P53" s="64"/>
      <c r="Q53" s="64"/>
      <c r="R53" s="64"/>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row>
    <row r="54" ht="30.0" hidden="1" customHeight="1">
      <c r="A54" s="30"/>
      <c r="B54" s="30"/>
      <c r="D54" s="66"/>
      <c r="E54" s="66"/>
      <c r="H54" s="64"/>
      <c r="I54" s="64"/>
      <c r="J54" s="64"/>
      <c r="K54" s="64"/>
      <c r="L54" s="64"/>
      <c r="M54" s="64"/>
      <c r="N54" s="93"/>
      <c r="O54" s="64"/>
      <c r="P54" s="64"/>
      <c r="Q54" s="64"/>
      <c r="R54" s="64"/>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row>
    <row r="55" ht="30.0" hidden="1" customHeight="1">
      <c r="A55" s="59"/>
      <c r="B55" s="30"/>
      <c r="D55" s="66"/>
      <c r="E55" s="66"/>
      <c r="H55" s="64"/>
      <c r="I55" s="64"/>
      <c r="J55" s="64"/>
      <c r="K55" s="64"/>
      <c r="L55" s="64"/>
      <c r="M55" s="64"/>
      <c r="N55" s="93"/>
      <c r="O55" s="64"/>
      <c r="P55" s="64"/>
      <c r="Q55" s="64"/>
      <c r="R55" s="64"/>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row>
    <row r="56" ht="30.0" hidden="1" customHeight="1">
      <c r="A56" s="59"/>
      <c r="B56" s="30"/>
      <c r="D56" s="66"/>
      <c r="E56" s="66"/>
      <c r="H56" s="64"/>
      <c r="I56" s="64"/>
      <c r="J56" s="64"/>
      <c r="K56" s="64"/>
      <c r="L56" s="64"/>
      <c r="M56" s="64"/>
      <c r="N56" s="93"/>
      <c r="O56" s="64"/>
      <c r="P56" s="64"/>
      <c r="Q56" s="64"/>
      <c r="R56" s="64"/>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row>
    <row r="57" ht="30.0" hidden="1" customHeight="1">
      <c r="A57" s="59"/>
      <c r="B57" s="30"/>
      <c r="D57" s="66"/>
      <c r="E57" s="66"/>
      <c r="H57" s="64"/>
      <c r="I57" s="64"/>
      <c r="J57" s="64"/>
      <c r="K57" s="64"/>
      <c r="L57" s="64"/>
      <c r="M57" s="64"/>
      <c r="N57" s="93"/>
      <c r="O57" s="64"/>
      <c r="P57" s="64"/>
      <c r="Q57" s="64"/>
      <c r="R57" s="64"/>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row>
    <row r="58" ht="30.0" hidden="1" customHeight="1">
      <c r="A58" s="30"/>
      <c r="B58" s="30"/>
      <c r="D58" s="66"/>
      <c r="E58" s="66"/>
      <c r="H58" s="64"/>
      <c r="I58" s="64"/>
      <c r="J58" s="64"/>
      <c r="K58" s="64"/>
      <c r="L58" s="64"/>
      <c r="M58" s="64"/>
      <c r="N58" s="93"/>
      <c r="O58" s="64"/>
      <c r="P58" s="64"/>
      <c r="Q58" s="64"/>
      <c r="R58" s="64"/>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row>
    <row r="59" ht="30.0" hidden="1" customHeight="1">
      <c r="A59" s="30"/>
      <c r="B59" s="30"/>
      <c r="D59" s="66"/>
      <c r="E59" s="66"/>
      <c r="H59" s="64"/>
      <c r="I59" s="64"/>
      <c r="J59" s="64"/>
      <c r="K59" s="64"/>
      <c r="L59" s="64"/>
      <c r="M59" s="64"/>
      <c r="N59" s="93"/>
      <c r="O59" s="64"/>
      <c r="P59" s="64"/>
      <c r="Q59" s="64"/>
      <c r="R59" s="64"/>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row>
    <row r="60" ht="30.0" hidden="1" customHeight="1">
      <c r="A60" s="30"/>
      <c r="B60" s="30"/>
      <c r="D60" s="66"/>
      <c r="E60" s="66"/>
      <c r="H60" s="64"/>
      <c r="I60" s="64"/>
      <c r="J60" s="64"/>
      <c r="K60" s="64"/>
      <c r="L60" s="64"/>
      <c r="M60" s="64"/>
      <c r="N60" s="93"/>
      <c r="O60" s="64"/>
      <c r="P60" s="64"/>
      <c r="Q60" s="64"/>
      <c r="R60" s="64"/>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row>
    <row r="61" ht="30.0" hidden="1" customHeight="1">
      <c r="A61" s="30"/>
      <c r="B61" s="30"/>
      <c r="D61" s="66"/>
      <c r="E61" s="66"/>
      <c r="H61" s="64"/>
      <c r="I61" s="64"/>
      <c r="J61" s="64"/>
      <c r="K61" s="64"/>
      <c r="L61" s="64"/>
      <c r="M61" s="64"/>
      <c r="N61" s="93"/>
      <c r="O61" s="64"/>
      <c r="P61" s="64"/>
      <c r="Q61" s="64"/>
      <c r="R61" s="64"/>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row>
    <row r="62" ht="30.0" hidden="1" customHeight="1">
      <c r="A62" s="30"/>
      <c r="B62" s="30"/>
      <c r="D62" s="66"/>
      <c r="E62" s="66"/>
      <c r="H62" s="64"/>
      <c r="I62" s="64"/>
      <c r="J62" s="64"/>
      <c r="K62" s="64"/>
      <c r="L62" s="64"/>
      <c r="M62" s="64"/>
      <c r="N62" s="93"/>
      <c r="O62" s="64"/>
      <c r="P62" s="64"/>
      <c r="Q62" s="64"/>
      <c r="R62" s="64"/>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row>
    <row r="63" ht="30.0" hidden="1" customHeight="1">
      <c r="A63" s="30"/>
      <c r="B63" s="30"/>
      <c r="D63" s="66"/>
      <c r="E63" s="66"/>
      <c r="H63" s="64"/>
      <c r="I63" s="64"/>
      <c r="J63" s="64"/>
      <c r="K63" s="64"/>
      <c r="L63" s="64"/>
      <c r="M63" s="64"/>
      <c r="N63" s="93"/>
      <c r="O63" s="64"/>
      <c r="P63" s="64"/>
      <c r="Q63" s="64"/>
      <c r="R63" s="64"/>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row>
    <row r="64" ht="30.0" hidden="1" customHeight="1">
      <c r="A64" s="30"/>
      <c r="B64" s="30"/>
      <c r="D64" s="66"/>
      <c r="E64" s="66"/>
      <c r="H64" s="64"/>
      <c r="I64" s="64"/>
      <c r="J64" s="64"/>
      <c r="K64" s="64"/>
      <c r="L64" s="64"/>
      <c r="M64" s="64"/>
      <c r="N64" s="93"/>
      <c r="O64" s="64"/>
      <c r="P64" s="64"/>
      <c r="Q64" s="64"/>
      <c r="R64" s="64"/>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row>
    <row r="65" ht="15.75" hidden="1" customHeight="1">
      <c r="A65" s="30"/>
      <c r="B65" s="30"/>
      <c r="D65" s="66"/>
      <c r="E65" s="66"/>
      <c r="H65" s="64"/>
      <c r="I65" s="64"/>
      <c r="J65" s="64"/>
      <c r="K65" s="64"/>
      <c r="L65" s="64"/>
      <c r="M65" s="64"/>
      <c r="N65" s="64"/>
      <c r="O65" s="64"/>
      <c r="P65" s="64"/>
      <c r="Q65" s="64"/>
      <c r="R65" s="64"/>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row>
    <row r="66" ht="15.75" hidden="1" customHeight="1">
      <c r="A66" s="30"/>
      <c r="B66" s="30"/>
      <c r="D66" s="66"/>
      <c r="E66" s="66"/>
      <c r="H66" s="64"/>
      <c r="I66" s="64"/>
      <c r="J66" s="64"/>
      <c r="K66" s="64"/>
      <c r="L66" s="64"/>
      <c r="M66" s="64"/>
      <c r="N66" s="64"/>
      <c r="O66" s="64"/>
      <c r="P66" s="64"/>
      <c r="Q66" s="64"/>
      <c r="R66" s="64"/>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row>
    <row r="67" ht="15.75" hidden="1" customHeight="1">
      <c r="A67" s="30"/>
      <c r="B67" s="30"/>
      <c r="D67" s="66"/>
      <c r="E67" s="66"/>
      <c r="H67" s="64"/>
      <c r="I67" s="64"/>
      <c r="J67" s="64"/>
      <c r="K67" s="64"/>
      <c r="L67" s="64"/>
      <c r="M67" s="64"/>
      <c r="N67" s="64"/>
      <c r="O67" s="64"/>
      <c r="P67" s="64"/>
      <c r="Q67" s="64"/>
      <c r="R67" s="64"/>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row>
    <row r="68" ht="15.75" hidden="1" customHeight="1">
      <c r="A68" s="30"/>
      <c r="B68" s="30"/>
      <c r="D68" s="66"/>
      <c r="E68" s="66"/>
      <c r="H68" s="64"/>
      <c r="I68" s="64"/>
      <c r="J68" s="64"/>
      <c r="K68" s="64"/>
      <c r="L68" s="64"/>
      <c r="M68" s="64"/>
      <c r="N68" s="64"/>
      <c r="O68" s="64"/>
      <c r="P68" s="64"/>
      <c r="Q68" s="64"/>
      <c r="R68" s="64"/>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row>
    <row r="69" ht="15.0" customHeight="1">
      <c r="A69" s="30"/>
      <c r="B69" s="30"/>
      <c r="D69" s="66"/>
      <c r="E69" s="66"/>
      <c r="H69" s="64"/>
      <c r="I69" s="64"/>
      <c r="J69" s="64"/>
      <c r="K69" s="64"/>
      <c r="L69" s="64"/>
      <c r="M69" s="64"/>
      <c r="N69" s="64"/>
      <c r="O69" s="64"/>
      <c r="P69" s="64"/>
      <c r="Q69" s="64"/>
      <c r="R69" s="64"/>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row>
    <row r="70" ht="15.0" customHeight="1">
      <c r="A70" s="30"/>
      <c r="B70" s="30"/>
      <c r="D70" s="66"/>
      <c r="E70" s="66"/>
      <c r="H70" s="64"/>
      <c r="I70" s="64"/>
      <c r="J70" s="64"/>
      <c r="K70" s="64"/>
      <c r="L70" s="64"/>
      <c r="M70" s="64"/>
      <c r="N70" s="64"/>
      <c r="O70" s="64"/>
      <c r="P70" s="64"/>
      <c r="Q70" s="64"/>
      <c r="R70" s="64"/>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row>
    <row r="71" ht="15.0" customHeight="1">
      <c r="A71" s="30"/>
      <c r="B71" s="30"/>
      <c r="D71" s="66"/>
      <c r="E71" s="66"/>
      <c r="H71" s="64"/>
      <c r="I71" s="64"/>
      <c r="J71" s="64"/>
      <c r="K71" s="64"/>
      <c r="L71" s="64"/>
      <c r="M71" s="64"/>
      <c r="N71" s="64"/>
      <c r="O71" s="64"/>
      <c r="P71" s="64"/>
      <c r="Q71" s="64"/>
      <c r="R71" s="64"/>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row>
    <row r="72" ht="15.75" customHeight="1">
      <c r="A72" s="30"/>
      <c r="B72" s="30"/>
      <c r="D72" s="66"/>
      <c r="E72" s="66"/>
      <c r="H72" s="64"/>
      <c r="I72" s="64"/>
      <c r="J72" s="64"/>
      <c r="K72" s="64"/>
      <c r="L72" s="64"/>
      <c r="M72" s="64"/>
      <c r="N72" s="64"/>
      <c r="O72" s="64"/>
      <c r="P72" s="64"/>
      <c r="Q72" s="64"/>
      <c r="R72" s="64"/>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row>
    <row r="73" ht="15.75" customHeight="1">
      <c r="A73" s="30"/>
      <c r="B73" s="30"/>
      <c r="D73" s="66"/>
      <c r="E73" s="66"/>
      <c r="H73" s="64"/>
      <c r="I73" s="64"/>
      <c r="J73" s="64"/>
      <c r="K73" s="64"/>
      <c r="L73" s="64"/>
      <c r="M73" s="64"/>
      <c r="N73" s="64"/>
      <c r="O73" s="64"/>
      <c r="P73" s="64"/>
      <c r="Q73" s="64"/>
      <c r="R73" s="64"/>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row>
    <row r="74" ht="15.75" customHeight="1">
      <c r="A74" s="30"/>
      <c r="B74" s="30"/>
      <c r="D74" s="66"/>
      <c r="E74" s="66"/>
      <c r="H74" s="64"/>
      <c r="I74" s="64"/>
      <c r="J74" s="64"/>
      <c r="K74" s="64"/>
      <c r="L74" s="64"/>
      <c r="M74" s="64"/>
      <c r="N74" s="64"/>
      <c r="O74" s="64"/>
      <c r="P74" s="64"/>
      <c r="Q74" s="64"/>
      <c r="R74" s="64"/>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row>
    <row r="75" ht="15.75" customHeight="1">
      <c r="A75" s="30"/>
      <c r="B75" s="30"/>
      <c r="D75" s="66"/>
      <c r="E75" s="66"/>
      <c r="H75" s="64"/>
      <c r="I75" s="64"/>
      <c r="J75" s="64"/>
      <c r="K75" s="64"/>
      <c r="L75" s="64"/>
      <c r="M75" s="64"/>
      <c r="N75" s="64"/>
      <c r="O75" s="64"/>
      <c r="P75" s="64"/>
      <c r="Q75" s="64"/>
      <c r="R75" s="64"/>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row>
    <row r="76" ht="15.75" customHeight="1">
      <c r="A76" s="30"/>
      <c r="B76" s="30"/>
      <c r="D76" s="66"/>
      <c r="E76" s="66"/>
      <c r="H76" s="64"/>
      <c r="I76" s="64"/>
      <c r="J76" s="64"/>
      <c r="K76" s="64"/>
      <c r="L76" s="64"/>
      <c r="M76" s="64"/>
      <c r="N76" s="64"/>
      <c r="O76" s="64"/>
      <c r="P76" s="64"/>
      <c r="Q76" s="64"/>
      <c r="R76" s="64"/>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row>
    <row r="77" ht="15.75" customHeight="1">
      <c r="A77" s="30"/>
      <c r="B77" s="30"/>
      <c r="D77" s="66"/>
      <c r="E77" s="66"/>
      <c r="H77" s="64"/>
      <c r="I77" s="64"/>
      <c r="J77" s="64"/>
      <c r="K77" s="64"/>
      <c r="L77" s="64"/>
      <c r="M77" s="64"/>
      <c r="N77" s="64"/>
      <c r="O77" s="64"/>
      <c r="P77" s="64"/>
      <c r="Q77" s="64"/>
      <c r="R77" s="64"/>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row>
    <row r="78" ht="15.75" customHeight="1">
      <c r="A78" s="30"/>
      <c r="B78" s="30"/>
      <c r="D78" s="66"/>
      <c r="E78" s="66"/>
      <c r="H78" s="64"/>
      <c r="I78" s="64"/>
      <c r="J78" s="64"/>
      <c r="K78" s="64"/>
      <c r="L78" s="64"/>
      <c r="M78" s="64"/>
      <c r="N78" s="64"/>
      <c r="O78" s="64"/>
      <c r="P78" s="64"/>
      <c r="Q78" s="64"/>
      <c r="R78" s="64"/>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row>
    <row r="79" ht="15.75" customHeight="1">
      <c r="A79" s="30"/>
      <c r="B79" s="30"/>
      <c r="D79" s="66"/>
      <c r="E79" s="66"/>
      <c r="H79" s="64"/>
      <c r="I79" s="64"/>
      <c r="J79" s="64"/>
      <c r="K79" s="64"/>
      <c r="L79" s="64"/>
      <c r="M79" s="64"/>
      <c r="N79" s="64"/>
      <c r="O79" s="64"/>
      <c r="P79" s="64"/>
      <c r="Q79" s="64"/>
      <c r="R79" s="64"/>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row>
    <row r="80" ht="15.75" customHeight="1">
      <c r="A80" s="30"/>
      <c r="B80" s="30"/>
      <c r="D80" s="66"/>
      <c r="E80" s="66"/>
      <c r="H80" s="64"/>
      <c r="I80" s="64"/>
      <c r="J80" s="64"/>
      <c r="K80" s="64"/>
      <c r="L80" s="64"/>
      <c r="M80" s="64"/>
      <c r="N80" s="64"/>
      <c r="O80" s="64"/>
      <c r="P80" s="64"/>
      <c r="Q80" s="64"/>
      <c r="R80" s="64"/>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row>
    <row r="81" ht="15.75" customHeight="1">
      <c r="A81" s="30"/>
      <c r="B81" s="30"/>
      <c r="D81" s="66"/>
      <c r="E81" s="66"/>
      <c r="H81" s="64"/>
      <c r="I81" s="64"/>
      <c r="J81" s="64"/>
      <c r="K81" s="64"/>
      <c r="L81" s="64"/>
      <c r="M81" s="64"/>
      <c r="N81" s="64"/>
      <c r="O81" s="64"/>
      <c r="P81" s="64"/>
      <c r="Q81" s="64"/>
      <c r="R81" s="64"/>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row>
    <row r="82" ht="15.75" customHeight="1">
      <c r="A82" s="30"/>
      <c r="B82" s="30"/>
      <c r="D82" s="66"/>
      <c r="E82" s="66"/>
      <c r="H82" s="64"/>
      <c r="I82" s="64"/>
      <c r="J82" s="64"/>
      <c r="K82" s="64"/>
      <c r="L82" s="64"/>
      <c r="M82" s="64"/>
      <c r="N82" s="64"/>
      <c r="O82" s="64"/>
      <c r="P82" s="64"/>
      <c r="Q82" s="64"/>
      <c r="R82" s="64"/>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row>
    <row r="83" ht="15.75" customHeight="1">
      <c r="A83" s="30"/>
      <c r="B83" s="30"/>
      <c r="D83" s="66"/>
      <c r="E83" s="66"/>
      <c r="H83" s="64"/>
      <c r="I83" s="64"/>
      <c r="J83" s="64"/>
      <c r="K83" s="64"/>
      <c r="L83" s="64"/>
      <c r="M83" s="64"/>
      <c r="N83" s="64"/>
      <c r="O83" s="64"/>
      <c r="P83" s="64"/>
      <c r="Q83" s="64"/>
      <c r="R83" s="64"/>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row>
    <row r="84" ht="15.75" customHeight="1">
      <c r="A84" s="30"/>
      <c r="B84" s="30"/>
      <c r="D84" s="66"/>
      <c r="E84" s="66"/>
      <c r="H84" s="64"/>
      <c r="I84" s="64"/>
      <c r="J84" s="64"/>
      <c r="K84" s="64"/>
      <c r="L84" s="64"/>
      <c r="M84" s="64"/>
      <c r="N84" s="64"/>
      <c r="O84" s="64"/>
      <c r="P84" s="64"/>
      <c r="Q84" s="64"/>
      <c r="R84" s="64"/>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row>
    <row r="85" ht="15.75" customHeight="1">
      <c r="A85" s="30"/>
      <c r="B85" s="30"/>
      <c r="D85" s="66"/>
      <c r="E85" s="66"/>
      <c r="H85" s="64"/>
      <c r="I85" s="64"/>
      <c r="J85" s="64"/>
      <c r="K85" s="64"/>
      <c r="L85" s="64"/>
      <c r="M85" s="64"/>
      <c r="N85" s="64"/>
      <c r="O85" s="64"/>
      <c r="P85" s="64"/>
      <c r="Q85" s="64"/>
      <c r="R85" s="64"/>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row>
    <row r="86" ht="15.75" customHeight="1">
      <c r="A86" s="30"/>
      <c r="B86" s="30"/>
      <c r="D86" s="66"/>
      <c r="E86" s="66"/>
      <c r="H86" s="64"/>
      <c r="I86" s="64"/>
      <c r="J86" s="64"/>
      <c r="K86" s="64"/>
      <c r="L86" s="64"/>
      <c r="M86" s="64"/>
      <c r="N86" s="64"/>
      <c r="O86" s="64"/>
      <c r="P86" s="64"/>
      <c r="Q86" s="64"/>
      <c r="R86" s="64"/>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row>
    <row r="87" ht="15.75" customHeight="1">
      <c r="A87" s="30"/>
      <c r="B87" s="30"/>
      <c r="D87" s="66"/>
      <c r="E87" s="66"/>
      <c r="H87" s="64"/>
      <c r="I87" s="64"/>
      <c r="J87" s="64"/>
      <c r="K87" s="64"/>
      <c r="L87" s="64"/>
      <c r="M87" s="64"/>
      <c r="N87" s="64"/>
      <c r="O87" s="64"/>
      <c r="P87" s="64"/>
      <c r="Q87" s="64"/>
      <c r="R87" s="64"/>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row>
    <row r="88" ht="15.75" customHeight="1">
      <c r="A88" s="30"/>
      <c r="B88" s="30"/>
      <c r="D88" s="66"/>
      <c r="E88" s="66"/>
      <c r="H88" s="64"/>
      <c r="I88" s="64"/>
      <c r="J88" s="64"/>
      <c r="K88" s="64"/>
      <c r="L88" s="64"/>
      <c r="M88" s="64"/>
      <c r="N88" s="64"/>
      <c r="O88" s="64"/>
      <c r="P88" s="64"/>
      <c r="Q88" s="64"/>
      <c r="R88" s="64"/>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row>
    <row r="89" ht="15.75" customHeight="1">
      <c r="A89" s="30"/>
      <c r="B89" s="30"/>
      <c r="D89" s="66"/>
      <c r="E89" s="66"/>
      <c r="H89" s="64"/>
      <c r="I89" s="64"/>
      <c r="J89" s="64"/>
      <c r="K89" s="64"/>
      <c r="L89" s="64"/>
      <c r="M89" s="64"/>
      <c r="N89" s="64"/>
      <c r="O89" s="64"/>
      <c r="P89" s="64"/>
      <c r="Q89" s="64"/>
      <c r="R89" s="64"/>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row>
    <row r="90" ht="15.75" customHeight="1">
      <c r="A90" s="30"/>
      <c r="B90" s="30"/>
      <c r="D90" s="66"/>
      <c r="E90" s="66"/>
      <c r="H90" s="64"/>
      <c r="I90" s="64"/>
      <c r="J90" s="64"/>
      <c r="K90" s="64"/>
      <c r="L90" s="64"/>
      <c r="M90" s="64"/>
      <c r="N90" s="64"/>
      <c r="O90" s="64"/>
      <c r="P90" s="64"/>
      <c r="Q90" s="64"/>
      <c r="R90" s="64"/>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row>
    <row r="91" ht="15.75" customHeight="1">
      <c r="A91" s="30"/>
      <c r="B91" s="30"/>
      <c r="D91" s="66"/>
      <c r="E91" s="66"/>
      <c r="H91" s="64"/>
      <c r="I91" s="64"/>
      <c r="J91" s="64"/>
      <c r="K91" s="64"/>
      <c r="L91" s="64"/>
      <c r="M91" s="64"/>
      <c r="N91" s="64"/>
      <c r="O91" s="64"/>
      <c r="P91" s="64"/>
      <c r="Q91" s="64"/>
      <c r="R91" s="64"/>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row>
    <row r="92" ht="15.75" customHeight="1">
      <c r="A92" s="30"/>
      <c r="B92" s="30"/>
      <c r="D92" s="66"/>
      <c r="E92" s="66"/>
      <c r="H92" s="64"/>
      <c r="I92" s="64"/>
      <c r="J92" s="64"/>
      <c r="K92" s="64"/>
      <c r="L92" s="64"/>
      <c r="M92" s="64"/>
      <c r="N92" s="64"/>
      <c r="O92" s="64"/>
      <c r="P92" s="64"/>
      <c r="Q92" s="64"/>
      <c r="R92" s="64"/>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row>
    <row r="93" ht="15.75" customHeight="1">
      <c r="A93" s="30"/>
      <c r="B93" s="30"/>
      <c r="D93" s="66"/>
      <c r="E93" s="66"/>
      <c r="H93" s="64"/>
      <c r="I93" s="64"/>
      <c r="J93" s="64"/>
      <c r="K93" s="64"/>
      <c r="L93" s="64"/>
      <c r="M93" s="64"/>
      <c r="N93" s="64"/>
      <c r="O93" s="64"/>
      <c r="P93" s="64"/>
      <c r="Q93" s="64"/>
      <c r="R93" s="64"/>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row>
    <row r="94" ht="15.75" customHeight="1">
      <c r="A94" s="30"/>
      <c r="B94" s="30"/>
      <c r="D94" s="66"/>
      <c r="E94" s="66"/>
      <c r="H94" s="64"/>
      <c r="I94" s="64"/>
      <c r="J94" s="64"/>
      <c r="K94" s="64"/>
      <c r="L94" s="64"/>
      <c r="M94" s="64"/>
      <c r="N94" s="64"/>
      <c r="O94" s="64"/>
      <c r="P94" s="64"/>
      <c r="Q94" s="64"/>
      <c r="R94" s="64"/>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row>
    <row r="95" ht="15.75" customHeight="1">
      <c r="A95" s="30"/>
      <c r="B95" s="30"/>
      <c r="D95" s="66"/>
      <c r="E95" s="66"/>
      <c r="H95" s="64"/>
      <c r="I95" s="64"/>
      <c r="J95" s="64"/>
      <c r="K95" s="64"/>
      <c r="L95" s="64"/>
      <c r="M95" s="64"/>
      <c r="N95" s="64"/>
      <c r="O95" s="64"/>
      <c r="P95" s="64"/>
      <c r="Q95" s="64"/>
      <c r="R95" s="64"/>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row>
    <row r="96" ht="15.75" customHeight="1">
      <c r="A96" s="30"/>
      <c r="B96" s="30"/>
      <c r="D96" s="66"/>
      <c r="E96" s="66"/>
      <c r="H96" s="64"/>
      <c r="I96" s="64"/>
      <c r="J96" s="64"/>
      <c r="K96" s="64"/>
      <c r="L96" s="64"/>
      <c r="M96" s="64"/>
      <c r="N96" s="64"/>
      <c r="O96" s="64"/>
      <c r="P96" s="64"/>
      <c r="Q96" s="64"/>
      <c r="R96" s="64"/>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row>
    <row r="97" ht="15.75" customHeight="1">
      <c r="A97" s="30"/>
      <c r="B97" s="30"/>
      <c r="D97" s="66"/>
      <c r="E97" s="66"/>
      <c r="H97" s="64"/>
      <c r="I97" s="64"/>
      <c r="J97" s="64"/>
      <c r="K97" s="64"/>
      <c r="L97" s="64"/>
      <c r="M97" s="64"/>
      <c r="N97" s="64"/>
      <c r="O97" s="64"/>
      <c r="P97" s="64"/>
      <c r="Q97" s="64"/>
      <c r="R97" s="64"/>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row>
    <row r="98" ht="15.75" customHeight="1">
      <c r="A98" s="30"/>
      <c r="B98" s="30"/>
      <c r="D98" s="66"/>
      <c r="E98" s="66"/>
      <c r="H98" s="64"/>
      <c r="I98" s="64"/>
      <c r="J98" s="64"/>
      <c r="K98" s="64"/>
      <c r="L98" s="64"/>
      <c r="M98" s="64"/>
      <c r="N98" s="64"/>
      <c r="O98" s="64"/>
      <c r="P98" s="64"/>
      <c r="Q98" s="64"/>
      <c r="R98" s="64"/>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row>
    <row r="99" ht="15.75" customHeight="1">
      <c r="A99" s="30"/>
      <c r="B99" s="30"/>
      <c r="D99" s="66"/>
      <c r="E99" s="66"/>
      <c r="H99" s="64"/>
      <c r="I99" s="64"/>
      <c r="J99" s="64"/>
      <c r="K99" s="64"/>
      <c r="L99" s="64"/>
      <c r="M99" s="64"/>
      <c r="N99" s="64"/>
      <c r="O99" s="64"/>
      <c r="P99" s="64"/>
      <c r="Q99" s="64"/>
      <c r="R99" s="64"/>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row>
    <row r="100" ht="15.75" customHeight="1">
      <c r="A100" s="30"/>
      <c r="B100" s="30"/>
      <c r="D100" s="66"/>
      <c r="E100" s="66"/>
      <c r="H100" s="64"/>
      <c r="I100" s="64"/>
      <c r="J100" s="64"/>
      <c r="K100" s="64"/>
      <c r="L100" s="64"/>
      <c r="M100" s="64"/>
      <c r="N100" s="64"/>
      <c r="O100" s="64"/>
      <c r="P100" s="64"/>
      <c r="Q100" s="64"/>
      <c r="R100" s="64"/>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row>
    <row r="101" ht="15.75" customHeight="1">
      <c r="A101" s="30"/>
      <c r="B101" s="30"/>
      <c r="D101" s="66"/>
      <c r="E101" s="66"/>
      <c r="H101" s="64"/>
      <c r="I101" s="64"/>
      <c r="J101" s="64"/>
      <c r="K101" s="64"/>
      <c r="L101" s="64"/>
      <c r="M101" s="64"/>
      <c r="N101" s="64"/>
      <c r="O101" s="64"/>
      <c r="P101" s="64"/>
      <c r="Q101" s="64"/>
      <c r="R101" s="64"/>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row>
    <row r="102" ht="15.75" customHeight="1">
      <c r="A102" s="30"/>
      <c r="B102" s="30"/>
      <c r="D102" s="66"/>
      <c r="E102" s="66"/>
      <c r="H102" s="64"/>
      <c r="I102" s="64"/>
      <c r="J102" s="64"/>
      <c r="K102" s="64"/>
      <c r="L102" s="64"/>
      <c r="M102" s="64"/>
      <c r="N102" s="64"/>
      <c r="O102" s="64"/>
      <c r="P102" s="64"/>
      <c r="Q102" s="64"/>
      <c r="R102" s="64"/>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row>
    <row r="103" ht="15.75" customHeight="1">
      <c r="A103" s="30"/>
      <c r="B103" s="30"/>
      <c r="D103" s="66"/>
      <c r="E103" s="66"/>
      <c r="H103" s="64"/>
      <c r="I103" s="64"/>
      <c r="J103" s="64"/>
      <c r="K103" s="64"/>
      <c r="L103" s="64"/>
      <c r="M103" s="64"/>
      <c r="N103" s="64"/>
      <c r="O103" s="64"/>
      <c r="P103" s="64"/>
      <c r="Q103" s="64"/>
      <c r="R103" s="64"/>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row>
    <row r="104" ht="15.75" customHeight="1">
      <c r="A104" s="30"/>
      <c r="B104" s="30"/>
      <c r="D104" s="66"/>
      <c r="E104" s="66"/>
      <c r="H104" s="64"/>
      <c r="I104" s="64"/>
      <c r="J104" s="64"/>
      <c r="K104" s="64"/>
      <c r="L104" s="64"/>
      <c r="M104" s="64"/>
      <c r="N104" s="64"/>
      <c r="O104" s="64"/>
      <c r="P104" s="64"/>
      <c r="Q104" s="64"/>
      <c r="R104" s="64"/>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row>
    <row r="105" ht="15.75" customHeight="1">
      <c r="A105" s="30"/>
      <c r="B105" s="30"/>
      <c r="D105" s="66"/>
      <c r="E105" s="66"/>
      <c r="H105" s="64"/>
      <c r="I105" s="64"/>
      <c r="J105" s="64"/>
      <c r="K105" s="64"/>
      <c r="L105" s="64"/>
      <c r="M105" s="64"/>
      <c r="N105" s="64"/>
      <c r="O105" s="64"/>
      <c r="P105" s="64"/>
      <c r="Q105" s="64"/>
      <c r="R105" s="64"/>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row>
    <row r="106" ht="15.75" customHeight="1">
      <c r="A106" s="30"/>
      <c r="B106" s="30"/>
      <c r="D106" s="66"/>
      <c r="E106" s="66"/>
      <c r="H106" s="64"/>
      <c r="I106" s="64"/>
      <c r="J106" s="64"/>
      <c r="K106" s="64"/>
      <c r="L106" s="64"/>
      <c r="M106" s="64"/>
      <c r="N106" s="64"/>
      <c r="O106" s="64"/>
      <c r="P106" s="64"/>
      <c r="Q106" s="64"/>
      <c r="R106" s="64"/>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row>
    <row r="107" ht="15.75" customHeight="1">
      <c r="A107" s="30"/>
      <c r="B107" s="30"/>
      <c r="D107" s="66"/>
      <c r="E107" s="66"/>
      <c r="H107" s="64"/>
      <c r="I107" s="64"/>
      <c r="J107" s="64"/>
      <c r="K107" s="64"/>
      <c r="L107" s="64"/>
      <c r="M107" s="64"/>
      <c r="N107" s="64"/>
      <c r="O107" s="64"/>
      <c r="P107" s="64"/>
      <c r="Q107" s="64"/>
      <c r="R107" s="64"/>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row>
    <row r="108" ht="15.75" customHeight="1">
      <c r="A108" s="30"/>
      <c r="B108" s="30"/>
      <c r="D108" s="66"/>
      <c r="E108" s="66"/>
      <c r="H108" s="64"/>
      <c r="I108" s="64"/>
      <c r="J108" s="64"/>
      <c r="K108" s="64"/>
      <c r="L108" s="64"/>
      <c r="M108" s="64"/>
      <c r="N108" s="64"/>
      <c r="O108" s="64"/>
      <c r="P108" s="64"/>
      <c r="Q108" s="64"/>
      <c r="R108" s="64"/>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row>
    <row r="109" ht="15.75" customHeight="1">
      <c r="A109" s="30"/>
      <c r="B109" s="30"/>
      <c r="D109" s="66"/>
      <c r="E109" s="66"/>
      <c r="H109" s="64"/>
      <c r="I109" s="64"/>
      <c r="J109" s="64"/>
      <c r="K109" s="64"/>
      <c r="L109" s="64"/>
      <c r="M109" s="64"/>
      <c r="N109" s="64"/>
      <c r="O109" s="64"/>
      <c r="P109" s="64"/>
      <c r="Q109" s="64"/>
      <c r="R109" s="64"/>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row>
    <row r="110" ht="15.75" customHeight="1">
      <c r="A110" s="30"/>
      <c r="B110" s="30"/>
      <c r="D110" s="66"/>
      <c r="E110" s="66"/>
      <c r="H110" s="64"/>
      <c r="I110" s="64"/>
      <c r="J110" s="64"/>
      <c r="K110" s="64"/>
      <c r="L110" s="64"/>
      <c r="M110" s="64"/>
      <c r="N110" s="64"/>
      <c r="O110" s="64"/>
      <c r="P110" s="64"/>
      <c r="Q110" s="64"/>
      <c r="R110" s="64"/>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row>
    <row r="111" ht="15.75" customHeight="1">
      <c r="A111" s="30"/>
      <c r="B111" s="30"/>
      <c r="D111" s="66"/>
      <c r="E111" s="66"/>
      <c r="H111" s="64"/>
      <c r="I111" s="64"/>
      <c r="J111" s="64"/>
      <c r="K111" s="64"/>
      <c r="L111" s="64"/>
      <c r="M111" s="64"/>
      <c r="N111" s="64"/>
      <c r="O111" s="64"/>
      <c r="P111" s="64"/>
      <c r="Q111" s="64"/>
      <c r="R111" s="64"/>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row>
    <row r="112" ht="15.75" customHeight="1">
      <c r="A112" s="30"/>
      <c r="B112" s="30"/>
      <c r="D112" s="66"/>
      <c r="E112" s="66"/>
      <c r="H112" s="64"/>
      <c r="I112" s="64"/>
      <c r="J112" s="64"/>
      <c r="K112" s="64"/>
      <c r="L112" s="64"/>
      <c r="M112" s="64"/>
      <c r="N112" s="64"/>
      <c r="O112" s="64"/>
      <c r="P112" s="64"/>
      <c r="Q112" s="64"/>
      <c r="R112" s="64"/>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row>
    <row r="113" ht="15.75" customHeight="1">
      <c r="A113" s="30"/>
      <c r="B113" s="30"/>
      <c r="D113" s="66"/>
      <c r="E113" s="66"/>
      <c r="H113" s="64"/>
      <c r="I113" s="64"/>
      <c r="J113" s="64"/>
      <c r="K113" s="64"/>
      <c r="L113" s="64"/>
      <c r="M113" s="64"/>
      <c r="N113" s="64"/>
      <c r="O113" s="64"/>
      <c r="P113" s="64"/>
      <c r="Q113" s="64"/>
      <c r="R113" s="64"/>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row>
    <row r="114" ht="15.75" customHeight="1">
      <c r="A114" s="30"/>
      <c r="B114" s="30"/>
      <c r="D114" s="66"/>
      <c r="E114" s="66"/>
      <c r="H114" s="64"/>
      <c r="I114" s="64"/>
      <c r="J114" s="64"/>
      <c r="K114" s="64"/>
      <c r="L114" s="64"/>
      <c r="M114" s="64"/>
      <c r="N114" s="64"/>
      <c r="O114" s="64"/>
      <c r="P114" s="64"/>
      <c r="Q114" s="64"/>
      <c r="R114" s="64"/>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row>
    <row r="115" ht="15.75" customHeight="1">
      <c r="A115" s="30"/>
      <c r="B115" s="30"/>
      <c r="D115" s="66"/>
      <c r="E115" s="66"/>
      <c r="H115" s="64"/>
      <c r="I115" s="64"/>
      <c r="J115" s="64"/>
      <c r="K115" s="64"/>
      <c r="L115" s="64"/>
      <c r="M115" s="64"/>
      <c r="N115" s="64"/>
      <c r="O115" s="64"/>
      <c r="P115" s="64"/>
      <c r="Q115" s="64"/>
      <c r="R115" s="64"/>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row>
    <row r="116" ht="15.75" customHeight="1">
      <c r="A116" s="30"/>
      <c r="B116" s="30"/>
      <c r="D116" s="66"/>
      <c r="E116" s="66"/>
      <c r="H116" s="64"/>
      <c r="I116" s="64"/>
      <c r="J116" s="64"/>
      <c r="K116" s="64"/>
      <c r="L116" s="64"/>
      <c r="M116" s="64"/>
      <c r="N116" s="64"/>
      <c r="O116" s="64"/>
      <c r="P116" s="64"/>
      <c r="Q116" s="64"/>
      <c r="R116" s="64"/>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row>
    <row r="117" ht="15.75" customHeight="1">
      <c r="A117" s="30"/>
      <c r="B117" s="30"/>
      <c r="D117" s="66"/>
      <c r="E117" s="66"/>
      <c r="H117" s="64"/>
      <c r="I117" s="64"/>
      <c r="J117" s="64"/>
      <c r="K117" s="64"/>
      <c r="L117" s="64"/>
      <c r="M117" s="64"/>
      <c r="N117" s="64"/>
      <c r="O117" s="64"/>
      <c r="P117" s="64"/>
      <c r="Q117" s="64"/>
      <c r="R117" s="64"/>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row>
    <row r="118" ht="15.75" customHeight="1">
      <c r="A118" s="30"/>
      <c r="B118" s="30"/>
      <c r="D118" s="66"/>
      <c r="E118" s="66"/>
      <c r="H118" s="64"/>
      <c r="I118" s="64"/>
      <c r="J118" s="64"/>
      <c r="K118" s="64"/>
      <c r="L118" s="64"/>
      <c r="M118" s="64"/>
      <c r="N118" s="64"/>
      <c r="O118" s="64"/>
      <c r="P118" s="64"/>
      <c r="Q118" s="64"/>
      <c r="R118" s="64"/>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row>
    <row r="119" ht="15.75" customHeight="1">
      <c r="A119" s="30"/>
      <c r="B119" s="30"/>
      <c r="D119" s="66"/>
      <c r="E119" s="66"/>
      <c r="H119" s="64"/>
      <c r="I119" s="64"/>
      <c r="J119" s="64"/>
      <c r="K119" s="64"/>
      <c r="L119" s="64"/>
      <c r="M119" s="64"/>
      <c r="N119" s="64"/>
      <c r="O119" s="64"/>
      <c r="P119" s="64"/>
      <c r="Q119" s="64"/>
      <c r="R119" s="64"/>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row>
    <row r="120" ht="15.75" customHeight="1">
      <c r="A120" s="30"/>
      <c r="B120" s="30"/>
      <c r="D120" s="66"/>
      <c r="E120" s="66"/>
      <c r="H120" s="64"/>
      <c r="I120" s="64"/>
      <c r="J120" s="64"/>
      <c r="K120" s="64"/>
      <c r="L120" s="64"/>
      <c r="M120" s="64"/>
      <c r="N120" s="64"/>
      <c r="O120" s="64"/>
      <c r="P120" s="64"/>
      <c r="Q120" s="64"/>
      <c r="R120" s="64"/>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row>
    <row r="121" ht="15.75" customHeight="1">
      <c r="A121" s="30"/>
      <c r="B121" s="30"/>
      <c r="D121" s="66"/>
      <c r="E121" s="66"/>
      <c r="H121" s="64"/>
      <c r="I121" s="64"/>
      <c r="J121" s="64"/>
      <c r="K121" s="64"/>
      <c r="L121" s="64"/>
      <c r="M121" s="64"/>
      <c r="N121" s="64"/>
      <c r="O121" s="64"/>
      <c r="P121" s="64"/>
      <c r="Q121" s="64"/>
      <c r="R121" s="64"/>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row>
    <row r="122" ht="15.75" customHeight="1">
      <c r="A122" s="30"/>
      <c r="B122" s="30"/>
      <c r="D122" s="66"/>
      <c r="E122" s="66"/>
      <c r="H122" s="64"/>
      <c r="I122" s="64"/>
      <c r="J122" s="64"/>
      <c r="K122" s="64"/>
      <c r="L122" s="64"/>
      <c r="M122" s="64"/>
      <c r="N122" s="64"/>
      <c r="O122" s="64"/>
      <c r="P122" s="64"/>
      <c r="Q122" s="64"/>
      <c r="R122" s="64"/>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row>
    <row r="123" ht="15.75" customHeight="1">
      <c r="A123" s="30"/>
      <c r="B123" s="30"/>
      <c r="D123" s="66"/>
      <c r="E123" s="66"/>
      <c r="H123" s="64"/>
      <c r="I123" s="64"/>
      <c r="J123" s="64"/>
      <c r="K123" s="64"/>
      <c r="L123" s="64"/>
      <c r="M123" s="64"/>
      <c r="N123" s="64"/>
      <c r="O123" s="64"/>
      <c r="P123" s="64"/>
      <c r="Q123" s="64"/>
      <c r="R123" s="64"/>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row>
    <row r="124" ht="15.75" customHeight="1">
      <c r="A124" s="30"/>
      <c r="B124" s="30"/>
      <c r="D124" s="66"/>
      <c r="E124" s="66"/>
      <c r="H124" s="64"/>
      <c r="I124" s="64"/>
      <c r="J124" s="64"/>
      <c r="K124" s="64"/>
      <c r="L124" s="64"/>
      <c r="M124" s="64"/>
      <c r="N124" s="64"/>
      <c r="O124" s="64"/>
      <c r="P124" s="64"/>
      <c r="Q124" s="64"/>
      <c r="R124" s="64"/>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row>
    <row r="125" ht="15.75" customHeight="1">
      <c r="A125" s="30"/>
      <c r="B125" s="30"/>
      <c r="D125" s="66"/>
      <c r="E125" s="66"/>
      <c r="H125" s="64"/>
      <c r="I125" s="64"/>
      <c r="J125" s="64"/>
      <c r="K125" s="64"/>
      <c r="L125" s="64"/>
      <c r="M125" s="64"/>
      <c r="N125" s="64"/>
      <c r="O125" s="64"/>
      <c r="P125" s="64"/>
      <c r="Q125" s="64"/>
      <c r="R125" s="64"/>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row>
    <row r="126" ht="15.75" customHeight="1">
      <c r="A126" s="30"/>
      <c r="B126" s="30"/>
      <c r="D126" s="66"/>
      <c r="E126" s="66"/>
      <c r="H126" s="64"/>
      <c r="I126" s="64"/>
      <c r="J126" s="64"/>
      <c r="K126" s="64"/>
      <c r="L126" s="64"/>
      <c r="M126" s="64"/>
      <c r="N126" s="64"/>
      <c r="O126" s="64"/>
      <c r="P126" s="64"/>
      <c r="Q126" s="64"/>
      <c r="R126" s="64"/>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row>
    <row r="127" ht="15.75" customHeight="1">
      <c r="A127" s="30"/>
      <c r="B127" s="30"/>
      <c r="D127" s="66"/>
      <c r="E127" s="66"/>
      <c r="H127" s="64"/>
      <c r="I127" s="64"/>
      <c r="J127" s="64"/>
      <c r="K127" s="64"/>
      <c r="L127" s="64"/>
      <c r="M127" s="64"/>
      <c r="N127" s="64"/>
      <c r="O127" s="64"/>
      <c r="P127" s="64"/>
      <c r="Q127" s="64"/>
      <c r="R127" s="64"/>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row>
    <row r="128" ht="15.75" customHeight="1">
      <c r="A128" s="30"/>
      <c r="B128" s="30"/>
      <c r="D128" s="66"/>
      <c r="E128" s="66"/>
      <c r="H128" s="64"/>
      <c r="I128" s="64"/>
      <c r="J128" s="64"/>
      <c r="K128" s="64"/>
      <c r="L128" s="64"/>
      <c r="M128" s="64"/>
      <c r="N128" s="64"/>
      <c r="O128" s="64"/>
      <c r="P128" s="64"/>
      <c r="Q128" s="64"/>
      <c r="R128" s="64"/>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row>
    <row r="129" ht="15.75" customHeight="1">
      <c r="A129" s="30"/>
      <c r="B129" s="30"/>
      <c r="D129" s="66"/>
      <c r="E129" s="66"/>
      <c r="H129" s="64"/>
      <c r="I129" s="64"/>
      <c r="J129" s="64"/>
      <c r="K129" s="64"/>
      <c r="L129" s="64"/>
      <c r="M129" s="64"/>
      <c r="N129" s="64"/>
      <c r="O129" s="64"/>
      <c r="P129" s="64"/>
      <c r="Q129" s="64"/>
      <c r="R129" s="64"/>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row>
    <row r="130" ht="15.75" customHeight="1">
      <c r="A130" s="30"/>
      <c r="B130" s="30"/>
      <c r="D130" s="66"/>
      <c r="E130" s="66"/>
      <c r="H130" s="64"/>
      <c r="I130" s="64"/>
      <c r="J130" s="64"/>
      <c r="K130" s="64"/>
      <c r="L130" s="64"/>
      <c r="M130" s="64"/>
      <c r="N130" s="64"/>
      <c r="O130" s="64"/>
      <c r="P130" s="64"/>
      <c r="Q130" s="64"/>
      <c r="R130" s="64"/>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row>
    <row r="131" ht="15.75" customHeight="1">
      <c r="A131" s="30"/>
      <c r="B131" s="30"/>
      <c r="D131" s="66"/>
      <c r="E131" s="66"/>
      <c r="H131" s="64"/>
      <c r="I131" s="64"/>
      <c r="J131" s="64"/>
      <c r="K131" s="64"/>
      <c r="L131" s="64"/>
      <c r="M131" s="64"/>
      <c r="N131" s="64"/>
      <c r="O131" s="64"/>
      <c r="P131" s="64"/>
      <c r="Q131" s="64"/>
      <c r="R131" s="64"/>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row>
    <row r="132" ht="15.75" customHeight="1">
      <c r="A132" s="30"/>
      <c r="B132" s="30"/>
      <c r="D132" s="66"/>
      <c r="E132" s="66"/>
      <c r="H132" s="64"/>
      <c r="I132" s="64"/>
      <c r="J132" s="64"/>
      <c r="K132" s="64"/>
      <c r="L132" s="64"/>
      <c r="M132" s="64"/>
      <c r="N132" s="64"/>
      <c r="O132" s="64"/>
      <c r="P132" s="64"/>
      <c r="Q132" s="64"/>
      <c r="R132" s="64"/>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row>
    <row r="133" ht="15.75" customHeight="1">
      <c r="A133" s="30"/>
      <c r="B133" s="30"/>
      <c r="D133" s="66"/>
      <c r="E133" s="66"/>
      <c r="H133" s="64"/>
      <c r="I133" s="64"/>
      <c r="J133" s="64"/>
      <c r="K133" s="64"/>
      <c r="L133" s="64"/>
      <c r="M133" s="64"/>
      <c r="N133" s="64"/>
      <c r="O133" s="64"/>
      <c r="P133" s="64"/>
      <c r="Q133" s="64"/>
      <c r="R133" s="64"/>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row>
    <row r="134" ht="15.75" customHeight="1">
      <c r="A134" s="30"/>
      <c r="B134" s="30"/>
      <c r="D134" s="66"/>
      <c r="E134" s="66"/>
      <c r="H134" s="64"/>
      <c r="I134" s="64"/>
      <c r="J134" s="64"/>
      <c r="K134" s="64"/>
      <c r="L134" s="64"/>
      <c r="M134" s="64"/>
      <c r="N134" s="64"/>
      <c r="O134" s="64"/>
      <c r="P134" s="64"/>
      <c r="Q134" s="64"/>
      <c r="R134" s="64"/>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row>
    <row r="135" ht="15.75" customHeight="1">
      <c r="A135" s="30"/>
      <c r="B135" s="30"/>
      <c r="D135" s="66"/>
      <c r="E135" s="66"/>
      <c r="H135" s="64"/>
      <c r="I135" s="64"/>
      <c r="J135" s="64"/>
      <c r="K135" s="64"/>
      <c r="L135" s="64"/>
      <c r="M135" s="64"/>
      <c r="N135" s="64"/>
      <c r="O135" s="64"/>
      <c r="P135" s="64"/>
      <c r="Q135" s="64"/>
      <c r="R135" s="64"/>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row>
    <row r="136" ht="15.75" customHeight="1">
      <c r="A136" s="30"/>
      <c r="B136" s="30"/>
      <c r="D136" s="66"/>
      <c r="E136" s="66"/>
      <c r="H136" s="64"/>
      <c r="I136" s="64"/>
      <c r="J136" s="64"/>
      <c r="K136" s="64"/>
      <c r="L136" s="64"/>
      <c r="M136" s="64"/>
      <c r="N136" s="64"/>
      <c r="O136" s="64"/>
      <c r="P136" s="64"/>
      <c r="Q136" s="64"/>
      <c r="R136" s="64"/>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row>
    <row r="137" ht="15.75" customHeight="1">
      <c r="A137" s="30"/>
      <c r="B137" s="30"/>
      <c r="D137" s="66"/>
      <c r="E137" s="66"/>
      <c r="H137" s="64"/>
      <c r="I137" s="64"/>
      <c r="J137" s="64"/>
      <c r="K137" s="64"/>
      <c r="L137" s="64"/>
      <c r="M137" s="64"/>
      <c r="N137" s="64"/>
      <c r="O137" s="64"/>
      <c r="P137" s="64"/>
      <c r="Q137" s="64"/>
      <c r="R137" s="64"/>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row>
    <row r="138" ht="15.75" customHeight="1">
      <c r="A138" s="30"/>
      <c r="B138" s="30"/>
      <c r="D138" s="66"/>
      <c r="E138" s="66"/>
      <c r="H138" s="64"/>
      <c r="I138" s="64"/>
      <c r="J138" s="64"/>
      <c r="K138" s="64"/>
      <c r="L138" s="64"/>
      <c r="M138" s="64"/>
      <c r="N138" s="64"/>
      <c r="O138" s="64"/>
      <c r="P138" s="64"/>
      <c r="Q138" s="64"/>
      <c r="R138" s="64"/>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row>
    <row r="139" ht="15.75" customHeight="1">
      <c r="A139" s="30"/>
      <c r="B139" s="30"/>
      <c r="D139" s="66"/>
      <c r="E139" s="66"/>
      <c r="H139" s="64"/>
      <c r="I139" s="64"/>
      <c r="J139" s="64"/>
      <c r="K139" s="64"/>
      <c r="L139" s="64"/>
      <c r="M139" s="64"/>
      <c r="N139" s="64"/>
      <c r="O139" s="64"/>
      <c r="P139" s="64"/>
      <c r="Q139" s="64"/>
      <c r="R139" s="64"/>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row>
    <row r="140" ht="15.75" customHeight="1">
      <c r="A140" s="30"/>
      <c r="B140" s="30"/>
      <c r="D140" s="66"/>
      <c r="E140" s="66"/>
      <c r="H140" s="64"/>
      <c r="I140" s="64"/>
      <c r="J140" s="64"/>
      <c r="K140" s="64"/>
      <c r="L140" s="64"/>
      <c r="M140" s="64"/>
      <c r="N140" s="64"/>
      <c r="O140" s="64"/>
      <c r="P140" s="64"/>
      <c r="Q140" s="64"/>
      <c r="R140" s="64"/>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row>
    <row r="141" ht="15.75" customHeight="1">
      <c r="A141" s="30"/>
      <c r="B141" s="30"/>
      <c r="D141" s="66"/>
      <c r="E141" s="66"/>
      <c r="H141" s="64"/>
      <c r="I141" s="64"/>
      <c r="J141" s="64"/>
      <c r="K141" s="64"/>
      <c r="L141" s="64"/>
      <c r="M141" s="64"/>
      <c r="N141" s="64"/>
      <c r="O141" s="64"/>
      <c r="P141" s="64"/>
      <c r="Q141" s="64"/>
      <c r="R141" s="64"/>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row>
    <row r="142" ht="15.75" customHeight="1">
      <c r="A142" s="30"/>
      <c r="B142" s="30"/>
      <c r="D142" s="66"/>
      <c r="E142" s="66"/>
      <c r="H142" s="64"/>
      <c r="I142" s="64"/>
      <c r="J142" s="64"/>
      <c r="K142" s="64"/>
      <c r="L142" s="64"/>
      <c r="M142" s="64"/>
      <c r="N142" s="64"/>
      <c r="O142" s="64"/>
      <c r="P142" s="64"/>
      <c r="Q142" s="64"/>
      <c r="R142" s="64"/>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row>
    <row r="143" ht="15.75" customHeight="1">
      <c r="A143" s="30"/>
      <c r="B143" s="30"/>
      <c r="D143" s="66"/>
      <c r="E143" s="66"/>
      <c r="H143" s="64"/>
      <c r="I143" s="64"/>
      <c r="J143" s="64"/>
      <c r="K143" s="64"/>
      <c r="L143" s="64"/>
      <c r="M143" s="64"/>
      <c r="N143" s="64"/>
      <c r="O143" s="64"/>
      <c r="P143" s="64"/>
      <c r="Q143" s="64"/>
      <c r="R143" s="64"/>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row>
    <row r="144" ht="15.75" customHeight="1">
      <c r="A144" s="30"/>
      <c r="B144" s="30"/>
      <c r="D144" s="66"/>
      <c r="E144" s="66"/>
      <c r="H144" s="64"/>
      <c r="I144" s="64"/>
      <c r="J144" s="64"/>
      <c r="K144" s="64"/>
      <c r="L144" s="64"/>
      <c r="M144" s="64"/>
      <c r="N144" s="64"/>
      <c r="O144" s="64"/>
      <c r="P144" s="64"/>
      <c r="Q144" s="64"/>
      <c r="R144" s="64"/>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row>
    <row r="145" ht="15.75" customHeight="1">
      <c r="A145" s="30"/>
      <c r="B145" s="30"/>
      <c r="D145" s="66"/>
      <c r="E145" s="66"/>
      <c r="H145" s="64"/>
      <c r="I145" s="64"/>
      <c r="J145" s="64"/>
      <c r="K145" s="64"/>
      <c r="L145" s="64"/>
      <c r="M145" s="64"/>
      <c r="N145" s="64"/>
      <c r="O145" s="64"/>
      <c r="P145" s="64"/>
      <c r="Q145" s="64"/>
      <c r="R145" s="64"/>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row>
    <row r="146" ht="15.75" customHeight="1">
      <c r="A146" s="30"/>
      <c r="B146" s="30"/>
      <c r="D146" s="66"/>
      <c r="E146" s="66"/>
      <c r="H146" s="64"/>
      <c r="I146" s="64"/>
      <c r="J146" s="64"/>
      <c r="K146" s="64"/>
      <c r="L146" s="64"/>
      <c r="M146" s="64"/>
      <c r="N146" s="64"/>
      <c r="O146" s="64"/>
      <c r="P146" s="64"/>
      <c r="Q146" s="64"/>
      <c r="R146" s="64"/>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row>
    <row r="147" ht="15.75" customHeight="1">
      <c r="A147" s="30"/>
      <c r="B147" s="30"/>
      <c r="D147" s="66"/>
      <c r="E147" s="66"/>
      <c r="H147" s="64"/>
      <c r="I147" s="64"/>
      <c r="J147" s="64"/>
      <c r="K147" s="64"/>
      <c r="L147" s="64"/>
      <c r="M147" s="64"/>
      <c r="N147" s="64"/>
      <c r="O147" s="64"/>
      <c r="P147" s="64"/>
      <c r="Q147" s="64"/>
      <c r="R147" s="64"/>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row>
    <row r="148" ht="15.75" customHeight="1">
      <c r="A148" s="30"/>
      <c r="B148" s="30"/>
      <c r="D148" s="66"/>
      <c r="E148" s="66"/>
      <c r="H148" s="64"/>
      <c r="I148" s="64"/>
      <c r="J148" s="64"/>
      <c r="K148" s="64"/>
      <c r="L148" s="64"/>
      <c r="M148" s="64"/>
      <c r="N148" s="64"/>
      <c r="O148" s="64"/>
      <c r="P148" s="64"/>
      <c r="Q148" s="64"/>
      <c r="R148" s="64"/>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row>
    <row r="149" ht="15.75" customHeight="1">
      <c r="A149" s="30"/>
      <c r="B149" s="30"/>
      <c r="D149" s="66"/>
      <c r="E149" s="66"/>
      <c r="H149" s="64"/>
      <c r="I149" s="64"/>
      <c r="J149" s="64"/>
      <c r="K149" s="64"/>
      <c r="L149" s="64"/>
      <c r="M149" s="64"/>
      <c r="N149" s="64"/>
      <c r="O149" s="64"/>
      <c r="P149" s="64"/>
      <c r="Q149" s="64"/>
      <c r="R149" s="64"/>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row>
    <row r="150" ht="15.75" customHeight="1">
      <c r="A150" s="30"/>
      <c r="B150" s="30"/>
      <c r="D150" s="66"/>
      <c r="E150" s="66"/>
      <c r="H150" s="64"/>
      <c r="I150" s="64"/>
      <c r="J150" s="64"/>
      <c r="K150" s="64"/>
      <c r="L150" s="64"/>
      <c r="M150" s="64"/>
      <c r="N150" s="64"/>
      <c r="O150" s="64"/>
      <c r="P150" s="64"/>
      <c r="Q150" s="64"/>
      <c r="R150" s="64"/>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row>
    <row r="151" ht="15.75" customHeight="1">
      <c r="A151" s="30"/>
      <c r="B151" s="30"/>
      <c r="D151" s="66"/>
      <c r="E151" s="66"/>
      <c r="H151" s="64"/>
      <c r="I151" s="64"/>
      <c r="J151" s="64"/>
      <c r="K151" s="64"/>
      <c r="L151" s="64"/>
      <c r="M151" s="64"/>
      <c r="N151" s="64"/>
      <c r="O151" s="64"/>
      <c r="P151" s="64"/>
      <c r="Q151" s="64"/>
      <c r="R151" s="64"/>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row>
    <row r="152" ht="15.75" customHeight="1">
      <c r="A152" s="30"/>
      <c r="B152" s="30"/>
      <c r="D152" s="66"/>
      <c r="E152" s="66"/>
      <c r="H152" s="64"/>
      <c r="I152" s="64"/>
      <c r="J152" s="64"/>
      <c r="K152" s="64"/>
      <c r="L152" s="64"/>
      <c r="M152" s="64"/>
      <c r="N152" s="64"/>
      <c r="O152" s="64"/>
      <c r="P152" s="64"/>
      <c r="Q152" s="64"/>
      <c r="R152" s="64"/>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row>
    <row r="153" ht="15.75" customHeight="1">
      <c r="A153" s="30"/>
      <c r="B153" s="30"/>
      <c r="D153" s="66"/>
      <c r="E153" s="66"/>
      <c r="H153" s="64"/>
      <c r="I153" s="64"/>
      <c r="J153" s="64"/>
      <c r="K153" s="64"/>
      <c r="L153" s="64"/>
      <c r="M153" s="64"/>
      <c r="N153" s="64"/>
      <c r="O153" s="64"/>
      <c r="P153" s="64"/>
      <c r="Q153" s="64"/>
      <c r="R153" s="64"/>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row>
    <row r="154" ht="15.75" customHeight="1">
      <c r="A154" s="30"/>
      <c r="B154" s="30"/>
      <c r="D154" s="66"/>
      <c r="E154" s="66"/>
      <c r="H154" s="64"/>
      <c r="I154" s="64"/>
      <c r="J154" s="64"/>
      <c r="K154" s="64"/>
      <c r="L154" s="64"/>
      <c r="M154" s="64"/>
      <c r="N154" s="64"/>
      <c r="O154" s="64"/>
      <c r="P154" s="64"/>
      <c r="Q154" s="64"/>
      <c r="R154" s="64"/>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row>
    <row r="155" ht="15.75" customHeight="1">
      <c r="A155" s="30"/>
      <c r="B155" s="30"/>
      <c r="D155" s="66"/>
      <c r="E155" s="66"/>
      <c r="H155" s="64"/>
      <c r="I155" s="64"/>
      <c r="J155" s="64"/>
      <c r="K155" s="64"/>
      <c r="L155" s="64"/>
      <c r="M155" s="64"/>
      <c r="N155" s="64"/>
      <c r="O155" s="64"/>
      <c r="P155" s="64"/>
      <c r="Q155" s="64"/>
      <c r="R155" s="64"/>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row>
    <row r="156" ht="15.75" customHeight="1">
      <c r="A156" s="30"/>
      <c r="B156" s="30"/>
      <c r="D156" s="66"/>
      <c r="E156" s="66"/>
      <c r="H156" s="64"/>
      <c r="I156" s="64"/>
      <c r="J156" s="64"/>
      <c r="K156" s="64"/>
      <c r="L156" s="64"/>
      <c r="M156" s="64"/>
      <c r="N156" s="64"/>
      <c r="O156" s="64"/>
      <c r="P156" s="64"/>
      <c r="Q156" s="64"/>
      <c r="R156" s="64"/>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row>
    <row r="157" ht="15.75" customHeight="1">
      <c r="A157" s="30"/>
      <c r="B157" s="30"/>
      <c r="D157" s="66"/>
      <c r="E157" s="66"/>
      <c r="H157" s="64"/>
      <c r="I157" s="64"/>
      <c r="J157" s="64"/>
      <c r="K157" s="64"/>
      <c r="L157" s="64"/>
      <c r="M157" s="64"/>
      <c r="N157" s="64"/>
      <c r="O157" s="64"/>
      <c r="P157" s="64"/>
      <c r="Q157" s="64"/>
      <c r="R157" s="64"/>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row>
    <row r="158" ht="15.75" customHeight="1">
      <c r="A158" s="30"/>
      <c r="B158" s="30"/>
      <c r="D158" s="66"/>
      <c r="E158" s="66"/>
      <c r="H158" s="64"/>
      <c r="I158" s="64"/>
      <c r="J158" s="64"/>
      <c r="K158" s="64"/>
      <c r="L158" s="64"/>
      <c r="M158" s="64"/>
      <c r="N158" s="64"/>
      <c r="O158" s="64"/>
      <c r="P158" s="64"/>
      <c r="Q158" s="64"/>
      <c r="R158" s="64"/>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row>
    <row r="159" ht="15.75" customHeight="1">
      <c r="A159" s="30"/>
      <c r="B159" s="30"/>
      <c r="D159" s="66"/>
      <c r="E159" s="66"/>
      <c r="H159" s="64"/>
      <c r="I159" s="64"/>
      <c r="J159" s="64"/>
      <c r="K159" s="64"/>
      <c r="L159" s="64"/>
      <c r="M159" s="64"/>
      <c r="N159" s="64"/>
      <c r="O159" s="64"/>
      <c r="P159" s="64"/>
      <c r="Q159" s="64"/>
      <c r="R159" s="64"/>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row>
    <row r="160" ht="15.75" customHeight="1">
      <c r="A160" s="30"/>
      <c r="B160" s="30"/>
      <c r="D160" s="66"/>
      <c r="E160" s="66"/>
      <c r="H160" s="64"/>
      <c r="I160" s="64"/>
      <c r="J160" s="64"/>
      <c r="K160" s="64"/>
      <c r="L160" s="64"/>
      <c r="M160" s="64"/>
      <c r="N160" s="64"/>
      <c r="O160" s="64"/>
      <c r="P160" s="64"/>
      <c r="Q160" s="64"/>
      <c r="R160" s="64"/>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row>
    <row r="161" ht="15.75" customHeight="1">
      <c r="A161" s="30"/>
      <c r="B161" s="30"/>
      <c r="D161" s="66"/>
      <c r="E161" s="66"/>
      <c r="H161" s="64"/>
      <c r="I161" s="64"/>
      <c r="J161" s="64"/>
      <c r="K161" s="64"/>
      <c r="L161" s="64"/>
      <c r="M161" s="64"/>
      <c r="N161" s="64"/>
      <c r="O161" s="64"/>
      <c r="P161" s="64"/>
      <c r="Q161" s="64"/>
      <c r="R161" s="64"/>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row>
    <row r="162" ht="15.75" customHeight="1">
      <c r="A162" s="30"/>
      <c r="B162" s="30"/>
      <c r="D162" s="66"/>
      <c r="E162" s="66"/>
      <c r="H162" s="64"/>
      <c r="I162" s="64"/>
      <c r="J162" s="64"/>
      <c r="K162" s="64"/>
      <c r="L162" s="64"/>
      <c r="M162" s="64"/>
      <c r="N162" s="64"/>
      <c r="O162" s="64"/>
      <c r="P162" s="64"/>
      <c r="Q162" s="64"/>
      <c r="R162" s="64"/>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row>
    <row r="163" ht="15.75" customHeight="1">
      <c r="A163" s="30"/>
      <c r="B163" s="30"/>
      <c r="D163" s="66"/>
      <c r="E163" s="66"/>
      <c r="H163" s="64"/>
      <c r="I163" s="64"/>
      <c r="J163" s="64"/>
      <c r="K163" s="64"/>
      <c r="L163" s="64"/>
      <c r="M163" s="64"/>
      <c r="N163" s="64"/>
      <c r="O163" s="64"/>
      <c r="P163" s="64"/>
      <c r="Q163" s="64"/>
      <c r="R163" s="64"/>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row>
    <row r="164" ht="15.75" customHeight="1">
      <c r="A164" s="30"/>
      <c r="B164" s="30"/>
      <c r="D164" s="66"/>
      <c r="E164" s="66"/>
      <c r="H164" s="64"/>
      <c r="I164" s="64"/>
      <c r="J164" s="64"/>
      <c r="K164" s="64"/>
      <c r="L164" s="64"/>
      <c r="M164" s="64"/>
      <c r="N164" s="64"/>
      <c r="O164" s="64"/>
      <c r="P164" s="64"/>
      <c r="Q164" s="64"/>
      <c r="R164" s="64"/>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row>
    <row r="165" ht="15.75" customHeight="1">
      <c r="A165" s="30"/>
      <c r="B165" s="30"/>
      <c r="D165" s="66"/>
      <c r="E165" s="66"/>
      <c r="H165" s="64"/>
      <c r="I165" s="64"/>
      <c r="J165" s="64"/>
      <c r="K165" s="64"/>
      <c r="L165" s="64"/>
      <c r="M165" s="64"/>
      <c r="N165" s="64"/>
      <c r="O165" s="64"/>
      <c r="P165" s="64"/>
      <c r="Q165" s="64"/>
      <c r="R165" s="64"/>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row>
    <row r="166" ht="15.75" customHeight="1">
      <c r="A166" s="30"/>
      <c r="B166" s="30"/>
      <c r="D166" s="66"/>
      <c r="E166" s="66"/>
      <c r="H166" s="64"/>
      <c r="I166" s="64"/>
      <c r="J166" s="64"/>
      <c r="K166" s="64"/>
      <c r="L166" s="64"/>
      <c r="M166" s="64"/>
      <c r="N166" s="64"/>
      <c r="O166" s="64"/>
      <c r="P166" s="64"/>
      <c r="Q166" s="64"/>
      <c r="R166" s="64"/>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row>
    <row r="167" ht="15.75" customHeight="1">
      <c r="A167" s="30"/>
      <c r="B167" s="30"/>
      <c r="D167" s="66"/>
      <c r="E167" s="66"/>
      <c r="H167" s="64"/>
      <c r="I167" s="64"/>
      <c r="J167" s="64"/>
      <c r="K167" s="64"/>
      <c r="L167" s="64"/>
      <c r="M167" s="64"/>
      <c r="N167" s="64"/>
      <c r="O167" s="64"/>
      <c r="P167" s="64"/>
      <c r="Q167" s="64"/>
      <c r="R167" s="64"/>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row>
    <row r="168" ht="15.75" customHeight="1">
      <c r="A168" s="30"/>
      <c r="B168" s="30"/>
      <c r="D168" s="66"/>
      <c r="E168" s="66"/>
      <c r="H168" s="64"/>
      <c r="I168" s="64"/>
      <c r="J168" s="64"/>
      <c r="K168" s="64"/>
      <c r="L168" s="64"/>
      <c r="M168" s="64"/>
      <c r="N168" s="64"/>
      <c r="O168" s="64"/>
      <c r="P168" s="64"/>
      <c r="Q168" s="64"/>
      <c r="R168" s="64"/>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row>
    <row r="169" ht="15.75" customHeight="1">
      <c r="A169" s="30"/>
      <c r="B169" s="30"/>
      <c r="D169" s="66"/>
      <c r="E169" s="66"/>
      <c r="H169" s="64"/>
      <c r="I169" s="64"/>
      <c r="J169" s="64"/>
      <c r="K169" s="64"/>
      <c r="L169" s="64"/>
      <c r="M169" s="64"/>
      <c r="N169" s="64"/>
      <c r="O169" s="64"/>
      <c r="P169" s="64"/>
      <c r="Q169" s="64"/>
      <c r="R169" s="64"/>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row>
    <row r="170" ht="15.75" customHeight="1">
      <c r="A170" s="30"/>
      <c r="B170" s="30"/>
      <c r="D170" s="66"/>
      <c r="E170" s="66"/>
      <c r="H170" s="64"/>
      <c r="I170" s="64"/>
      <c r="J170" s="64"/>
      <c r="K170" s="64"/>
      <c r="L170" s="64"/>
      <c r="M170" s="64"/>
      <c r="N170" s="64"/>
      <c r="O170" s="64"/>
      <c r="P170" s="64"/>
      <c r="Q170" s="64"/>
      <c r="R170" s="64"/>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row>
    <row r="171" ht="15.75" customHeight="1">
      <c r="A171" s="30"/>
      <c r="B171" s="30"/>
      <c r="D171" s="66"/>
      <c r="E171" s="66"/>
      <c r="H171" s="64"/>
      <c r="I171" s="64"/>
      <c r="J171" s="64"/>
      <c r="K171" s="64"/>
      <c r="L171" s="64"/>
      <c r="M171" s="64"/>
      <c r="N171" s="64"/>
      <c r="O171" s="64"/>
      <c r="P171" s="64"/>
      <c r="Q171" s="64"/>
      <c r="R171" s="64"/>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row>
    <row r="172" ht="15.75" customHeight="1">
      <c r="A172" s="30"/>
      <c r="B172" s="30"/>
      <c r="D172" s="66"/>
      <c r="E172" s="66"/>
      <c r="H172" s="64"/>
      <c r="I172" s="64"/>
      <c r="J172" s="64"/>
      <c r="K172" s="64"/>
      <c r="L172" s="64"/>
      <c r="M172" s="64"/>
      <c r="N172" s="64"/>
      <c r="O172" s="64"/>
      <c r="P172" s="64"/>
      <c r="Q172" s="64"/>
      <c r="R172" s="64"/>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row>
    <row r="173" ht="15.75" customHeight="1">
      <c r="A173" s="30"/>
      <c r="B173" s="30"/>
      <c r="D173" s="66"/>
      <c r="E173" s="66"/>
      <c r="H173" s="64"/>
      <c r="I173" s="64"/>
      <c r="J173" s="64"/>
      <c r="K173" s="64"/>
      <c r="L173" s="64"/>
      <c r="M173" s="64"/>
      <c r="N173" s="64"/>
      <c r="O173" s="64"/>
      <c r="P173" s="64"/>
      <c r="Q173" s="64"/>
      <c r="R173" s="64"/>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row>
    <row r="174" ht="15.75" customHeight="1">
      <c r="A174" s="30"/>
      <c r="B174" s="30"/>
      <c r="D174" s="66"/>
      <c r="E174" s="66"/>
      <c r="H174" s="64"/>
      <c r="I174" s="64"/>
      <c r="J174" s="64"/>
      <c r="K174" s="64"/>
      <c r="L174" s="64"/>
      <c r="M174" s="64"/>
      <c r="N174" s="64"/>
      <c r="O174" s="64"/>
      <c r="P174" s="64"/>
      <c r="Q174" s="64"/>
      <c r="R174" s="64"/>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row>
    <row r="175" ht="15.75" customHeight="1">
      <c r="A175" s="30"/>
      <c r="B175" s="30"/>
      <c r="D175" s="66"/>
      <c r="E175" s="66"/>
      <c r="H175" s="64"/>
      <c r="I175" s="64"/>
      <c r="J175" s="64"/>
      <c r="K175" s="64"/>
      <c r="L175" s="64"/>
      <c r="M175" s="64"/>
      <c r="N175" s="64"/>
      <c r="O175" s="64"/>
      <c r="P175" s="64"/>
      <c r="Q175" s="64"/>
      <c r="R175" s="64"/>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row>
    <row r="176" ht="15.75" customHeight="1">
      <c r="A176" s="30"/>
      <c r="B176" s="30"/>
      <c r="D176" s="66"/>
      <c r="E176" s="66"/>
      <c r="H176" s="64"/>
      <c r="I176" s="64"/>
      <c r="J176" s="64"/>
      <c r="K176" s="64"/>
      <c r="L176" s="64"/>
      <c r="M176" s="64"/>
      <c r="N176" s="64"/>
      <c r="O176" s="64"/>
      <c r="P176" s="64"/>
      <c r="Q176" s="64"/>
      <c r="R176" s="64"/>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row>
    <row r="177" ht="15.75" customHeight="1">
      <c r="A177" s="30"/>
      <c r="B177" s="30"/>
      <c r="D177" s="66"/>
      <c r="E177" s="66"/>
      <c r="H177" s="64"/>
      <c r="I177" s="64"/>
      <c r="J177" s="64"/>
      <c r="K177" s="64"/>
      <c r="L177" s="64"/>
      <c r="M177" s="64"/>
      <c r="N177" s="64"/>
      <c r="O177" s="64"/>
      <c r="P177" s="64"/>
      <c r="Q177" s="64"/>
      <c r="R177" s="64"/>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row>
    <row r="178" ht="15.75" customHeight="1">
      <c r="A178" s="30"/>
      <c r="B178" s="30"/>
      <c r="D178" s="66"/>
      <c r="E178" s="66"/>
      <c r="H178" s="64"/>
      <c r="I178" s="64"/>
      <c r="J178" s="64"/>
      <c r="K178" s="64"/>
      <c r="L178" s="64"/>
      <c r="M178" s="64"/>
      <c r="N178" s="64"/>
      <c r="O178" s="64"/>
      <c r="P178" s="64"/>
      <c r="Q178" s="64"/>
      <c r="R178" s="64"/>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row>
    <row r="179" ht="15.75" customHeight="1">
      <c r="A179" s="30"/>
      <c r="B179" s="30"/>
      <c r="D179" s="66"/>
      <c r="E179" s="66"/>
      <c r="H179" s="64"/>
      <c r="I179" s="64"/>
      <c r="J179" s="64"/>
      <c r="K179" s="64"/>
      <c r="L179" s="64"/>
      <c r="M179" s="64"/>
      <c r="N179" s="64"/>
      <c r="O179" s="64"/>
      <c r="P179" s="64"/>
      <c r="Q179" s="64"/>
      <c r="R179" s="64"/>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row>
    <row r="180" ht="15.75" customHeight="1">
      <c r="A180" s="30"/>
      <c r="B180" s="30"/>
      <c r="D180" s="66"/>
      <c r="E180" s="66"/>
      <c r="H180" s="64"/>
      <c r="I180" s="64"/>
      <c r="J180" s="64"/>
      <c r="K180" s="64"/>
      <c r="L180" s="64"/>
      <c r="M180" s="64"/>
      <c r="N180" s="64"/>
      <c r="O180" s="64"/>
      <c r="P180" s="64"/>
      <c r="Q180" s="64"/>
      <c r="R180" s="64"/>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row>
    <row r="181" ht="15.75" customHeight="1">
      <c r="A181" s="30"/>
      <c r="B181" s="30"/>
      <c r="D181" s="66"/>
      <c r="E181" s="66"/>
      <c r="H181" s="64"/>
      <c r="I181" s="64"/>
      <c r="J181" s="64"/>
      <c r="K181" s="64"/>
      <c r="L181" s="64"/>
      <c r="M181" s="64"/>
      <c r="N181" s="64"/>
      <c r="O181" s="64"/>
      <c r="P181" s="64"/>
      <c r="Q181" s="64"/>
      <c r="R181" s="64"/>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row>
    <row r="182" ht="15.75" customHeight="1">
      <c r="A182" s="30"/>
      <c r="B182" s="30"/>
      <c r="D182" s="66"/>
      <c r="E182" s="66"/>
      <c r="H182" s="64"/>
      <c r="I182" s="64"/>
      <c r="J182" s="64"/>
      <c r="K182" s="64"/>
      <c r="L182" s="64"/>
      <c r="M182" s="64"/>
      <c r="N182" s="64"/>
      <c r="O182" s="64"/>
      <c r="P182" s="64"/>
      <c r="Q182" s="64"/>
      <c r="R182" s="64"/>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row>
    <row r="183" ht="15.75" customHeight="1">
      <c r="A183" s="30"/>
      <c r="B183" s="30"/>
      <c r="D183" s="66"/>
      <c r="E183" s="66"/>
      <c r="H183" s="64"/>
      <c r="I183" s="64"/>
      <c r="J183" s="64"/>
      <c r="K183" s="64"/>
      <c r="L183" s="64"/>
      <c r="M183" s="64"/>
      <c r="N183" s="64"/>
      <c r="O183" s="64"/>
      <c r="P183" s="64"/>
      <c r="Q183" s="64"/>
      <c r="R183" s="64"/>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row>
    <row r="184" ht="15.75" customHeight="1">
      <c r="A184" s="30"/>
      <c r="B184" s="30"/>
      <c r="D184" s="66"/>
      <c r="E184" s="66"/>
      <c r="H184" s="64"/>
      <c r="I184" s="64"/>
      <c r="J184" s="64"/>
      <c r="K184" s="64"/>
      <c r="L184" s="64"/>
      <c r="M184" s="64"/>
      <c r="N184" s="64"/>
      <c r="O184" s="64"/>
      <c r="P184" s="64"/>
      <c r="Q184" s="64"/>
      <c r="R184" s="64"/>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row>
    <row r="185" ht="15.75" customHeight="1">
      <c r="A185" s="30"/>
      <c r="B185" s="30"/>
      <c r="D185" s="66"/>
      <c r="E185" s="66"/>
      <c r="H185" s="64"/>
      <c r="I185" s="64"/>
      <c r="J185" s="64"/>
      <c r="K185" s="64"/>
      <c r="L185" s="64"/>
      <c r="M185" s="64"/>
      <c r="N185" s="64"/>
      <c r="O185" s="64"/>
      <c r="P185" s="64"/>
      <c r="Q185" s="64"/>
      <c r="R185" s="64"/>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row>
    <row r="186" ht="15.75" customHeight="1">
      <c r="A186" s="30"/>
      <c r="B186" s="30"/>
      <c r="D186" s="66"/>
      <c r="E186" s="66"/>
      <c r="H186" s="64"/>
      <c r="I186" s="64"/>
      <c r="J186" s="64"/>
      <c r="K186" s="64"/>
      <c r="L186" s="64"/>
      <c r="M186" s="64"/>
      <c r="N186" s="64"/>
      <c r="O186" s="64"/>
      <c r="P186" s="64"/>
      <c r="Q186" s="64"/>
      <c r="R186" s="64"/>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row>
    <row r="187" ht="15.75" customHeight="1">
      <c r="A187" s="30"/>
      <c r="B187" s="30"/>
      <c r="D187" s="66"/>
      <c r="E187" s="66"/>
      <c r="H187" s="64"/>
      <c r="I187" s="64"/>
      <c r="J187" s="64"/>
      <c r="K187" s="64"/>
      <c r="L187" s="64"/>
      <c r="M187" s="64"/>
      <c r="N187" s="64"/>
      <c r="O187" s="64"/>
      <c r="P187" s="64"/>
      <c r="Q187" s="64"/>
      <c r="R187" s="64"/>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row>
    <row r="188" ht="15.75" customHeight="1">
      <c r="A188" s="30"/>
      <c r="B188" s="30"/>
      <c r="D188" s="66"/>
      <c r="E188" s="66"/>
      <c r="H188" s="64"/>
      <c r="I188" s="64"/>
      <c r="J188" s="64"/>
      <c r="K188" s="64"/>
      <c r="L188" s="64"/>
      <c r="M188" s="64"/>
      <c r="N188" s="64"/>
      <c r="O188" s="64"/>
      <c r="P188" s="64"/>
      <c r="Q188" s="64"/>
      <c r="R188" s="64"/>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row>
    <row r="189" ht="15.75" customHeight="1">
      <c r="A189" s="30"/>
      <c r="B189" s="30"/>
      <c r="D189" s="66"/>
      <c r="E189" s="66"/>
      <c r="H189" s="64"/>
      <c r="I189" s="64"/>
      <c r="J189" s="64"/>
      <c r="K189" s="64"/>
      <c r="L189" s="64"/>
      <c r="M189" s="64"/>
      <c r="N189" s="64"/>
      <c r="O189" s="64"/>
      <c r="P189" s="64"/>
      <c r="Q189" s="64"/>
      <c r="R189" s="64"/>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row>
    <row r="190" ht="15.75" customHeight="1">
      <c r="A190" s="30"/>
      <c r="B190" s="30"/>
      <c r="D190" s="66"/>
      <c r="E190" s="66"/>
      <c r="H190" s="64"/>
      <c r="I190" s="64"/>
      <c r="J190" s="64"/>
      <c r="K190" s="64"/>
      <c r="L190" s="64"/>
      <c r="M190" s="64"/>
      <c r="N190" s="64"/>
      <c r="O190" s="64"/>
      <c r="P190" s="64"/>
      <c r="Q190" s="64"/>
      <c r="R190" s="64"/>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row>
    <row r="191" ht="15.75" customHeight="1">
      <c r="A191" s="30"/>
      <c r="B191" s="30"/>
      <c r="D191" s="66"/>
      <c r="E191" s="66"/>
      <c r="H191" s="64"/>
      <c r="I191" s="64"/>
      <c r="J191" s="64"/>
      <c r="K191" s="64"/>
      <c r="L191" s="64"/>
      <c r="M191" s="64"/>
      <c r="N191" s="64"/>
      <c r="O191" s="64"/>
      <c r="P191" s="64"/>
      <c r="Q191" s="64"/>
      <c r="R191" s="64"/>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row>
    <row r="192" ht="15.75" customHeight="1">
      <c r="A192" s="30"/>
      <c r="B192" s="30"/>
      <c r="D192" s="66"/>
      <c r="E192" s="66"/>
      <c r="H192" s="64"/>
      <c r="I192" s="64"/>
      <c r="J192" s="64"/>
      <c r="K192" s="64"/>
      <c r="L192" s="64"/>
      <c r="M192" s="64"/>
      <c r="N192" s="64"/>
      <c r="O192" s="64"/>
      <c r="P192" s="64"/>
      <c r="Q192" s="64"/>
      <c r="R192" s="64"/>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row>
    <row r="193" ht="15.75" customHeight="1">
      <c r="A193" s="30"/>
      <c r="B193" s="30"/>
      <c r="D193" s="66"/>
      <c r="E193" s="66"/>
      <c r="H193" s="64"/>
      <c r="I193" s="64"/>
      <c r="J193" s="64"/>
      <c r="K193" s="64"/>
      <c r="L193" s="64"/>
      <c r="M193" s="64"/>
      <c r="N193" s="64"/>
      <c r="O193" s="64"/>
      <c r="P193" s="64"/>
      <c r="Q193" s="64"/>
      <c r="R193" s="64"/>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row>
    <row r="194" ht="15.75" customHeight="1">
      <c r="A194" s="30"/>
      <c r="B194" s="30"/>
      <c r="D194" s="66"/>
      <c r="E194" s="66"/>
      <c r="H194" s="64"/>
      <c r="I194" s="64"/>
      <c r="J194" s="64"/>
      <c r="K194" s="64"/>
      <c r="L194" s="64"/>
      <c r="M194" s="64"/>
      <c r="N194" s="64"/>
      <c r="O194" s="64"/>
      <c r="P194" s="64"/>
      <c r="Q194" s="64"/>
      <c r="R194" s="64"/>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row>
    <row r="195" ht="15.75" customHeight="1">
      <c r="A195" s="30"/>
      <c r="B195" s="30"/>
      <c r="D195" s="66"/>
      <c r="E195" s="66"/>
      <c r="H195" s="64"/>
      <c r="I195" s="64"/>
      <c r="J195" s="64"/>
      <c r="K195" s="64"/>
      <c r="L195" s="64"/>
      <c r="M195" s="64"/>
      <c r="N195" s="64"/>
      <c r="O195" s="64"/>
      <c r="P195" s="64"/>
      <c r="Q195" s="64"/>
      <c r="R195" s="64"/>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row>
    <row r="196" ht="15.75" customHeight="1">
      <c r="A196" s="30"/>
      <c r="B196" s="30"/>
      <c r="D196" s="66"/>
      <c r="E196" s="66"/>
      <c r="H196" s="64"/>
      <c r="I196" s="64"/>
      <c r="J196" s="64"/>
      <c r="K196" s="64"/>
      <c r="L196" s="64"/>
      <c r="M196" s="64"/>
      <c r="N196" s="64"/>
      <c r="O196" s="64"/>
      <c r="P196" s="64"/>
      <c r="Q196" s="64"/>
      <c r="R196" s="64"/>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row>
    <row r="197" ht="15.75" customHeight="1">
      <c r="A197" s="30"/>
      <c r="B197" s="30"/>
      <c r="D197" s="66"/>
      <c r="E197" s="66"/>
      <c r="H197" s="64"/>
      <c r="I197" s="64"/>
      <c r="J197" s="64"/>
      <c r="K197" s="64"/>
      <c r="L197" s="64"/>
      <c r="M197" s="64"/>
      <c r="N197" s="64"/>
      <c r="O197" s="64"/>
      <c r="P197" s="64"/>
      <c r="Q197" s="64"/>
      <c r="R197" s="64"/>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row>
    <row r="198" ht="15.75" customHeight="1">
      <c r="A198" s="30"/>
      <c r="B198" s="30"/>
      <c r="D198" s="66"/>
      <c r="E198" s="66"/>
      <c r="H198" s="64"/>
      <c r="I198" s="64"/>
      <c r="J198" s="64"/>
      <c r="K198" s="64"/>
      <c r="L198" s="64"/>
      <c r="M198" s="64"/>
      <c r="N198" s="64"/>
      <c r="O198" s="64"/>
      <c r="P198" s="64"/>
      <c r="Q198" s="64"/>
      <c r="R198" s="64"/>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row>
    <row r="199" ht="15.75" customHeight="1">
      <c r="A199" s="30"/>
      <c r="B199" s="30"/>
      <c r="D199" s="66"/>
      <c r="E199" s="66"/>
      <c r="H199" s="64"/>
      <c r="I199" s="64"/>
      <c r="J199" s="64"/>
      <c r="K199" s="64"/>
      <c r="L199" s="64"/>
      <c r="M199" s="64"/>
      <c r="N199" s="64"/>
      <c r="O199" s="64"/>
      <c r="P199" s="64"/>
      <c r="Q199" s="64"/>
      <c r="R199" s="64"/>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row>
    <row r="200" ht="15.75" customHeight="1">
      <c r="A200" s="30"/>
      <c r="B200" s="30"/>
      <c r="D200" s="66"/>
      <c r="E200" s="66"/>
      <c r="H200" s="64"/>
      <c r="I200" s="64"/>
      <c r="J200" s="64"/>
      <c r="K200" s="64"/>
      <c r="L200" s="64"/>
      <c r="M200" s="64"/>
      <c r="N200" s="64"/>
      <c r="O200" s="64"/>
      <c r="P200" s="64"/>
      <c r="Q200" s="64"/>
      <c r="R200" s="64"/>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row>
    <row r="201" ht="15.75" customHeight="1">
      <c r="A201" s="30"/>
      <c r="B201" s="30"/>
      <c r="D201" s="66"/>
      <c r="E201" s="66"/>
      <c r="H201" s="64"/>
      <c r="I201" s="64"/>
      <c r="J201" s="64"/>
      <c r="K201" s="64"/>
      <c r="L201" s="64"/>
      <c r="M201" s="64"/>
      <c r="N201" s="64"/>
      <c r="O201" s="64"/>
      <c r="P201" s="64"/>
      <c r="Q201" s="64"/>
      <c r="R201" s="64"/>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row>
    <row r="202" ht="15.75" customHeight="1">
      <c r="A202" s="30"/>
      <c r="B202" s="30"/>
      <c r="D202" s="66"/>
      <c r="E202" s="66"/>
      <c r="H202" s="64"/>
      <c r="I202" s="64"/>
      <c r="J202" s="64"/>
      <c r="K202" s="64"/>
      <c r="L202" s="64"/>
      <c r="M202" s="64"/>
      <c r="N202" s="64"/>
      <c r="O202" s="64"/>
      <c r="P202" s="64"/>
      <c r="Q202" s="64"/>
      <c r="R202" s="64"/>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row>
    <row r="203" ht="15.75" customHeight="1">
      <c r="A203" s="30"/>
      <c r="B203" s="30"/>
      <c r="D203" s="66"/>
      <c r="E203" s="66"/>
      <c r="H203" s="64"/>
      <c r="I203" s="64"/>
      <c r="J203" s="64"/>
      <c r="K203" s="64"/>
      <c r="L203" s="64"/>
      <c r="M203" s="64"/>
      <c r="N203" s="64"/>
      <c r="O203" s="64"/>
      <c r="P203" s="64"/>
      <c r="Q203" s="64"/>
      <c r="R203" s="64"/>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row>
    <row r="204" ht="15.75" customHeight="1">
      <c r="A204" s="30"/>
      <c r="B204" s="30"/>
      <c r="D204" s="66"/>
      <c r="E204" s="66"/>
      <c r="H204" s="64"/>
      <c r="I204" s="64"/>
      <c r="J204" s="64"/>
      <c r="K204" s="64"/>
      <c r="L204" s="64"/>
      <c r="M204" s="64"/>
      <c r="N204" s="64"/>
      <c r="O204" s="64"/>
      <c r="P204" s="64"/>
      <c r="Q204" s="64"/>
      <c r="R204" s="64"/>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row>
    <row r="205" ht="15.75" customHeight="1">
      <c r="A205" s="30"/>
      <c r="B205" s="30"/>
      <c r="D205" s="66"/>
      <c r="E205" s="66"/>
      <c r="H205" s="64"/>
      <c r="I205" s="64"/>
      <c r="J205" s="64"/>
      <c r="K205" s="64"/>
      <c r="L205" s="64"/>
      <c r="M205" s="64"/>
      <c r="N205" s="64"/>
      <c r="O205" s="64"/>
      <c r="P205" s="64"/>
      <c r="Q205" s="64"/>
      <c r="R205" s="64"/>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row>
    <row r="206" ht="15.75" customHeight="1">
      <c r="A206" s="30"/>
      <c r="B206" s="30"/>
      <c r="D206" s="66"/>
      <c r="E206" s="66"/>
      <c r="H206" s="64"/>
      <c r="I206" s="64"/>
      <c r="J206" s="64"/>
      <c r="K206" s="64"/>
      <c r="L206" s="64"/>
      <c r="M206" s="64"/>
      <c r="N206" s="64"/>
      <c r="O206" s="64"/>
      <c r="P206" s="64"/>
      <c r="Q206" s="64"/>
      <c r="R206" s="64"/>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row>
    <row r="207" ht="15.75" customHeight="1">
      <c r="A207" s="30"/>
      <c r="B207" s="30"/>
      <c r="D207" s="66"/>
      <c r="E207" s="66"/>
      <c r="H207" s="64"/>
      <c r="I207" s="64"/>
      <c r="J207" s="64"/>
      <c r="K207" s="64"/>
      <c r="L207" s="64"/>
      <c r="M207" s="64"/>
      <c r="N207" s="64"/>
      <c r="O207" s="64"/>
      <c r="P207" s="64"/>
      <c r="Q207" s="64"/>
      <c r="R207" s="64"/>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row>
    <row r="208" ht="15.75" customHeight="1">
      <c r="A208" s="30"/>
      <c r="B208" s="30"/>
      <c r="D208" s="66"/>
      <c r="E208" s="66"/>
      <c r="H208" s="64"/>
      <c r="I208" s="64"/>
      <c r="J208" s="64"/>
      <c r="K208" s="64"/>
      <c r="L208" s="64"/>
      <c r="M208" s="64"/>
      <c r="N208" s="64"/>
      <c r="O208" s="64"/>
      <c r="P208" s="64"/>
      <c r="Q208" s="64"/>
      <c r="R208" s="64"/>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row>
    <row r="209" ht="15.75" customHeight="1">
      <c r="A209" s="30"/>
      <c r="B209" s="30"/>
      <c r="D209" s="66"/>
      <c r="E209" s="66"/>
      <c r="H209" s="64"/>
      <c r="I209" s="64"/>
      <c r="J209" s="64"/>
      <c r="K209" s="64"/>
      <c r="L209" s="64"/>
      <c r="M209" s="64"/>
      <c r="N209" s="64"/>
      <c r="O209" s="64"/>
      <c r="P209" s="64"/>
      <c r="Q209" s="64"/>
      <c r="R209" s="64"/>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row>
    <row r="210" ht="15.75" customHeight="1">
      <c r="A210" s="30"/>
      <c r="B210" s="30"/>
      <c r="D210" s="66"/>
      <c r="E210" s="66"/>
      <c r="H210" s="64"/>
      <c r="I210" s="64"/>
      <c r="J210" s="64"/>
      <c r="K210" s="64"/>
      <c r="L210" s="64"/>
      <c r="M210" s="64"/>
      <c r="N210" s="64"/>
      <c r="O210" s="64"/>
      <c r="P210" s="64"/>
      <c r="Q210" s="64"/>
      <c r="R210" s="64"/>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row>
    <row r="211" ht="15.75" customHeight="1">
      <c r="A211" s="30"/>
      <c r="B211" s="30"/>
      <c r="D211" s="66"/>
      <c r="E211" s="66"/>
      <c r="H211" s="64"/>
      <c r="I211" s="64"/>
      <c r="J211" s="64"/>
      <c r="K211" s="64"/>
      <c r="L211" s="64"/>
      <c r="M211" s="64"/>
      <c r="N211" s="64"/>
      <c r="O211" s="64"/>
      <c r="P211" s="64"/>
      <c r="Q211" s="64"/>
      <c r="R211" s="64"/>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row>
    <row r="212" ht="15.75" customHeight="1">
      <c r="A212" s="30"/>
      <c r="B212" s="30"/>
      <c r="D212" s="66"/>
      <c r="E212" s="66"/>
      <c r="H212" s="64"/>
      <c r="I212" s="64"/>
      <c r="J212" s="64"/>
      <c r="K212" s="64"/>
      <c r="L212" s="64"/>
      <c r="M212" s="64"/>
      <c r="N212" s="64"/>
      <c r="O212" s="64"/>
      <c r="P212" s="64"/>
      <c r="Q212" s="64"/>
      <c r="R212" s="64"/>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row>
    <row r="213" ht="15.75" customHeight="1">
      <c r="A213" s="30"/>
      <c r="B213" s="30"/>
      <c r="D213" s="66"/>
      <c r="E213" s="66"/>
      <c r="H213" s="64"/>
      <c r="I213" s="64"/>
      <c r="J213" s="64"/>
      <c r="K213" s="64"/>
      <c r="L213" s="64"/>
      <c r="M213" s="64"/>
      <c r="N213" s="64"/>
      <c r="O213" s="64"/>
      <c r="P213" s="64"/>
      <c r="Q213" s="64"/>
      <c r="R213" s="64"/>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row>
    <row r="214" ht="15.75" customHeight="1">
      <c r="A214" s="30"/>
      <c r="B214" s="30"/>
      <c r="D214" s="66"/>
      <c r="E214" s="66"/>
      <c r="H214" s="64"/>
      <c r="I214" s="64"/>
      <c r="J214" s="64"/>
      <c r="K214" s="64"/>
      <c r="L214" s="64"/>
      <c r="M214" s="64"/>
      <c r="N214" s="64"/>
      <c r="O214" s="64"/>
      <c r="P214" s="64"/>
      <c r="Q214" s="64"/>
      <c r="R214" s="64"/>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row>
    <row r="215" ht="15.75" customHeight="1">
      <c r="A215" s="30"/>
      <c r="B215" s="30"/>
      <c r="D215" s="66"/>
      <c r="E215" s="66"/>
      <c r="H215" s="64"/>
      <c r="I215" s="64"/>
      <c r="J215" s="64"/>
      <c r="K215" s="64"/>
      <c r="L215" s="64"/>
      <c r="M215" s="64"/>
      <c r="N215" s="64"/>
      <c r="O215" s="64"/>
      <c r="P215" s="64"/>
      <c r="Q215" s="64"/>
      <c r="R215" s="64"/>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row>
    <row r="216" ht="15.75" customHeight="1">
      <c r="A216" s="30"/>
      <c r="B216" s="30"/>
      <c r="D216" s="66"/>
      <c r="E216" s="66"/>
      <c r="H216" s="64"/>
      <c r="I216" s="64"/>
      <c r="J216" s="64"/>
      <c r="K216" s="64"/>
      <c r="L216" s="64"/>
      <c r="M216" s="64"/>
      <c r="N216" s="64"/>
      <c r="O216" s="64"/>
      <c r="P216" s="64"/>
      <c r="Q216" s="64"/>
      <c r="R216" s="64"/>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row>
    <row r="217" ht="15.75" customHeight="1">
      <c r="A217" s="30"/>
      <c r="B217" s="30"/>
      <c r="D217" s="66"/>
      <c r="E217" s="66"/>
      <c r="H217" s="64"/>
      <c r="I217" s="64"/>
      <c r="J217" s="64"/>
      <c r="K217" s="64"/>
      <c r="L217" s="64"/>
      <c r="M217" s="64"/>
      <c r="N217" s="64"/>
      <c r="O217" s="64"/>
      <c r="P217" s="64"/>
      <c r="Q217" s="64"/>
      <c r="R217" s="64"/>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row>
    <row r="218" ht="15.75" customHeight="1">
      <c r="A218" s="30"/>
      <c r="B218" s="30"/>
      <c r="D218" s="66"/>
      <c r="E218" s="66"/>
      <c r="H218" s="64"/>
      <c r="I218" s="64"/>
      <c r="J218" s="64"/>
      <c r="K218" s="64"/>
      <c r="L218" s="64"/>
      <c r="M218" s="64"/>
      <c r="N218" s="64"/>
      <c r="O218" s="64"/>
      <c r="P218" s="64"/>
      <c r="Q218" s="64"/>
      <c r="R218" s="64"/>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row>
    <row r="219" ht="15.75" customHeight="1">
      <c r="A219" s="30"/>
      <c r="B219" s="30"/>
      <c r="D219" s="66"/>
      <c r="E219" s="66"/>
      <c r="H219" s="64"/>
      <c r="I219" s="64"/>
      <c r="J219" s="64"/>
      <c r="K219" s="64"/>
      <c r="L219" s="64"/>
      <c r="M219" s="64"/>
      <c r="N219" s="64"/>
      <c r="O219" s="64"/>
      <c r="P219" s="64"/>
      <c r="Q219" s="64"/>
      <c r="R219" s="64"/>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row>
    <row r="220" ht="15.75" customHeight="1">
      <c r="A220" s="30"/>
      <c r="B220" s="30"/>
      <c r="D220" s="66"/>
      <c r="E220" s="66"/>
      <c r="H220" s="64"/>
      <c r="I220" s="64"/>
      <c r="J220" s="64"/>
      <c r="K220" s="64"/>
      <c r="L220" s="64"/>
      <c r="M220" s="64"/>
      <c r="N220" s="64"/>
      <c r="O220" s="64"/>
      <c r="P220" s="64"/>
      <c r="Q220" s="64"/>
      <c r="R220" s="64"/>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row>
    <row r="221" ht="15.75" customHeight="1">
      <c r="A221" s="30"/>
      <c r="B221" s="30"/>
      <c r="D221" s="66"/>
      <c r="E221" s="66"/>
      <c r="H221" s="64"/>
      <c r="I221" s="64"/>
      <c r="J221" s="64"/>
      <c r="K221" s="64"/>
      <c r="L221" s="64"/>
      <c r="M221" s="64"/>
      <c r="N221" s="64"/>
      <c r="O221" s="64"/>
      <c r="P221" s="64"/>
      <c r="Q221" s="64"/>
      <c r="R221" s="64"/>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row>
    <row r="222" ht="15.75" customHeight="1">
      <c r="A222" s="30"/>
      <c r="B222" s="30"/>
      <c r="D222" s="66"/>
      <c r="E222" s="66"/>
      <c r="H222" s="64"/>
      <c r="I222" s="64"/>
      <c r="J222" s="64"/>
      <c r="K222" s="64"/>
      <c r="L222" s="64"/>
      <c r="M222" s="64"/>
      <c r="N222" s="64"/>
      <c r="O222" s="64"/>
      <c r="P222" s="64"/>
      <c r="Q222" s="64"/>
      <c r="R222" s="64"/>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row>
    <row r="223" ht="15.75" customHeight="1">
      <c r="A223" s="30"/>
      <c r="B223" s="30"/>
      <c r="D223" s="66"/>
      <c r="E223" s="66"/>
      <c r="H223" s="64"/>
      <c r="I223" s="64"/>
      <c r="J223" s="64"/>
      <c r="K223" s="64"/>
      <c r="L223" s="64"/>
      <c r="M223" s="64"/>
      <c r="N223" s="64"/>
      <c r="O223" s="64"/>
      <c r="P223" s="64"/>
      <c r="Q223" s="64"/>
      <c r="R223" s="64"/>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row>
    <row r="224" ht="15.75" customHeight="1">
      <c r="A224" s="30"/>
      <c r="B224" s="30"/>
      <c r="D224" s="66"/>
      <c r="E224" s="66"/>
      <c r="H224" s="64"/>
      <c r="I224" s="64"/>
      <c r="J224" s="64"/>
      <c r="K224" s="64"/>
      <c r="L224" s="64"/>
      <c r="M224" s="64"/>
      <c r="N224" s="64"/>
      <c r="O224" s="64"/>
      <c r="P224" s="64"/>
      <c r="Q224" s="64"/>
      <c r="R224" s="64"/>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row>
    <row r="225" ht="15.75" customHeight="1">
      <c r="A225" s="30"/>
      <c r="B225" s="30"/>
      <c r="D225" s="66"/>
      <c r="E225" s="66"/>
      <c r="H225" s="64"/>
      <c r="I225" s="64"/>
      <c r="J225" s="64"/>
      <c r="K225" s="64"/>
      <c r="L225" s="64"/>
      <c r="M225" s="64"/>
      <c r="N225" s="64"/>
      <c r="O225" s="64"/>
      <c r="P225" s="64"/>
      <c r="Q225" s="64"/>
      <c r="R225" s="64"/>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row>
    <row r="226" ht="15.75" customHeight="1">
      <c r="A226" s="30"/>
      <c r="B226" s="30"/>
      <c r="D226" s="66"/>
      <c r="E226" s="66"/>
      <c r="H226" s="64"/>
      <c r="I226" s="64"/>
      <c r="J226" s="64"/>
      <c r="K226" s="64"/>
      <c r="L226" s="64"/>
      <c r="M226" s="64"/>
      <c r="N226" s="64"/>
      <c r="O226" s="64"/>
      <c r="P226" s="64"/>
      <c r="Q226" s="64"/>
      <c r="R226" s="64"/>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row>
    <row r="227" ht="15.75" customHeight="1">
      <c r="A227" s="30"/>
      <c r="B227" s="30"/>
      <c r="D227" s="66"/>
      <c r="E227" s="66"/>
      <c r="H227" s="64"/>
      <c r="I227" s="64"/>
      <c r="J227" s="64"/>
      <c r="K227" s="64"/>
      <c r="L227" s="64"/>
      <c r="M227" s="64"/>
      <c r="N227" s="64"/>
      <c r="O227" s="64"/>
      <c r="P227" s="64"/>
      <c r="Q227" s="64"/>
      <c r="R227" s="64"/>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row>
    <row r="228" ht="15.75" customHeight="1">
      <c r="A228" s="30"/>
      <c r="B228" s="30"/>
      <c r="D228" s="66"/>
      <c r="E228" s="66"/>
      <c r="H228" s="64"/>
      <c r="I228" s="64"/>
      <c r="J228" s="64"/>
      <c r="K228" s="64"/>
      <c r="L228" s="64"/>
      <c r="M228" s="64"/>
      <c r="N228" s="64"/>
      <c r="O228" s="64"/>
      <c r="P228" s="64"/>
      <c r="Q228" s="64"/>
      <c r="R228" s="64"/>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6:E26"/>
  </mergeCells>
  <conditionalFormatting sqref="D6:D25">
    <cfRule type="containsText" dxfId="1" priority="1" operator="containsText" text="Totalmente">
      <formula>NOT(ISERROR(SEARCH(("Totalmente"),(D6))))</formula>
    </cfRule>
  </conditionalFormatting>
  <conditionalFormatting sqref="D6:D25">
    <cfRule type="containsText" dxfId="2" priority="2" operator="containsText" text="Pouco">
      <formula>NOT(ISERROR(SEARCH(("Pouco"),(D6))))</formula>
    </cfRule>
  </conditionalFormatting>
  <conditionalFormatting sqref="D6:D25">
    <cfRule type="containsText" dxfId="3" priority="3" operator="containsText" text="Sem">
      <formula>NOT(ISERROR(SEARCH(("Sem"),(D6))))</formula>
    </cfRule>
  </conditionalFormatting>
  <conditionalFormatting sqref="D6:E25">
    <cfRule type="containsText" dxfId="0" priority="4" operator="containsText" text="Muito">
      <formula>NOT(ISERROR(SEARCH(("Muito"),(D6))))</formula>
    </cfRule>
  </conditionalFormatting>
  <conditionalFormatting sqref="E6:E25">
    <cfRule type="containsText" dxfId="1" priority="5" operator="containsText" text="Pra">
      <formula>NOT(ISERROR(SEARCH(("Pra"),(E6))))</formula>
    </cfRule>
  </conditionalFormatting>
  <conditionalFormatting sqref="E6:E25">
    <cfRule type="containsText" dxfId="2" priority="6" operator="containsText" text="Pouco">
      <formula>NOT(ISERROR(SEARCH(("Pouco"),(E6))))</formula>
    </cfRule>
  </conditionalFormatting>
  <conditionalFormatting sqref="E6:E25">
    <cfRule type="containsText" dxfId="3" priority="7" operator="containsText" text="Nada">
      <formula>NOT(ISERROR(SEARCH(("Nada"),(E6))))</formula>
    </cfRule>
  </conditionalFormatting>
  <conditionalFormatting sqref="F6:F25">
    <cfRule type="containsText" dxfId="1" priority="8" operator="containsText" text="Piora muito">
      <formula>NOT(ISERROR(SEARCH(("Piora muito"),(F6))))</formula>
    </cfRule>
  </conditionalFormatting>
  <conditionalFormatting sqref="F6:F25">
    <cfRule type="containsText" dxfId="0" priority="9" operator="containsText" text="Piora">
      <formula>NOT(ISERROR(SEARCH(("Piora"),(F6))))</formula>
    </cfRule>
  </conditionalFormatting>
  <conditionalFormatting sqref="F6:F25">
    <cfRule type="containsText" dxfId="3" priority="10" operator="containsText" text="Melhora muito">
      <formula>NOT(ISERROR(SEARCH(("Melhora muito"),(F6))))</formula>
    </cfRule>
  </conditionalFormatting>
  <conditionalFormatting sqref="F6:F25">
    <cfRule type="containsText" dxfId="2" priority="11" operator="containsText" text="Melhora">
      <formula>NOT(ISERROR(SEARCH(("Melhora"),(F6))))</formula>
    </cfRule>
  </conditionalFormatting>
  <conditionalFormatting sqref="G6:G25">
    <cfRule type="containsText" dxfId="0" priority="12" operator="containsText" text="POUCA IMPORTÂNCIA">
      <formula>NOT(ISERROR(SEARCH(("POUCA IMPORTÂNCIA"),(G6))))</formula>
    </cfRule>
  </conditionalFormatting>
  <conditionalFormatting sqref="G6:G25">
    <cfRule type="containsText" dxfId="1" priority="13" operator="containsText" text="TOTALMENTE SEM IMPORTÂNCIA">
      <formula>NOT(ISERROR(SEARCH(("TOTALMENTE SEM IMPORTÂNCIA"),(G6))))</formula>
    </cfRule>
  </conditionalFormatting>
  <conditionalFormatting sqref="G6:G25">
    <cfRule type="containsText" dxfId="2" priority="14" operator="containsText" text="MUITO IMPORTANTE">
      <formula>NOT(ISERROR(SEARCH(("MUITO IMPORTANTE"),(G6))))</formula>
    </cfRule>
  </conditionalFormatting>
  <conditionalFormatting sqref="G6:G25">
    <cfRule type="containsText" dxfId="3" priority="15" operator="containsText" text="TOTALMENTE IMPORTANTE">
      <formula>NOT(ISERROR(SEARCH(("TOTALMENTE IMPORTANTE"),(G6))))</formula>
    </cfRule>
  </conditionalFormatting>
  <dataValidations>
    <dataValidation type="list" allowBlank="1" showErrorMessage="1" sqref="D6:D25">
      <formula1>$I$8:$I$12</formula1>
    </dataValidation>
    <dataValidation type="list" allowBlank="1" showErrorMessage="1" sqref="F6:F25">
      <formula1>$I$24:$I$28</formula1>
    </dataValidation>
    <dataValidation type="list" allowBlank="1" showErrorMessage="1" sqref="E6:E25">
      <formula1>$I$16:$I$20</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4.29"/>
    <col customWidth="1" min="3" max="3" width="71.43"/>
    <col customWidth="1" min="4" max="4" width="11.43"/>
    <col customWidth="1" min="5" max="5" width="74.71"/>
    <col customWidth="1" min="6" max="6" width="14.71"/>
    <col customWidth="1" min="7" max="11" width="10.43"/>
    <col customWidth="1" min="12" max="12" width="20.43"/>
    <col customWidth="1" min="13" max="26" width="8.71"/>
    <col customWidth="1" min="27" max="28" width="9.29"/>
    <col customWidth="1" min="29" max="31" width="14.43"/>
  </cols>
  <sheetData>
    <row r="1" ht="33.75" customHeight="1">
      <c r="A1" s="99"/>
      <c r="B1" s="30"/>
      <c r="C1" s="100"/>
      <c r="D1" s="101"/>
      <c r="E1" s="32"/>
      <c r="F1" s="32"/>
      <c r="G1" s="33"/>
      <c r="H1" s="102"/>
      <c r="I1" s="102"/>
      <c r="J1" s="102"/>
      <c r="K1" s="102"/>
      <c r="L1" s="102"/>
      <c r="M1" s="33"/>
      <c r="N1" s="33"/>
      <c r="O1" s="33"/>
      <c r="P1" s="33"/>
      <c r="Q1" s="33"/>
      <c r="R1" s="35"/>
      <c r="S1" s="35"/>
      <c r="T1" s="35"/>
      <c r="U1" s="35"/>
      <c r="V1" s="30"/>
      <c r="W1" s="30"/>
      <c r="X1" s="30"/>
      <c r="Y1" s="30"/>
      <c r="Z1" s="30"/>
      <c r="AA1" s="30"/>
      <c r="AB1" s="30"/>
      <c r="AC1" s="30"/>
      <c r="AD1" s="30"/>
      <c r="AE1" s="30"/>
    </row>
    <row r="2" ht="37.5" customHeight="1">
      <c r="A2" s="103"/>
      <c r="B2" s="30"/>
      <c r="C2" s="103"/>
      <c r="D2" s="101"/>
      <c r="E2" s="32"/>
      <c r="F2" s="32"/>
      <c r="G2" s="33"/>
      <c r="H2" s="102"/>
      <c r="I2" s="102"/>
      <c r="J2" s="102"/>
      <c r="K2" s="102"/>
      <c r="L2" s="102"/>
      <c r="M2" s="33"/>
      <c r="N2" s="33"/>
      <c r="O2" s="33"/>
      <c r="P2" s="33"/>
      <c r="Q2" s="33"/>
      <c r="R2" s="35"/>
      <c r="S2" s="35"/>
      <c r="T2" s="35"/>
      <c r="U2" s="35"/>
      <c r="V2" s="30"/>
      <c r="W2" s="30"/>
      <c r="X2" s="30"/>
      <c r="Y2" s="30"/>
      <c r="Z2" s="30"/>
      <c r="AA2" s="30"/>
      <c r="AB2" s="30"/>
      <c r="AC2" s="30"/>
      <c r="AD2" s="30"/>
      <c r="AE2" s="30"/>
    </row>
    <row r="3" ht="41.25" customHeight="1">
      <c r="A3" s="103"/>
      <c r="B3" s="30"/>
      <c r="C3" s="30"/>
      <c r="D3" s="104"/>
      <c r="E3" s="30"/>
      <c r="F3" s="30"/>
      <c r="G3" s="35"/>
      <c r="H3" s="77"/>
      <c r="I3" s="77"/>
      <c r="J3" s="77"/>
      <c r="K3" s="77"/>
      <c r="L3" s="77"/>
      <c r="M3" s="35"/>
      <c r="N3" s="35"/>
      <c r="O3" s="35"/>
      <c r="P3" s="35"/>
      <c r="Q3" s="35"/>
      <c r="R3" s="35"/>
      <c r="S3" s="35"/>
      <c r="T3" s="35"/>
      <c r="U3" s="35"/>
      <c r="V3" s="30"/>
      <c r="W3" s="30"/>
      <c r="X3" s="30"/>
      <c r="Y3" s="30"/>
      <c r="Z3" s="30"/>
      <c r="AA3" s="30"/>
      <c r="AB3" s="30"/>
      <c r="AC3" s="30"/>
      <c r="AD3" s="30"/>
      <c r="AE3" s="30"/>
    </row>
    <row r="4" ht="30.0" customHeight="1">
      <c r="A4" s="103"/>
      <c r="B4" s="30"/>
      <c r="C4" s="105" t="s">
        <v>78</v>
      </c>
      <c r="G4" s="35"/>
      <c r="H4" s="77"/>
      <c r="I4" s="77"/>
      <c r="J4" s="77"/>
      <c r="K4" s="77"/>
      <c r="L4" s="77"/>
      <c r="M4" s="35"/>
      <c r="N4" s="35"/>
      <c r="O4" s="35"/>
      <c r="P4" s="35"/>
      <c r="Q4" s="35"/>
      <c r="R4" s="35"/>
      <c r="S4" s="35"/>
      <c r="T4" s="35"/>
      <c r="U4" s="35"/>
      <c r="V4" s="30"/>
      <c r="W4" s="30"/>
      <c r="X4" s="30"/>
      <c r="Y4" s="30"/>
      <c r="Z4" s="30"/>
      <c r="AA4" s="30"/>
      <c r="AB4" s="30"/>
      <c r="AC4" s="30"/>
      <c r="AD4" s="30"/>
      <c r="AE4" s="30"/>
    </row>
    <row r="5" ht="30.0" customHeight="1">
      <c r="A5" s="103"/>
      <c r="B5" s="59"/>
      <c r="C5" s="106" t="s">
        <v>79</v>
      </c>
      <c r="D5" s="107">
        <f>SUM(D6:D10)</f>
        <v>0</v>
      </c>
      <c r="E5" s="108" t="s">
        <v>80</v>
      </c>
      <c r="F5" s="109">
        <f>SUM(F6:F10)</f>
        <v>0</v>
      </c>
      <c r="G5" s="110"/>
      <c r="H5" s="77">
        <v>2.0E-4</v>
      </c>
      <c r="I5" s="83">
        <f t="shared" ref="I5:I24" si="1">H5+L5</f>
        <v>0.0002</v>
      </c>
      <c r="J5" s="111" t="str">
        <f t="shared" ref="J5:J9" si="2">C6</f>
        <v/>
      </c>
      <c r="K5" s="112" t="s">
        <v>81</v>
      </c>
      <c r="L5" s="113">
        <f t="shared" ref="L5:L9" si="3">D6</f>
        <v>0</v>
      </c>
      <c r="M5" s="110"/>
      <c r="N5" s="110"/>
      <c r="O5" s="110"/>
      <c r="P5" s="110"/>
      <c r="Q5" s="110"/>
      <c r="R5" s="110"/>
      <c r="S5" s="110"/>
      <c r="T5" s="110"/>
      <c r="U5" s="110"/>
      <c r="V5" s="59"/>
      <c r="W5" s="59"/>
      <c r="X5" s="59"/>
      <c r="Y5" s="59"/>
      <c r="Z5" s="59"/>
      <c r="AA5" s="59"/>
      <c r="AB5" s="59"/>
      <c r="AC5" s="30"/>
      <c r="AD5" s="30"/>
      <c r="AE5" s="30"/>
    </row>
    <row r="6" ht="37.5" customHeight="1">
      <c r="A6" s="103"/>
      <c r="B6" s="114">
        <v>1.0</v>
      </c>
      <c r="C6" s="115" t="str">
        <f>IF(ISERROR(VLOOKUP(LARGE('Forças'!$M$6:$M$24,$B6),'Forças'!$M$6:$N$24,2,FALSE)),"",VLOOKUP(LARGE('Forças'!$M$6:$M$24,$B6),'Forças'!$M$6:$N$24,2,FALSE))</f>
        <v/>
      </c>
      <c r="D6" s="116">
        <f>IF(ISERROR(VLOOKUP(LARGE('Forças'!$M$6:$M$24,$B6),'Forças'!$M$6:$O$24,3,FALSE)),0,VLOOKUP(LARGE('Forças'!$M$6:$M$24,$B6),'Forças'!$M$6:$O$24,3,FALSE))</f>
        <v>0</v>
      </c>
      <c r="E6" s="117" t="str">
        <f>IF(ISERROR(VLOOKUP(LARGE(Fraquezas!$M$6:$M$24,$B6),Fraquezas!$M$6:$N$24,2,FALSE)),"",VLOOKUP(LARGE(Fraquezas!$M$6:$M$24,$B6),Fraquezas!$M$6:$N$24,2,FALSE))</f>
        <v/>
      </c>
      <c r="F6" s="118">
        <f>IF(ISERROR(VLOOKUP(LARGE(Fraquezas!$M$6:$M$24,$B6),Fraquezas!$M$6:$O$24,3,FALSE)),0,VLOOKUP(LARGE(Fraquezas!$M$6:$M$24,$B6),Fraquezas!$M$6:$O$24,3,FALSE))</f>
        <v>0</v>
      </c>
      <c r="G6" s="110"/>
      <c r="H6" s="77">
        <v>1.9E-4</v>
      </c>
      <c r="I6" s="83">
        <f t="shared" si="1"/>
        <v>0.00019</v>
      </c>
      <c r="J6" s="111" t="str">
        <f t="shared" si="2"/>
        <v/>
      </c>
      <c r="K6" s="112" t="s">
        <v>81</v>
      </c>
      <c r="L6" s="113">
        <f t="shared" si="3"/>
        <v>0</v>
      </c>
      <c r="M6" s="110"/>
      <c r="N6" s="119"/>
      <c r="O6" s="119"/>
      <c r="P6" s="119"/>
      <c r="Q6" s="110"/>
      <c r="R6" s="119"/>
      <c r="S6" s="119"/>
      <c r="T6" s="119"/>
      <c r="U6" s="119"/>
      <c r="V6" s="114"/>
      <c r="W6" s="114"/>
      <c r="X6" s="114"/>
      <c r="Y6" s="114"/>
      <c r="Z6" s="114"/>
      <c r="AA6" s="59"/>
      <c r="AB6" s="114"/>
      <c r="AC6" s="30"/>
      <c r="AD6" s="30"/>
      <c r="AE6" s="30"/>
    </row>
    <row r="7" ht="25.5" customHeight="1">
      <c r="A7" s="103"/>
      <c r="B7" s="59">
        <v>2.0</v>
      </c>
      <c r="C7" s="115" t="str">
        <f>IF(ISERROR(VLOOKUP(LARGE('Forças'!$M$6:$M$24,$B7),'Forças'!$M$6:$N$24,2,FALSE)),"",VLOOKUP(LARGE('Forças'!$M$6:$M$24,$B7),'Forças'!$M$6:$N$24,2,FALSE))</f>
        <v/>
      </c>
      <c r="D7" s="116">
        <f>IF(ISERROR(VLOOKUP(LARGE('Forças'!$M$6:$M$24,$B7),'Forças'!$M$6:$O$24,3,FALSE)),0,VLOOKUP(LARGE('Forças'!$M$6:$M$24,$B7),'Forças'!$M$6:$O$24,3,FALSE))</f>
        <v>0</v>
      </c>
      <c r="E7" s="117" t="str">
        <f>IF(ISERROR(VLOOKUP(LARGE(Fraquezas!$M$6:$M$24,$B7),Fraquezas!$M$6:$N$24,2,FALSE)),"",VLOOKUP(LARGE(Fraquezas!$M$6:$M$24,$B7),Fraquezas!$M$6:$N$24,2,FALSE))</f>
        <v/>
      </c>
      <c r="F7" s="118">
        <f>IF(ISERROR(VLOOKUP(LARGE(Fraquezas!$M$6:$M$24,$B7),Fraquezas!$M$6:$O$24,3,FALSE)),0,VLOOKUP(LARGE(Fraquezas!$M$6:$M$24,$B7),Fraquezas!$M$6:$O$24,3,FALSE))</f>
        <v>0</v>
      </c>
      <c r="G7" s="110"/>
      <c r="H7" s="77">
        <v>1.8E-4</v>
      </c>
      <c r="I7" s="83">
        <f t="shared" si="1"/>
        <v>0.00018</v>
      </c>
      <c r="J7" s="111" t="str">
        <f t="shared" si="2"/>
        <v/>
      </c>
      <c r="K7" s="112" t="s">
        <v>81</v>
      </c>
      <c r="L7" s="113">
        <f t="shared" si="3"/>
        <v>0</v>
      </c>
      <c r="M7" s="110"/>
      <c r="N7" s="119"/>
      <c r="O7" s="119"/>
      <c r="P7" s="119"/>
      <c r="Q7" s="110"/>
      <c r="R7" s="119"/>
      <c r="S7" s="119"/>
      <c r="T7" s="119"/>
      <c r="U7" s="119"/>
      <c r="V7" s="114"/>
      <c r="W7" s="114"/>
      <c r="X7" s="114"/>
      <c r="Y7" s="114"/>
      <c r="Z7" s="114"/>
      <c r="AA7" s="59"/>
      <c r="AB7" s="59"/>
      <c r="AC7" s="30"/>
      <c r="AD7" s="30"/>
      <c r="AE7" s="30"/>
    </row>
    <row r="8" ht="25.5" customHeight="1">
      <c r="A8" s="103"/>
      <c r="B8" s="114">
        <v>3.0</v>
      </c>
      <c r="C8" s="115" t="str">
        <f>IF(ISERROR(VLOOKUP(LARGE('Forças'!$M$6:$M$24,$B8),'Forças'!$M$6:$N$24,2,FALSE)),"",VLOOKUP(LARGE('Forças'!$M$6:$M$24,$B8),'Forças'!$M$6:$N$24,2,FALSE))</f>
        <v/>
      </c>
      <c r="D8" s="116">
        <f>IF(ISERROR(VLOOKUP(LARGE('Forças'!$M$6:$M$24,$B8),'Forças'!$M$6:$O$24,3,FALSE)),0,VLOOKUP(LARGE('Forças'!$M$6:$M$24,$B8),'Forças'!$M$6:$O$24,3,FALSE))</f>
        <v>0</v>
      </c>
      <c r="E8" s="117" t="str">
        <f>IF(ISERROR(VLOOKUP(LARGE(Fraquezas!$M$6:$M$24,$B8),Fraquezas!$M$6:$N$24,2,FALSE)),"",VLOOKUP(LARGE(Fraquezas!$M$6:$M$24,$B8),Fraquezas!$M$6:$N$24,2,FALSE))</f>
        <v/>
      </c>
      <c r="F8" s="118">
        <f>IF(ISERROR(VLOOKUP(LARGE(Fraquezas!$M$6:$M$24,$B8),Fraquezas!$M$6:$O$24,3,FALSE)),0,VLOOKUP(LARGE(Fraquezas!$M$6:$M$24,$B8),Fraquezas!$M$6:$O$24,3,FALSE))</f>
        <v>0</v>
      </c>
      <c r="G8" s="110"/>
      <c r="H8" s="77">
        <v>1.7E-4</v>
      </c>
      <c r="I8" s="83">
        <f t="shared" si="1"/>
        <v>0.00017</v>
      </c>
      <c r="J8" s="111" t="str">
        <f t="shared" si="2"/>
        <v/>
      </c>
      <c r="K8" s="112" t="s">
        <v>81</v>
      </c>
      <c r="L8" s="113">
        <f t="shared" si="3"/>
        <v>0</v>
      </c>
      <c r="M8" s="110"/>
      <c r="N8" s="119"/>
      <c r="O8" s="119"/>
      <c r="P8" s="119"/>
      <c r="Q8" s="110"/>
      <c r="R8" s="119"/>
      <c r="S8" s="119"/>
      <c r="T8" s="119"/>
      <c r="U8" s="119"/>
      <c r="V8" s="114"/>
      <c r="W8" s="114"/>
      <c r="X8" s="114"/>
      <c r="Y8" s="114"/>
      <c r="Z8" s="114"/>
      <c r="AA8" s="59"/>
      <c r="AB8" s="59"/>
      <c r="AC8" s="30"/>
      <c r="AD8" s="30"/>
      <c r="AE8" s="30"/>
    </row>
    <row r="9" ht="25.5" customHeight="1">
      <c r="A9" s="103"/>
      <c r="B9" s="59">
        <v>4.0</v>
      </c>
      <c r="C9" s="115" t="str">
        <f>IF(ISERROR(VLOOKUP(LARGE('Forças'!$M$6:$M$24,$B9),'Forças'!$M$6:$N$24,2,FALSE)),"",VLOOKUP(LARGE('Forças'!$M$6:$M$24,$B9),'Forças'!$M$6:$N$24,2,FALSE))</f>
        <v/>
      </c>
      <c r="D9" s="116">
        <f>IF(ISERROR(VLOOKUP(LARGE('Forças'!$M$6:$M$24,$B9),'Forças'!$M$6:$O$24,3,FALSE)),0,VLOOKUP(LARGE('Forças'!$M$6:$M$24,$B9),'Forças'!$M$6:$O$24,3,FALSE))</f>
        <v>0</v>
      </c>
      <c r="E9" s="117" t="str">
        <f>IF(ISERROR(VLOOKUP(LARGE(Fraquezas!$M$6:$M$24,$B9),Fraquezas!$M$6:$N$24,2,FALSE)),"",VLOOKUP(LARGE(Fraquezas!$M$6:$M$24,$B9),Fraquezas!$M$6:$N$24,2,FALSE))</f>
        <v/>
      </c>
      <c r="F9" s="118">
        <f>IF(ISERROR(VLOOKUP(LARGE(Fraquezas!$M$6:$M$24,$B9),Fraquezas!$M$6:$O$24,3,FALSE)),0,VLOOKUP(LARGE(Fraquezas!$M$6:$M$24,$B9),Fraquezas!$M$6:$O$24,3,FALSE))</f>
        <v>0</v>
      </c>
      <c r="G9" s="110"/>
      <c r="H9" s="77">
        <v>1.6E-4</v>
      </c>
      <c r="I9" s="77">
        <f t="shared" si="1"/>
        <v>0.00016</v>
      </c>
      <c r="J9" s="112" t="str">
        <f t="shared" si="2"/>
        <v/>
      </c>
      <c r="K9" s="112" t="s">
        <v>81</v>
      </c>
      <c r="L9" s="112">
        <f t="shared" si="3"/>
        <v>0</v>
      </c>
      <c r="M9" s="110"/>
      <c r="N9" s="119"/>
      <c r="O9" s="119"/>
      <c r="P9" s="119"/>
      <c r="Q9" s="110"/>
      <c r="R9" s="119"/>
      <c r="S9" s="119"/>
      <c r="T9" s="119"/>
      <c r="U9" s="119"/>
      <c r="V9" s="114"/>
      <c r="W9" s="114"/>
      <c r="X9" s="114"/>
      <c r="Y9" s="114"/>
      <c r="Z9" s="114"/>
      <c r="AA9" s="59"/>
      <c r="AB9" s="59"/>
      <c r="AC9" s="30"/>
      <c r="AD9" s="30"/>
      <c r="AE9" s="30"/>
    </row>
    <row r="10" ht="25.5" customHeight="1">
      <c r="A10" s="103"/>
      <c r="B10" s="114">
        <v>5.0</v>
      </c>
      <c r="C10" s="120" t="str">
        <f>IF(ISERROR(VLOOKUP(LARGE('Forças'!$M$6:$M$24,$B10),'Forças'!$M$6:$N$24,2,FALSE)),"",VLOOKUP(LARGE('Forças'!$M$6:$M$24,$B10),'Forças'!$M$6:$N$24,2,FALSE))</f>
        <v/>
      </c>
      <c r="D10" s="121">
        <f>IF(ISERROR(VLOOKUP(LARGE('Forças'!$M$6:$M$24,$B10),'Forças'!$M$6:$O$24,3,FALSE)),0,VLOOKUP(LARGE('Forças'!$M$6:$M$24,$B10),'Forças'!$M$6:$O$24,3,FALSE))</f>
        <v>0</v>
      </c>
      <c r="E10" s="117" t="str">
        <f>IF(ISERROR(VLOOKUP(LARGE(Fraquezas!$M$6:$M$24,$B10),Fraquezas!$M$6:$N$24,2,FALSE)),"",VLOOKUP(LARGE(Fraquezas!$M$6:$M$24,$B10),Fraquezas!$M$6:$N$24,2,FALSE))</f>
        <v/>
      </c>
      <c r="F10" s="118">
        <f>IF(ISERROR(VLOOKUP(LARGE(Fraquezas!$M$6:$M$24,$B10),Fraquezas!$M$6:$O$24,3,FALSE)),0,VLOOKUP(LARGE(Fraquezas!$M$6:$M$24,$B10),Fraquezas!$M$6:$O$24,3,FALSE))</f>
        <v>0</v>
      </c>
      <c r="G10" s="110"/>
      <c r="H10" s="77">
        <v>1.5E-4</v>
      </c>
      <c r="I10" s="83">
        <f t="shared" si="1"/>
        <v>0.00015</v>
      </c>
      <c r="J10" s="111" t="str">
        <f t="shared" ref="J10:J14" si="4">E6</f>
        <v/>
      </c>
      <c r="K10" s="112" t="s">
        <v>82</v>
      </c>
      <c r="L10" s="113">
        <f t="shared" ref="L10:L14" si="5">F6</f>
        <v>0</v>
      </c>
      <c r="M10" s="110"/>
      <c r="N10" s="119"/>
      <c r="O10" s="119"/>
      <c r="P10" s="119"/>
      <c r="Q10" s="110"/>
      <c r="R10" s="119"/>
      <c r="S10" s="119"/>
      <c r="T10" s="119"/>
      <c r="U10" s="119"/>
      <c r="V10" s="114"/>
      <c r="W10" s="114"/>
      <c r="X10" s="114"/>
      <c r="Y10" s="114"/>
      <c r="Z10" s="114"/>
      <c r="AA10" s="59"/>
      <c r="AB10" s="59"/>
      <c r="AC10" s="30"/>
      <c r="AD10" s="30"/>
      <c r="AE10" s="30"/>
    </row>
    <row r="11" ht="15.0" customHeight="1">
      <c r="A11" s="103"/>
      <c r="B11" s="30"/>
      <c r="D11" s="122"/>
      <c r="G11" s="35"/>
      <c r="H11" s="77">
        <v>1.4E-4</v>
      </c>
      <c r="I11" s="83">
        <f t="shared" si="1"/>
        <v>0.00014</v>
      </c>
      <c r="J11" s="111" t="str">
        <f t="shared" si="4"/>
        <v/>
      </c>
      <c r="K11" s="112" t="s">
        <v>82</v>
      </c>
      <c r="L11" s="113">
        <f t="shared" si="5"/>
        <v>0</v>
      </c>
      <c r="M11" s="35"/>
      <c r="N11" s="35"/>
      <c r="O11" s="35"/>
      <c r="P11" s="35"/>
      <c r="Q11" s="35"/>
      <c r="R11" s="35"/>
      <c r="S11" s="35"/>
      <c r="T11" s="35"/>
      <c r="U11" s="56"/>
      <c r="V11" s="30"/>
      <c r="W11" s="30"/>
      <c r="X11" s="30"/>
      <c r="Y11" s="30"/>
      <c r="Z11" s="30"/>
      <c r="AA11" s="30"/>
      <c r="AB11" s="30"/>
      <c r="AC11" s="30"/>
      <c r="AD11" s="30"/>
      <c r="AE11" s="30"/>
    </row>
    <row r="12" ht="30.0" customHeight="1">
      <c r="A12" s="103"/>
      <c r="B12" s="30"/>
      <c r="C12" s="105" t="s">
        <v>83</v>
      </c>
      <c r="D12" s="122"/>
      <c r="G12" s="35"/>
      <c r="H12" s="77">
        <v>1.3E-4</v>
      </c>
      <c r="I12" s="83">
        <f t="shared" si="1"/>
        <v>0.00013</v>
      </c>
      <c r="J12" s="111" t="str">
        <f t="shared" si="4"/>
        <v/>
      </c>
      <c r="K12" s="112" t="s">
        <v>82</v>
      </c>
      <c r="L12" s="113">
        <f t="shared" si="5"/>
        <v>0</v>
      </c>
      <c r="M12" s="35"/>
      <c r="N12" s="35"/>
      <c r="O12" s="35"/>
      <c r="P12" s="35"/>
      <c r="Q12" s="35"/>
      <c r="R12" s="35"/>
      <c r="S12" s="35"/>
      <c r="T12" s="35"/>
      <c r="U12" s="56"/>
      <c r="V12" s="30"/>
      <c r="W12" s="30"/>
      <c r="X12" s="30"/>
      <c r="Y12" s="30"/>
      <c r="Z12" s="30"/>
      <c r="AA12" s="30"/>
      <c r="AB12" s="30"/>
      <c r="AC12" s="30"/>
      <c r="AD12" s="30"/>
      <c r="AE12" s="30"/>
    </row>
    <row r="13" ht="30.0" customHeight="1">
      <c r="A13" s="103"/>
      <c r="B13" s="30"/>
      <c r="C13" s="106" t="s">
        <v>84</v>
      </c>
      <c r="D13" s="107">
        <f>SUM(D14:D18)</f>
        <v>0</v>
      </c>
      <c r="E13" s="108" t="s">
        <v>85</v>
      </c>
      <c r="F13" s="109">
        <f>SUM(F14:F18)</f>
        <v>0</v>
      </c>
      <c r="G13" s="35"/>
      <c r="H13" s="77">
        <v>1.2E-4</v>
      </c>
      <c r="I13" s="83">
        <f t="shared" si="1"/>
        <v>0.00012</v>
      </c>
      <c r="J13" s="111" t="str">
        <f t="shared" si="4"/>
        <v/>
      </c>
      <c r="K13" s="112" t="s">
        <v>82</v>
      </c>
      <c r="L13" s="113">
        <f t="shared" si="5"/>
        <v>0</v>
      </c>
      <c r="M13" s="35"/>
      <c r="N13" s="35"/>
      <c r="O13" s="35"/>
      <c r="P13" s="35"/>
      <c r="Q13" s="35"/>
      <c r="R13" s="35"/>
      <c r="S13" s="35"/>
      <c r="T13" s="35"/>
      <c r="U13" s="56"/>
      <c r="V13" s="30"/>
      <c r="W13" s="30"/>
      <c r="X13" s="30"/>
      <c r="Y13" s="30"/>
      <c r="Z13" s="30"/>
      <c r="AA13" s="30"/>
      <c r="AB13" s="30"/>
      <c r="AC13" s="30"/>
      <c r="AD13" s="30"/>
      <c r="AE13" s="30"/>
    </row>
    <row r="14" ht="25.5" customHeight="1">
      <c r="A14" s="103"/>
      <c r="B14" s="114">
        <v>1.0</v>
      </c>
      <c r="C14" s="115" t="str">
        <f>IF(ISERROR(VLOOKUP(LARGE(Oportunidades!$M$6:$M$25,$B14),Oportunidades!$M$6:$N$25,2,FALSE)),"",VLOOKUP(LARGE(Oportunidades!$M$6:$M$25,$B14),Oportunidades!$M$6:$N$25,2,FALSE))</f>
        <v/>
      </c>
      <c r="D14" s="116">
        <f>IF(ISERROR(VLOOKUP(LARGE(Oportunidades!$M$6:$M$25,$B14),Oportunidades!$M$6:$O$25,3,FALSE)),0,VLOOKUP(LARGE(Oportunidades!$M$6:$M$25,$B14),Oportunidades!$M$6:$O$25,3,FALSE))</f>
        <v>0</v>
      </c>
      <c r="E14" s="117" t="str">
        <f>IF(ISERROR(VLOOKUP(LARGE('Ameaças'!$M$6:$M$25,$B14),'Ameaças'!$M$6:$N$25,2,FALSE)),"",VLOOKUP(LARGE('Ameaças'!$M$6:$M$25,$B14),'Ameaças'!$M$6:$N$25,2,FALSE))</f>
        <v/>
      </c>
      <c r="F14" s="118">
        <f>IF(ISERROR(VLOOKUP(LARGE('Ameaças'!$M$6:$M$25,$B14),'Ameaças'!$M$6:$O$25,3,FALSE)),0,VLOOKUP(LARGE('Ameaças'!$M$6:$M$25,$B14),'Ameaças'!$M$6:$O$25,3,FALSE))</f>
        <v>0</v>
      </c>
      <c r="G14" s="35"/>
      <c r="H14" s="77">
        <v>1.1E-4</v>
      </c>
      <c r="I14" s="83">
        <f t="shared" si="1"/>
        <v>0.00011</v>
      </c>
      <c r="J14" s="111" t="str">
        <f t="shared" si="4"/>
        <v/>
      </c>
      <c r="K14" s="112" t="s">
        <v>82</v>
      </c>
      <c r="L14" s="113">
        <f t="shared" si="5"/>
        <v>0</v>
      </c>
      <c r="M14" s="35"/>
      <c r="N14" s="35"/>
      <c r="O14" s="35"/>
      <c r="P14" s="35"/>
      <c r="Q14" s="35"/>
      <c r="R14" s="35"/>
      <c r="S14" s="35"/>
      <c r="T14" s="35"/>
      <c r="U14" s="56"/>
      <c r="V14" s="30"/>
      <c r="W14" s="30"/>
      <c r="X14" s="30"/>
      <c r="Y14" s="30"/>
      <c r="Z14" s="30"/>
      <c r="AA14" s="30"/>
      <c r="AB14" s="30"/>
      <c r="AC14" s="30"/>
      <c r="AD14" s="30"/>
      <c r="AE14" s="30"/>
    </row>
    <row r="15" ht="25.5" customHeight="1">
      <c r="A15" s="103"/>
      <c r="B15" s="59">
        <v>2.0</v>
      </c>
      <c r="C15" s="115" t="str">
        <f>IF(ISERROR(VLOOKUP(LARGE(Oportunidades!$M$6:$M$25,$B15),Oportunidades!$M$6:$N$25,2,FALSE)),"",VLOOKUP(LARGE(Oportunidades!$M$6:$M$25,$B15),Oportunidades!$M$6:$N$25,2,FALSE))</f>
        <v/>
      </c>
      <c r="D15" s="116">
        <f>IF(ISERROR(VLOOKUP(LARGE(Oportunidades!$M$6:$M$25,$B15),Oportunidades!$M$6:$O$25,3,FALSE)),0,VLOOKUP(LARGE(Oportunidades!$M$6:$M$25,$B15),Oportunidades!$M$6:$O$25,3,FALSE))</f>
        <v>0</v>
      </c>
      <c r="E15" s="117" t="str">
        <f>IF(ISERROR(VLOOKUP(LARGE('Ameaças'!$M$6:$M$25,$B15),'Ameaças'!$M$6:$N$25,2,FALSE)),"",VLOOKUP(LARGE('Ameaças'!$M$6:$M$25,$B15),'Ameaças'!$M$6:$N$25,2,FALSE))</f>
        <v/>
      </c>
      <c r="F15" s="118">
        <f>IF(ISERROR(VLOOKUP(LARGE('Ameaças'!$M$6:$M$25,$B15),'Ameaças'!$M$6:$O$25,3,FALSE)),0,VLOOKUP(LARGE('Ameaças'!$M$6:$M$25,$B15),'Ameaças'!$M$6:$O$25,3,FALSE))</f>
        <v>0</v>
      </c>
      <c r="G15" s="35"/>
      <c r="H15" s="77">
        <v>1.0E-4</v>
      </c>
      <c r="I15" s="83">
        <f t="shared" si="1"/>
        <v>0.0001</v>
      </c>
      <c r="J15" s="84" t="str">
        <f t="shared" ref="J15:J19" si="6">C14</f>
        <v/>
      </c>
      <c r="K15" s="77" t="s">
        <v>86</v>
      </c>
      <c r="L15" s="83">
        <f t="shared" ref="L15:L19" si="7">D14</f>
        <v>0</v>
      </c>
      <c r="M15" s="35"/>
      <c r="N15" s="35"/>
      <c r="O15" s="35"/>
      <c r="P15" s="35"/>
      <c r="Q15" s="35"/>
      <c r="R15" s="35"/>
      <c r="S15" s="35"/>
      <c r="T15" s="35"/>
      <c r="U15" s="56"/>
      <c r="V15" s="30"/>
      <c r="W15" s="30"/>
      <c r="X15" s="30"/>
      <c r="Y15" s="30"/>
      <c r="Z15" s="30"/>
      <c r="AA15" s="30"/>
      <c r="AB15" s="30"/>
      <c r="AC15" s="30"/>
      <c r="AD15" s="30"/>
      <c r="AE15" s="30"/>
    </row>
    <row r="16" ht="25.5" customHeight="1">
      <c r="A16" s="103"/>
      <c r="B16" s="114">
        <v>3.0</v>
      </c>
      <c r="C16" s="115" t="str">
        <f>IF(ISERROR(VLOOKUP(LARGE(Oportunidades!$M$6:$M$25,$B16),Oportunidades!$M$6:$N$25,2,FALSE)),"",VLOOKUP(LARGE(Oportunidades!$M$6:$M$25,$B16),Oportunidades!$M$6:$N$25,2,FALSE))</f>
        <v/>
      </c>
      <c r="D16" s="116">
        <f>IF(ISERROR(VLOOKUP(LARGE(Oportunidades!$M$6:$M$25,$B16),Oportunidades!$M$6:$O$25,3,FALSE)),0,VLOOKUP(LARGE(Oportunidades!$M$6:$M$25,$B16),Oportunidades!$M$6:$O$25,3,FALSE))</f>
        <v>0</v>
      </c>
      <c r="E16" s="123" t="str">
        <f>IF(ISERROR(VLOOKUP(LARGE('Ameaças'!$M$6:$M$25,$B16),'Ameaças'!$M$6:$N$25,2,FALSE)),"",VLOOKUP(LARGE('Ameaças'!$M$6:$M$25,$B16),'Ameaças'!$M$6:$N$25,2,FALSE))</f>
        <v/>
      </c>
      <c r="F16" s="124">
        <f>IF(ISERROR(VLOOKUP(LARGE('Ameaças'!$M$6:$M$25,$B16),'Ameaças'!$M$6:$O$25,3,FALSE)),0,VLOOKUP(LARGE('Ameaças'!$M$6:$M$25,$B16),'Ameaças'!$M$6:$O$25,3,FALSE))</f>
        <v>0</v>
      </c>
      <c r="G16" s="35"/>
      <c r="H16" s="77">
        <v>9.0E-5</v>
      </c>
      <c r="I16" s="83">
        <f t="shared" si="1"/>
        <v>0.00009</v>
      </c>
      <c r="J16" s="84" t="str">
        <f t="shared" si="6"/>
        <v/>
      </c>
      <c r="K16" s="77" t="s">
        <v>86</v>
      </c>
      <c r="L16" s="83">
        <f t="shared" si="7"/>
        <v>0</v>
      </c>
      <c r="M16" s="35"/>
      <c r="N16" s="35"/>
      <c r="O16" s="35"/>
      <c r="P16" s="35"/>
      <c r="Q16" s="35"/>
      <c r="R16" s="35"/>
      <c r="S16" s="35"/>
      <c r="T16" s="35"/>
      <c r="U16" s="56"/>
      <c r="V16" s="30"/>
      <c r="W16" s="30"/>
      <c r="X16" s="30"/>
      <c r="Y16" s="30"/>
      <c r="Z16" s="30"/>
      <c r="AA16" s="30"/>
      <c r="AB16" s="30"/>
      <c r="AC16" s="30"/>
      <c r="AD16" s="30"/>
      <c r="AE16" s="30"/>
    </row>
    <row r="17" ht="25.5" customHeight="1">
      <c r="A17" s="103"/>
      <c r="B17" s="59">
        <v>4.0</v>
      </c>
      <c r="C17" s="115" t="str">
        <f>IF(ISERROR(VLOOKUP(LARGE(Oportunidades!$M$6:$M$25,$B17),Oportunidades!$M$6:$N$25,2,FALSE)),"",VLOOKUP(LARGE(Oportunidades!$M$6:$M$25,$B17),Oportunidades!$M$6:$N$25,2,FALSE))</f>
        <v/>
      </c>
      <c r="D17" s="116">
        <f>IF(ISERROR(VLOOKUP(LARGE(Oportunidades!$M$6:$M$25,$B17),Oportunidades!$M$6:$O$25,3,FALSE)),0,VLOOKUP(LARGE(Oportunidades!$M$6:$M$25,$B17),Oportunidades!$M$6:$O$25,3,FALSE))</f>
        <v>0</v>
      </c>
      <c r="E17" s="123" t="str">
        <f>IF(ISERROR(VLOOKUP(LARGE('Ameaças'!$M$6:$M$25,$B17),'Ameaças'!$M$6:$N$25,2,FALSE)),"",VLOOKUP(LARGE('Ameaças'!$M$6:$M$25,$B17),'Ameaças'!$M$6:$N$25,2,FALSE))</f>
        <v/>
      </c>
      <c r="F17" s="124">
        <f>IF(ISERROR(VLOOKUP(LARGE('Ameaças'!$M$6:$M$25,$B17),'Ameaças'!$M$6:$O$25,3,FALSE)),0,VLOOKUP(LARGE('Ameaças'!$M$6:$M$25,$B17),'Ameaças'!$M$6:$O$25,3,FALSE))</f>
        <v>0</v>
      </c>
      <c r="G17" s="35"/>
      <c r="H17" s="77">
        <v>8.0E-5</v>
      </c>
      <c r="I17" s="83">
        <f t="shared" si="1"/>
        <v>0.00008</v>
      </c>
      <c r="J17" s="84" t="str">
        <f t="shared" si="6"/>
        <v/>
      </c>
      <c r="K17" s="77" t="s">
        <v>86</v>
      </c>
      <c r="L17" s="83">
        <f t="shared" si="7"/>
        <v>0</v>
      </c>
      <c r="M17" s="35"/>
      <c r="N17" s="35"/>
      <c r="O17" s="35"/>
      <c r="P17" s="35"/>
      <c r="Q17" s="35"/>
      <c r="R17" s="35"/>
      <c r="S17" s="35"/>
      <c r="T17" s="35"/>
      <c r="U17" s="56"/>
      <c r="V17" s="30"/>
      <c r="W17" s="30"/>
      <c r="X17" s="30"/>
      <c r="Y17" s="30"/>
      <c r="Z17" s="30"/>
      <c r="AA17" s="30"/>
      <c r="AB17" s="30"/>
      <c r="AC17" s="30"/>
      <c r="AD17" s="30"/>
      <c r="AE17" s="30"/>
    </row>
    <row r="18" ht="25.5" customHeight="1">
      <c r="A18" s="103"/>
      <c r="B18" s="114">
        <v>5.0</v>
      </c>
      <c r="C18" s="115" t="str">
        <f>IF(ISERROR(VLOOKUP(LARGE(Oportunidades!$M$6:$M$25,$B18),Oportunidades!$M$6:$N$25,2,FALSE)),"",VLOOKUP(LARGE(Oportunidades!$M$6:$M$25,$B18),Oportunidades!$M$6:$N$25,2,FALSE))</f>
        <v/>
      </c>
      <c r="D18" s="116">
        <f>IF(ISERROR(VLOOKUP(LARGE(Oportunidades!$M$6:$M$25,$B18),Oportunidades!$M$6:$O$25,3,FALSE)),0,VLOOKUP(LARGE(Oportunidades!$M$6:$M$25,$B18),Oportunidades!$M$6:$O$25,3,FALSE))</f>
        <v>0</v>
      </c>
      <c r="E18" s="123" t="str">
        <f>IF(ISERROR(VLOOKUP(LARGE('Ameaças'!$M$6:$M$25,$B18),'Ameaças'!$M$6:$N$25,2,FALSE)),"",VLOOKUP(LARGE('Ameaças'!$M$6:$M$25,$B18),'Ameaças'!$M$6:$N$25,2,FALSE))</f>
        <v/>
      </c>
      <c r="F18" s="124">
        <f>IF(ISERROR(VLOOKUP(LARGE('Ameaças'!$M$6:$M$25,$B18),'Ameaças'!$M$6:$O$25,3,FALSE)),0,VLOOKUP(LARGE('Ameaças'!$M$6:$M$25,$B18),'Ameaças'!$M$6:$O$25,3,FALSE))</f>
        <v>0</v>
      </c>
      <c r="G18" s="35"/>
      <c r="H18" s="77">
        <v>7.0E-5</v>
      </c>
      <c r="I18" s="83">
        <f t="shared" si="1"/>
        <v>0.00007</v>
      </c>
      <c r="J18" s="84" t="str">
        <f t="shared" si="6"/>
        <v/>
      </c>
      <c r="K18" s="77" t="s">
        <v>86</v>
      </c>
      <c r="L18" s="83">
        <f t="shared" si="7"/>
        <v>0</v>
      </c>
      <c r="M18" s="35"/>
      <c r="N18" s="35"/>
      <c r="O18" s="35"/>
      <c r="P18" s="35"/>
      <c r="Q18" s="35"/>
      <c r="R18" s="35"/>
      <c r="S18" s="35"/>
      <c r="T18" s="35"/>
      <c r="U18" s="56"/>
      <c r="V18" s="30"/>
      <c r="W18" s="30"/>
      <c r="X18" s="30"/>
      <c r="Y18" s="30"/>
      <c r="Z18" s="30"/>
      <c r="AA18" s="30"/>
      <c r="AB18" s="30"/>
      <c r="AC18" s="30"/>
      <c r="AD18" s="30"/>
      <c r="AE18" s="30"/>
    </row>
    <row r="19" ht="30.0" customHeight="1">
      <c r="A19" s="103"/>
      <c r="B19" s="30"/>
      <c r="C19" s="30"/>
      <c r="D19" s="104"/>
      <c r="E19" s="30"/>
      <c r="F19" s="30"/>
      <c r="G19" s="35"/>
      <c r="H19" s="77">
        <v>6.0E-5</v>
      </c>
      <c r="I19" s="83">
        <f t="shared" si="1"/>
        <v>0.00006</v>
      </c>
      <c r="J19" s="84" t="str">
        <f t="shared" si="6"/>
        <v/>
      </c>
      <c r="K19" s="77" t="s">
        <v>86</v>
      </c>
      <c r="L19" s="83">
        <f t="shared" si="7"/>
        <v>0</v>
      </c>
      <c r="M19" s="35"/>
      <c r="N19" s="35"/>
      <c r="O19" s="35"/>
      <c r="P19" s="35"/>
      <c r="Q19" s="35"/>
      <c r="R19" s="35"/>
      <c r="S19" s="35"/>
      <c r="T19" s="35"/>
      <c r="U19" s="56"/>
      <c r="V19" s="30"/>
      <c r="W19" s="30"/>
      <c r="X19" s="30"/>
      <c r="Y19" s="30"/>
      <c r="Z19" s="30"/>
      <c r="AA19" s="30"/>
      <c r="AB19" s="30"/>
      <c r="AC19" s="30"/>
      <c r="AD19" s="30"/>
      <c r="AE19" s="30"/>
    </row>
    <row r="20" ht="30.0" customHeight="1">
      <c r="A20" s="103"/>
      <c r="B20" s="30"/>
      <c r="C20" s="30"/>
      <c r="D20" s="104"/>
      <c r="E20" s="30"/>
      <c r="F20" s="30"/>
      <c r="G20" s="35"/>
      <c r="H20" s="77">
        <v>5.0E-5</v>
      </c>
      <c r="I20" s="83">
        <f t="shared" si="1"/>
        <v>0.00005</v>
      </c>
      <c r="J20" s="84" t="str">
        <f t="shared" ref="J20:J24" si="8">E14</f>
        <v/>
      </c>
      <c r="K20" s="77" t="s">
        <v>87</v>
      </c>
      <c r="L20" s="83">
        <f t="shared" ref="L20:L24" si="9">F14</f>
        <v>0</v>
      </c>
      <c r="M20" s="35"/>
      <c r="N20" s="35"/>
      <c r="O20" s="35"/>
      <c r="P20" s="35"/>
      <c r="Q20" s="35"/>
      <c r="R20" s="35"/>
      <c r="S20" s="35"/>
      <c r="T20" s="35"/>
      <c r="U20" s="56"/>
      <c r="V20" s="30"/>
      <c r="W20" s="30"/>
      <c r="X20" s="30"/>
      <c r="Y20" s="30"/>
      <c r="Z20" s="30"/>
      <c r="AA20" s="30"/>
      <c r="AB20" s="30"/>
      <c r="AC20" s="30"/>
      <c r="AD20" s="30"/>
      <c r="AE20" s="30"/>
    </row>
    <row r="21" ht="30.0" customHeight="1">
      <c r="A21" s="103"/>
      <c r="B21" s="30"/>
      <c r="C21" s="30"/>
      <c r="D21" s="104"/>
      <c r="E21" s="30"/>
      <c r="F21" s="30"/>
      <c r="G21" s="35"/>
      <c r="H21" s="77">
        <v>4.0E-5</v>
      </c>
      <c r="I21" s="83">
        <f t="shared" si="1"/>
        <v>0.00004</v>
      </c>
      <c r="J21" s="84" t="str">
        <f t="shared" si="8"/>
        <v/>
      </c>
      <c r="K21" s="77" t="s">
        <v>87</v>
      </c>
      <c r="L21" s="83">
        <f t="shared" si="9"/>
        <v>0</v>
      </c>
      <c r="M21" s="35"/>
      <c r="N21" s="35"/>
      <c r="O21" s="35"/>
      <c r="P21" s="35"/>
      <c r="Q21" s="35"/>
      <c r="R21" s="35"/>
      <c r="S21" s="35"/>
      <c r="T21" s="35"/>
      <c r="U21" s="56"/>
      <c r="V21" s="30"/>
      <c r="W21" s="30"/>
      <c r="X21" s="30"/>
      <c r="Y21" s="30"/>
      <c r="Z21" s="30"/>
      <c r="AA21" s="30"/>
      <c r="AB21" s="30"/>
      <c r="AC21" s="30"/>
      <c r="AD21" s="30"/>
      <c r="AE21" s="30"/>
    </row>
    <row r="22" ht="14.25" customHeight="1">
      <c r="A22" s="103"/>
      <c r="B22" s="30"/>
      <c r="C22" s="30"/>
      <c r="D22" s="104"/>
      <c r="E22" s="30"/>
      <c r="F22" s="30"/>
      <c r="G22" s="35"/>
      <c r="H22" s="77">
        <v>3.0E-5</v>
      </c>
      <c r="I22" s="77">
        <f t="shared" si="1"/>
        <v>0.00003</v>
      </c>
      <c r="J22" s="77" t="str">
        <f t="shared" si="8"/>
        <v/>
      </c>
      <c r="K22" s="77" t="s">
        <v>87</v>
      </c>
      <c r="L22" s="77">
        <f t="shared" si="9"/>
        <v>0</v>
      </c>
      <c r="M22" s="35"/>
      <c r="N22" s="35"/>
      <c r="O22" s="35"/>
      <c r="P22" s="35"/>
      <c r="Q22" s="35"/>
      <c r="R22" s="35"/>
      <c r="S22" s="35"/>
      <c r="T22" s="35"/>
      <c r="U22" s="35"/>
      <c r="V22" s="30"/>
      <c r="W22" s="30"/>
      <c r="X22" s="30"/>
      <c r="Y22" s="30"/>
      <c r="Z22" s="30"/>
      <c r="AA22" s="30"/>
      <c r="AB22" s="30"/>
      <c r="AC22" s="30"/>
      <c r="AD22" s="30"/>
      <c r="AE22" s="30"/>
    </row>
    <row r="23" ht="14.25" customHeight="1">
      <c r="A23" s="103"/>
      <c r="B23" s="30"/>
      <c r="C23" s="30"/>
      <c r="D23" s="104"/>
      <c r="E23" s="30"/>
      <c r="F23" s="30"/>
      <c r="G23" s="35"/>
      <c r="H23" s="77">
        <v>2.0E-5</v>
      </c>
      <c r="I23" s="77">
        <f t="shared" si="1"/>
        <v>0.00002</v>
      </c>
      <c r="J23" s="77" t="str">
        <f t="shared" si="8"/>
        <v/>
      </c>
      <c r="K23" s="77" t="s">
        <v>87</v>
      </c>
      <c r="L23" s="77">
        <f t="shared" si="9"/>
        <v>0</v>
      </c>
      <c r="M23" s="35"/>
      <c r="N23" s="35"/>
      <c r="O23" s="35"/>
      <c r="P23" s="35"/>
      <c r="Q23" s="35"/>
      <c r="R23" s="35"/>
      <c r="S23" s="35"/>
      <c r="T23" s="35"/>
      <c r="U23" s="35"/>
      <c r="V23" s="30"/>
      <c r="W23" s="30"/>
      <c r="X23" s="30"/>
      <c r="Y23" s="30"/>
      <c r="Z23" s="30"/>
      <c r="AA23" s="30"/>
      <c r="AB23" s="30"/>
      <c r="AC23" s="30"/>
      <c r="AD23" s="30"/>
      <c r="AE23" s="30"/>
    </row>
    <row r="24" ht="14.25" customHeight="1">
      <c r="A24" s="103"/>
      <c r="B24" s="30"/>
      <c r="C24" s="30"/>
      <c r="D24" s="104"/>
      <c r="E24" s="30"/>
      <c r="F24" s="30"/>
      <c r="G24" s="35"/>
      <c r="H24" s="77">
        <v>1.0E-5</v>
      </c>
      <c r="I24" s="77">
        <f t="shared" si="1"/>
        <v>0.00001</v>
      </c>
      <c r="J24" s="77" t="str">
        <f t="shared" si="8"/>
        <v/>
      </c>
      <c r="K24" s="77" t="s">
        <v>87</v>
      </c>
      <c r="L24" s="77">
        <f t="shared" si="9"/>
        <v>0</v>
      </c>
      <c r="M24" s="35"/>
      <c r="N24" s="35"/>
      <c r="O24" s="35"/>
      <c r="P24" s="35"/>
      <c r="Q24" s="35"/>
      <c r="R24" s="35"/>
      <c r="S24" s="35"/>
      <c r="T24" s="35"/>
      <c r="U24" s="35"/>
      <c r="V24" s="30"/>
      <c r="W24" s="30"/>
      <c r="X24" s="30"/>
      <c r="Y24" s="30"/>
      <c r="Z24" s="30"/>
      <c r="AA24" s="30"/>
      <c r="AB24" s="30"/>
      <c r="AC24" s="30"/>
      <c r="AD24" s="30"/>
      <c r="AE24" s="30"/>
    </row>
    <row r="25" ht="14.25" customHeight="1">
      <c r="A25" s="103"/>
      <c r="B25" s="30"/>
      <c r="C25" s="30"/>
      <c r="D25" s="104"/>
      <c r="E25" s="30"/>
      <c r="F25" s="30"/>
      <c r="G25" s="35"/>
      <c r="H25" s="77"/>
      <c r="I25" s="77"/>
      <c r="J25" s="77"/>
      <c r="K25" s="77"/>
      <c r="L25" s="77"/>
      <c r="M25" s="35"/>
      <c r="N25" s="35"/>
      <c r="O25" s="35"/>
      <c r="P25" s="35"/>
      <c r="Q25" s="35"/>
      <c r="R25" s="35"/>
      <c r="S25" s="35"/>
      <c r="T25" s="35"/>
      <c r="U25" s="35"/>
      <c r="V25" s="30"/>
      <c r="W25" s="30"/>
      <c r="X25" s="30"/>
      <c r="Y25" s="30"/>
      <c r="Z25" s="30"/>
      <c r="AA25" s="30"/>
      <c r="AB25" s="30"/>
      <c r="AC25" s="30"/>
      <c r="AD25" s="30"/>
      <c r="AE25" s="30"/>
    </row>
    <row r="26" ht="14.25" customHeight="1">
      <c r="A26" s="103"/>
      <c r="B26" s="30"/>
      <c r="C26" s="30"/>
      <c r="D26" s="125"/>
      <c r="E26" s="126"/>
      <c r="F26" s="30"/>
      <c r="G26" s="35"/>
      <c r="H26" s="77"/>
      <c r="I26" s="77"/>
      <c r="J26" s="77"/>
      <c r="K26" s="77"/>
      <c r="L26" s="77"/>
      <c r="M26" s="35"/>
      <c r="N26" s="35"/>
      <c r="O26" s="35"/>
      <c r="P26" s="35"/>
      <c r="Q26" s="35"/>
      <c r="R26" s="35"/>
      <c r="S26" s="35"/>
      <c r="T26" s="35"/>
      <c r="U26" s="35"/>
      <c r="V26" s="30"/>
      <c r="W26" s="30"/>
      <c r="X26" s="30"/>
      <c r="Y26" s="30"/>
      <c r="Z26" s="30"/>
      <c r="AA26" s="30"/>
      <c r="AB26" s="30"/>
      <c r="AC26" s="30"/>
      <c r="AD26" s="30"/>
      <c r="AE26" s="30"/>
    </row>
    <row r="27" ht="14.25" customHeight="1">
      <c r="A27" s="103"/>
      <c r="B27" s="30"/>
      <c r="C27" s="30"/>
      <c r="D27" s="125"/>
      <c r="E27" s="126"/>
      <c r="F27" s="30"/>
      <c r="G27" s="35"/>
      <c r="H27" s="77"/>
      <c r="I27" s="77"/>
      <c r="J27" s="77"/>
      <c r="K27" s="77"/>
      <c r="L27" s="77"/>
      <c r="M27" s="35"/>
      <c r="N27" s="35"/>
      <c r="O27" s="35"/>
      <c r="P27" s="35"/>
      <c r="Q27" s="35"/>
      <c r="R27" s="35"/>
      <c r="S27" s="35"/>
      <c r="T27" s="35"/>
      <c r="U27" s="35"/>
      <c r="V27" s="30"/>
      <c r="W27" s="30"/>
      <c r="X27" s="30"/>
      <c r="Y27" s="30"/>
      <c r="Z27" s="30"/>
      <c r="AA27" s="30"/>
      <c r="AB27" s="30"/>
      <c r="AC27" s="30"/>
      <c r="AD27" s="30"/>
      <c r="AE27" s="30"/>
    </row>
    <row r="28" ht="14.25" customHeight="1">
      <c r="A28" s="103"/>
      <c r="B28" s="30"/>
      <c r="C28" s="30"/>
      <c r="D28" s="125"/>
      <c r="E28" s="126"/>
      <c r="F28" s="30"/>
      <c r="G28" s="35"/>
      <c r="H28" s="77"/>
      <c r="I28" s="77"/>
      <c r="J28" s="77"/>
      <c r="K28" s="77"/>
      <c r="L28" s="77"/>
      <c r="M28" s="35"/>
      <c r="N28" s="35"/>
      <c r="O28" s="35"/>
      <c r="P28" s="35"/>
      <c r="Q28" s="35"/>
      <c r="R28" s="35"/>
      <c r="S28" s="35"/>
      <c r="T28" s="35"/>
      <c r="U28" s="35"/>
      <c r="V28" s="30"/>
      <c r="W28" s="30"/>
      <c r="X28" s="30"/>
      <c r="Y28" s="30"/>
      <c r="Z28" s="30"/>
      <c r="AA28" s="30"/>
      <c r="AB28" s="30"/>
      <c r="AC28" s="30"/>
      <c r="AD28" s="30"/>
      <c r="AE28" s="30"/>
    </row>
    <row r="29" ht="14.25" customHeight="1">
      <c r="A29" s="103"/>
      <c r="B29" s="30"/>
      <c r="C29" s="30"/>
      <c r="D29" s="125"/>
      <c r="E29" s="126"/>
      <c r="F29" s="30"/>
      <c r="G29" s="35"/>
      <c r="H29" s="77"/>
      <c r="I29" s="77"/>
      <c r="J29" s="77"/>
      <c r="K29" s="77"/>
      <c r="L29" s="77"/>
      <c r="M29" s="35"/>
      <c r="N29" s="35"/>
      <c r="O29" s="35"/>
      <c r="P29" s="35"/>
      <c r="Q29" s="35"/>
      <c r="R29" s="35"/>
      <c r="S29" s="35"/>
      <c r="T29" s="35"/>
      <c r="U29" s="35"/>
      <c r="V29" s="30"/>
      <c r="W29" s="30"/>
      <c r="X29" s="30"/>
      <c r="Y29" s="30"/>
      <c r="Z29" s="30"/>
      <c r="AA29" s="30"/>
      <c r="AB29" s="30"/>
      <c r="AC29" s="30"/>
      <c r="AD29" s="30"/>
      <c r="AE29" s="30"/>
    </row>
    <row r="30" ht="14.25" customHeight="1">
      <c r="A30" s="103"/>
      <c r="B30" s="30"/>
      <c r="C30" s="30"/>
      <c r="D30" s="125"/>
      <c r="E30" s="126"/>
      <c r="F30" s="30"/>
      <c r="G30" s="35"/>
      <c r="H30" s="77"/>
      <c r="I30" s="77"/>
      <c r="J30" s="77"/>
      <c r="K30" s="77"/>
      <c r="L30" s="77"/>
      <c r="M30" s="35"/>
      <c r="N30" s="35"/>
      <c r="O30" s="35"/>
      <c r="P30" s="35"/>
      <c r="Q30" s="35"/>
      <c r="R30" s="35"/>
      <c r="S30" s="35"/>
      <c r="T30" s="35"/>
      <c r="U30" s="35"/>
      <c r="V30" s="30"/>
      <c r="W30" s="30"/>
      <c r="X30" s="30"/>
      <c r="Y30" s="30"/>
      <c r="Z30" s="30"/>
      <c r="AA30" s="30"/>
      <c r="AB30" s="30"/>
      <c r="AC30" s="30"/>
      <c r="AD30" s="30"/>
      <c r="AE30" s="30"/>
    </row>
    <row r="31" ht="14.25" customHeight="1">
      <c r="A31" s="103"/>
      <c r="B31" s="30"/>
      <c r="C31" s="30"/>
      <c r="D31" s="125"/>
      <c r="E31" s="126"/>
      <c r="F31" s="30"/>
      <c r="G31" s="35"/>
      <c r="H31" s="77"/>
      <c r="I31" s="77"/>
      <c r="J31" s="77"/>
      <c r="K31" s="77"/>
      <c r="L31" s="77"/>
      <c r="M31" s="35"/>
      <c r="N31" s="35"/>
      <c r="O31" s="35"/>
      <c r="P31" s="35"/>
      <c r="Q31" s="35"/>
      <c r="R31" s="35"/>
      <c r="S31" s="35"/>
      <c r="T31" s="35"/>
      <c r="U31" s="35"/>
      <c r="V31" s="30"/>
      <c r="W31" s="30"/>
      <c r="X31" s="30"/>
      <c r="Y31" s="30"/>
      <c r="Z31" s="30"/>
      <c r="AA31" s="30"/>
      <c r="AB31" s="30"/>
      <c r="AC31" s="30"/>
      <c r="AD31" s="30"/>
      <c r="AE31" s="30"/>
    </row>
    <row r="32" ht="14.25" customHeight="1">
      <c r="A32" s="103"/>
      <c r="B32" s="30"/>
      <c r="C32" s="30"/>
      <c r="D32" s="125"/>
      <c r="E32" s="126"/>
      <c r="F32" s="30"/>
      <c r="G32" s="35"/>
      <c r="H32" s="77"/>
      <c r="I32" s="77"/>
      <c r="J32" s="77"/>
      <c r="K32" s="77"/>
      <c r="L32" s="77"/>
      <c r="M32" s="35"/>
      <c r="N32" s="35"/>
      <c r="O32" s="35"/>
      <c r="P32" s="35"/>
      <c r="Q32" s="35"/>
      <c r="R32" s="35"/>
      <c r="S32" s="35"/>
      <c r="T32" s="35"/>
      <c r="U32" s="35"/>
      <c r="V32" s="30"/>
      <c r="W32" s="30"/>
      <c r="X32" s="30"/>
      <c r="Y32" s="30"/>
      <c r="Z32" s="30"/>
      <c r="AA32" s="30"/>
      <c r="AB32" s="30"/>
      <c r="AC32" s="30"/>
      <c r="AD32" s="30"/>
      <c r="AE32" s="30"/>
    </row>
    <row r="33" ht="14.25" customHeight="1">
      <c r="A33" s="103"/>
      <c r="B33" s="30"/>
      <c r="C33" s="30"/>
      <c r="D33" s="125"/>
      <c r="E33" s="126"/>
      <c r="F33" s="30"/>
      <c r="G33" s="35"/>
      <c r="H33" s="77"/>
      <c r="I33" s="77"/>
      <c r="J33" s="77"/>
      <c r="K33" s="77"/>
      <c r="L33" s="77"/>
      <c r="M33" s="35"/>
      <c r="N33" s="35"/>
      <c r="O33" s="35"/>
      <c r="P33" s="35"/>
      <c r="Q33" s="35"/>
      <c r="R33" s="35"/>
      <c r="S33" s="35"/>
      <c r="T33" s="35"/>
      <c r="U33" s="35"/>
      <c r="V33" s="30"/>
      <c r="W33" s="30"/>
      <c r="X33" s="30"/>
      <c r="Y33" s="30"/>
      <c r="Z33" s="30"/>
      <c r="AA33" s="30"/>
      <c r="AB33" s="30"/>
      <c r="AC33" s="30"/>
      <c r="AD33" s="30"/>
      <c r="AE33" s="30"/>
    </row>
    <row r="34" ht="14.25" customHeight="1">
      <c r="A34" s="103"/>
      <c r="B34" s="30"/>
      <c r="C34" s="30"/>
      <c r="D34" s="125"/>
      <c r="E34" s="126"/>
      <c r="F34" s="30"/>
      <c r="G34" s="35"/>
      <c r="H34" s="77"/>
      <c r="I34" s="77"/>
      <c r="J34" s="77"/>
      <c r="K34" s="77"/>
      <c r="L34" s="77"/>
      <c r="M34" s="35"/>
      <c r="N34" s="35"/>
      <c r="O34" s="35"/>
      <c r="P34" s="35"/>
      <c r="Q34" s="35"/>
      <c r="R34" s="35"/>
      <c r="S34" s="35"/>
      <c r="T34" s="35"/>
      <c r="U34" s="35"/>
      <c r="V34" s="30"/>
      <c r="W34" s="30"/>
      <c r="X34" s="30"/>
      <c r="Y34" s="30"/>
      <c r="Z34" s="30"/>
      <c r="AA34" s="30"/>
      <c r="AB34" s="30"/>
      <c r="AC34" s="30"/>
      <c r="AD34" s="30"/>
      <c r="AE34" s="30"/>
    </row>
    <row r="35" ht="14.25" customHeight="1">
      <c r="A35" s="103"/>
      <c r="B35" s="30"/>
      <c r="C35" s="30"/>
      <c r="D35" s="125"/>
      <c r="E35" s="126"/>
      <c r="F35" s="30"/>
      <c r="G35" s="35"/>
      <c r="H35" s="77"/>
      <c r="I35" s="77"/>
      <c r="J35" s="77"/>
      <c r="K35" s="77"/>
      <c r="L35" s="77"/>
      <c r="M35" s="35"/>
      <c r="N35" s="35"/>
      <c r="O35" s="35"/>
      <c r="P35" s="35"/>
      <c r="Q35" s="35"/>
      <c r="R35" s="35"/>
      <c r="S35" s="35"/>
      <c r="T35" s="35"/>
      <c r="U35" s="35"/>
      <c r="V35" s="30"/>
      <c r="W35" s="30"/>
      <c r="X35" s="30"/>
      <c r="Y35" s="30"/>
      <c r="Z35" s="30"/>
      <c r="AA35" s="30"/>
      <c r="AB35" s="30"/>
      <c r="AC35" s="30"/>
      <c r="AD35" s="30"/>
      <c r="AE35" s="30"/>
    </row>
    <row r="36" ht="14.25" customHeight="1">
      <c r="A36" s="103"/>
      <c r="B36" s="30"/>
      <c r="C36" s="30"/>
      <c r="D36" s="125"/>
      <c r="E36" s="126"/>
      <c r="F36" s="30"/>
      <c r="G36" s="35"/>
      <c r="H36" s="77"/>
      <c r="I36" s="77"/>
      <c r="J36" s="77"/>
      <c r="K36" s="77"/>
      <c r="L36" s="77"/>
      <c r="M36" s="35"/>
      <c r="N36" s="35"/>
      <c r="O36" s="35"/>
      <c r="P36" s="35"/>
      <c r="Q36" s="35"/>
      <c r="R36" s="35"/>
      <c r="S36" s="35"/>
      <c r="T36" s="35"/>
      <c r="U36" s="35"/>
      <c r="V36" s="30"/>
      <c r="W36" s="30"/>
      <c r="X36" s="30"/>
      <c r="Y36" s="30"/>
      <c r="Z36" s="30"/>
      <c r="AA36" s="30"/>
      <c r="AB36" s="30"/>
      <c r="AC36" s="30"/>
      <c r="AD36" s="30"/>
      <c r="AE36" s="30"/>
    </row>
    <row r="37" ht="14.25" customHeight="1">
      <c r="A37" s="103"/>
      <c r="B37" s="30"/>
      <c r="C37" s="30"/>
      <c r="D37" s="125"/>
      <c r="E37" s="126"/>
      <c r="F37" s="30"/>
      <c r="G37" s="35"/>
      <c r="H37" s="77"/>
      <c r="I37" s="77"/>
      <c r="J37" s="77"/>
      <c r="K37" s="77"/>
      <c r="L37" s="77"/>
      <c r="M37" s="35"/>
      <c r="N37" s="35"/>
      <c r="O37" s="35"/>
      <c r="P37" s="35"/>
      <c r="Q37" s="35"/>
      <c r="R37" s="35"/>
      <c r="S37" s="35"/>
      <c r="T37" s="35"/>
      <c r="U37" s="35"/>
      <c r="V37" s="30"/>
      <c r="W37" s="30"/>
      <c r="X37" s="30"/>
      <c r="Y37" s="30"/>
      <c r="Z37" s="30"/>
      <c r="AA37" s="30"/>
      <c r="AB37" s="30"/>
      <c r="AC37" s="30"/>
      <c r="AD37" s="30"/>
      <c r="AE37" s="30"/>
    </row>
    <row r="38" ht="14.25" customHeight="1">
      <c r="A38" s="103"/>
      <c r="B38" s="30"/>
      <c r="C38" s="30"/>
      <c r="D38" s="125"/>
      <c r="E38" s="126"/>
      <c r="F38" s="30"/>
      <c r="G38" s="35"/>
      <c r="H38" s="77"/>
      <c r="I38" s="77"/>
      <c r="J38" s="77"/>
      <c r="K38" s="77"/>
      <c r="L38" s="77"/>
      <c r="M38" s="35"/>
      <c r="N38" s="35"/>
      <c r="O38" s="35"/>
      <c r="P38" s="35"/>
      <c r="Q38" s="35"/>
      <c r="R38" s="35"/>
      <c r="S38" s="35"/>
      <c r="T38" s="35"/>
      <c r="U38" s="35"/>
      <c r="V38" s="30"/>
      <c r="W38" s="30"/>
      <c r="X38" s="30"/>
      <c r="Y38" s="30"/>
      <c r="Z38" s="30"/>
      <c r="AA38" s="30"/>
      <c r="AB38" s="30"/>
      <c r="AC38" s="30"/>
      <c r="AD38" s="30"/>
      <c r="AE38" s="30"/>
    </row>
    <row r="39" ht="14.25" customHeight="1">
      <c r="A39" s="103"/>
      <c r="B39" s="30"/>
      <c r="C39" s="30"/>
      <c r="D39" s="125"/>
      <c r="E39" s="126"/>
      <c r="F39" s="30"/>
      <c r="G39" s="35"/>
      <c r="H39" s="77"/>
      <c r="I39" s="77"/>
      <c r="J39" s="77"/>
      <c r="K39" s="77"/>
      <c r="L39" s="77"/>
      <c r="M39" s="35"/>
      <c r="N39" s="35"/>
      <c r="O39" s="35"/>
      <c r="P39" s="35"/>
      <c r="Q39" s="35"/>
      <c r="R39" s="35"/>
      <c r="S39" s="35"/>
      <c r="T39" s="35"/>
      <c r="U39" s="35"/>
      <c r="V39" s="30"/>
      <c r="W39" s="30"/>
      <c r="X39" s="30"/>
      <c r="Y39" s="30"/>
      <c r="Z39" s="30"/>
      <c r="AA39" s="30"/>
      <c r="AB39" s="30"/>
      <c r="AC39" s="30"/>
      <c r="AD39" s="30"/>
      <c r="AE39" s="30"/>
    </row>
    <row r="40" ht="14.25" customHeight="1">
      <c r="A40" s="103"/>
      <c r="B40" s="30"/>
      <c r="C40" s="30"/>
      <c r="D40" s="125"/>
      <c r="E40" s="126"/>
      <c r="F40" s="30"/>
      <c r="G40" s="35"/>
      <c r="H40" s="77"/>
      <c r="I40" s="77"/>
      <c r="J40" s="77"/>
      <c r="K40" s="77"/>
      <c r="L40" s="77"/>
      <c r="M40" s="35"/>
      <c r="N40" s="35"/>
      <c r="O40" s="35"/>
      <c r="P40" s="35"/>
      <c r="Q40" s="35"/>
      <c r="R40" s="35"/>
      <c r="S40" s="35"/>
      <c r="T40" s="35"/>
      <c r="U40" s="35"/>
      <c r="V40" s="30"/>
      <c r="W40" s="30"/>
      <c r="X40" s="30"/>
      <c r="Y40" s="30"/>
      <c r="Z40" s="30"/>
      <c r="AA40" s="30"/>
      <c r="AB40" s="30"/>
      <c r="AC40" s="30"/>
      <c r="AD40" s="30"/>
      <c r="AE40" s="30"/>
    </row>
    <row r="41" ht="14.25" customHeight="1">
      <c r="A41" s="103"/>
      <c r="B41" s="30"/>
      <c r="C41" s="30"/>
      <c r="D41" s="125"/>
      <c r="E41" s="126"/>
      <c r="F41" s="30"/>
      <c r="G41" s="35"/>
      <c r="H41" s="77"/>
      <c r="I41" s="77"/>
      <c r="J41" s="77"/>
      <c r="K41" s="77"/>
      <c r="L41" s="77"/>
      <c r="M41" s="35"/>
      <c r="N41" s="35"/>
      <c r="O41" s="35"/>
      <c r="P41" s="35"/>
      <c r="Q41" s="35"/>
      <c r="R41" s="35"/>
      <c r="S41" s="35"/>
      <c r="T41" s="35"/>
      <c r="U41" s="35"/>
      <c r="V41" s="30"/>
      <c r="W41" s="30"/>
      <c r="X41" s="30"/>
      <c r="Y41" s="30"/>
      <c r="Z41" s="30"/>
      <c r="AA41" s="30"/>
      <c r="AB41" s="30"/>
      <c r="AC41" s="30"/>
      <c r="AD41" s="30"/>
      <c r="AE41" s="30"/>
    </row>
    <row r="42" ht="14.25" customHeight="1">
      <c r="A42" s="103"/>
      <c r="B42" s="30"/>
      <c r="C42" s="30"/>
      <c r="D42" s="125"/>
      <c r="E42" s="126"/>
      <c r="F42" s="30"/>
      <c r="G42" s="35"/>
      <c r="H42" s="77"/>
      <c r="I42" s="77"/>
      <c r="J42" s="77"/>
      <c r="K42" s="77"/>
      <c r="L42" s="77"/>
      <c r="M42" s="35"/>
      <c r="N42" s="35"/>
      <c r="O42" s="35"/>
      <c r="P42" s="35"/>
      <c r="Q42" s="35"/>
      <c r="R42" s="35"/>
      <c r="S42" s="35"/>
      <c r="T42" s="35"/>
      <c r="U42" s="35"/>
      <c r="V42" s="30"/>
      <c r="W42" s="30"/>
      <c r="X42" s="30"/>
      <c r="Y42" s="30"/>
      <c r="Z42" s="30"/>
      <c r="AA42" s="30"/>
      <c r="AB42" s="30"/>
      <c r="AC42" s="30"/>
      <c r="AD42" s="30"/>
      <c r="AE42" s="30"/>
    </row>
    <row r="43" ht="14.25" customHeight="1">
      <c r="A43" s="103"/>
      <c r="B43" s="30"/>
      <c r="C43" s="30"/>
      <c r="D43" s="125"/>
      <c r="E43" s="126"/>
      <c r="F43" s="30"/>
      <c r="G43" s="35"/>
      <c r="H43" s="77"/>
      <c r="I43" s="77"/>
      <c r="J43" s="77"/>
      <c r="K43" s="77"/>
      <c r="L43" s="77"/>
      <c r="M43" s="35"/>
      <c r="N43" s="35"/>
      <c r="O43" s="35"/>
      <c r="P43" s="35"/>
      <c r="Q43" s="35"/>
      <c r="R43" s="35"/>
      <c r="S43" s="35"/>
      <c r="T43" s="35"/>
      <c r="U43" s="35"/>
      <c r="V43" s="30"/>
      <c r="W43" s="30"/>
      <c r="X43" s="30"/>
      <c r="Y43" s="30"/>
      <c r="Z43" s="30"/>
      <c r="AA43" s="30"/>
      <c r="AB43" s="30"/>
      <c r="AC43" s="30"/>
      <c r="AD43" s="30"/>
      <c r="AE43" s="30"/>
    </row>
    <row r="44" ht="14.25" customHeight="1">
      <c r="A44" s="103"/>
      <c r="B44" s="30"/>
      <c r="C44" s="30"/>
      <c r="D44" s="125"/>
      <c r="E44" s="126"/>
      <c r="F44" s="30"/>
      <c r="G44" s="35"/>
      <c r="H44" s="77"/>
      <c r="I44" s="77"/>
      <c r="J44" s="77"/>
      <c r="K44" s="77"/>
      <c r="L44" s="77"/>
      <c r="M44" s="35"/>
      <c r="N44" s="35"/>
      <c r="O44" s="35"/>
      <c r="P44" s="35"/>
      <c r="Q44" s="35"/>
      <c r="R44" s="35"/>
      <c r="S44" s="35"/>
      <c r="T44" s="35"/>
      <c r="U44" s="35"/>
      <c r="V44" s="30"/>
      <c r="W44" s="30"/>
      <c r="X44" s="30"/>
      <c r="Y44" s="30"/>
      <c r="Z44" s="30"/>
      <c r="AA44" s="30"/>
      <c r="AB44" s="30"/>
      <c r="AC44" s="30"/>
      <c r="AD44" s="30"/>
      <c r="AE44" s="30"/>
    </row>
    <row r="45" ht="14.25" customHeight="1">
      <c r="A45" s="103"/>
      <c r="B45" s="30"/>
      <c r="C45" s="30"/>
      <c r="D45" s="125"/>
      <c r="E45" s="126"/>
      <c r="F45" s="30"/>
      <c r="G45" s="35"/>
      <c r="H45" s="77"/>
      <c r="I45" s="77"/>
      <c r="J45" s="77"/>
      <c r="K45" s="77"/>
      <c r="L45" s="77"/>
      <c r="M45" s="35"/>
      <c r="N45" s="35"/>
      <c r="O45" s="35"/>
      <c r="P45" s="35"/>
      <c r="Q45" s="35"/>
      <c r="R45" s="35"/>
      <c r="S45" s="35"/>
      <c r="T45" s="35"/>
      <c r="U45" s="35"/>
      <c r="V45" s="30"/>
      <c r="W45" s="30"/>
      <c r="X45" s="30"/>
      <c r="Y45" s="30"/>
      <c r="Z45" s="30"/>
      <c r="AA45" s="30"/>
      <c r="AB45" s="30"/>
      <c r="AC45" s="30"/>
      <c r="AD45" s="30"/>
      <c r="AE45" s="30"/>
    </row>
    <row r="46" ht="14.25" customHeight="1">
      <c r="A46" s="103"/>
      <c r="B46" s="30"/>
      <c r="C46" s="30"/>
      <c r="D46" s="125"/>
      <c r="E46" s="126"/>
      <c r="F46" s="30"/>
      <c r="G46" s="35"/>
      <c r="H46" s="77"/>
      <c r="I46" s="77"/>
      <c r="J46" s="77"/>
      <c r="K46" s="77"/>
      <c r="L46" s="77"/>
      <c r="M46" s="35"/>
      <c r="N46" s="35"/>
      <c r="O46" s="35"/>
      <c r="P46" s="35"/>
      <c r="Q46" s="35"/>
      <c r="R46" s="35"/>
      <c r="S46" s="35"/>
      <c r="T46" s="35"/>
      <c r="U46" s="35"/>
      <c r="V46" s="30"/>
      <c r="W46" s="30"/>
      <c r="X46" s="30"/>
      <c r="Y46" s="30"/>
      <c r="Z46" s="30"/>
      <c r="AA46" s="30"/>
      <c r="AB46" s="30"/>
      <c r="AC46" s="30"/>
      <c r="AD46" s="30"/>
      <c r="AE46" s="30"/>
    </row>
    <row r="47" ht="14.25" customHeight="1">
      <c r="A47" s="103"/>
      <c r="B47" s="30"/>
      <c r="C47" s="30"/>
      <c r="D47" s="125"/>
      <c r="E47" s="126"/>
      <c r="F47" s="30"/>
      <c r="G47" s="35"/>
      <c r="H47" s="77"/>
      <c r="I47" s="77"/>
      <c r="J47" s="77"/>
      <c r="K47" s="77"/>
      <c r="L47" s="77"/>
      <c r="M47" s="35"/>
      <c r="N47" s="35"/>
      <c r="O47" s="35"/>
      <c r="P47" s="35"/>
      <c r="Q47" s="35"/>
      <c r="R47" s="35"/>
      <c r="S47" s="35"/>
      <c r="T47" s="35"/>
      <c r="U47" s="35"/>
      <c r="V47" s="30"/>
      <c r="W47" s="30"/>
      <c r="X47" s="30"/>
      <c r="Y47" s="30"/>
      <c r="Z47" s="30"/>
      <c r="AA47" s="30"/>
      <c r="AB47" s="30"/>
      <c r="AC47" s="30"/>
      <c r="AD47" s="30"/>
      <c r="AE47" s="30"/>
    </row>
    <row r="48" ht="14.25" customHeight="1">
      <c r="A48" s="103"/>
      <c r="B48" s="30"/>
      <c r="C48" s="30"/>
      <c r="D48" s="125"/>
      <c r="E48" s="126"/>
      <c r="F48" s="30"/>
      <c r="G48" s="35"/>
      <c r="H48" s="77"/>
      <c r="I48" s="77"/>
      <c r="J48" s="77"/>
      <c r="K48" s="77"/>
      <c r="L48" s="77"/>
      <c r="M48" s="35"/>
      <c r="N48" s="35"/>
      <c r="O48" s="35"/>
      <c r="P48" s="35"/>
      <c r="Q48" s="35"/>
      <c r="R48" s="35"/>
      <c r="S48" s="35"/>
      <c r="T48" s="35"/>
      <c r="U48" s="35"/>
      <c r="V48" s="30"/>
      <c r="W48" s="30"/>
      <c r="X48" s="30"/>
      <c r="Y48" s="30"/>
      <c r="Z48" s="30"/>
      <c r="AA48" s="30"/>
      <c r="AB48" s="30"/>
      <c r="AC48" s="30"/>
      <c r="AD48" s="30"/>
      <c r="AE48" s="30"/>
    </row>
    <row r="49" ht="14.25" customHeight="1">
      <c r="A49" s="103"/>
      <c r="B49" s="30"/>
      <c r="C49" s="30"/>
      <c r="D49" s="125"/>
      <c r="E49" s="126"/>
      <c r="F49" s="30"/>
      <c r="G49" s="35"/>
      <c r="H49" s="77"/>
      <c r="I49" s="77"/>
      <c r="J49" s="77"/>
      <c r="K49" s="77"/>
      <c r="L49" s="77"/>
      <c r="M49" s="35"/>
      <c r="N49" s="35"/>
      <c r="O49" s="35"/>
      <c r="P49" s="35"/>
      <c r="Q49" s="35"/>
      <c r="R49" s="35"/>
      <c r="S49" s="35"/>
      <c r="T49" s="35"/>
      <c r="U49" s="35"/>
      <c r="V49" s="30"/>
      <c r="W49" s="30"/>
      <c r="X49" s="30"/>
      <c r="Y49" s="30"/>
      <c r="Z49" s="30"/>
      <c r="AA49" s="30"/>
      <c r="AB49" s="30"/>
      <c r="AC49" s="30"/>
      <c r="AD49" s="30"/>
      <c r="AE49" s="30"/>
    </row>
    <row r="50" ht="14.25" customHeight="1">
      <c r="A50" s="103"/>
      <c r="B50" s="30"/>
      <c r="C50" s="30"/>
      <c r="D50" s="125"/>
      <c r="E50" s="126"/>
      <c r="F50" s="30"/>
      <c r="G50" s="35"/>
      <c r="H50" s="77"/>
      <c r="I50" s="77"/>
      <c r="J50" s="77"/>
      <c r="K50" s="77"/>
      <c r="L50" s="77"/>
      <c r="M50" s="35"/>
      <c r="N50" s="35"/>
      <c r="O50" s="35"/>
      <c r="P50" s="35"/>
      <c r="Q50" s="35"/>
      <c r="R50" s="35"/>
      <c r="S50" s="35"/>
      <c r="T50" s="35"/>
      <c r="U50" s="35"/>
      <c r="V50" s="30"/>
      <c r="W50" s="30"/>
      <c r="X50" s="30"/>
      <c r="Y50" s="30"/>
      <c r="Z50" s="30"/>
      <c r="AA50" s="30"/>
      <c r="AB50" s="30"/>
      <c r="AC50" s="30"/>
      <c r="AD50" s="30"/>
      <c r="AE50" s="30"/>
    </row>
    <row r="51" ht="14.25" customHeight="1">
      <c r="A51" s="103"/>
      <c r="B51" s="30"/>
      <c r="C51" s="30"/>
      <c r="D51" s="125"/>
      <c r="E51" s="126"/>
      <c r="F51" s="30"/>
      <c r="G51" s="35"/>
      <c r="H51" s="77"/>
      <c r="I51" s="77"/>
      <c r="J51" s="77"/>
      <c r="K51" s="77"/>
      <c r="L51" s="77"/>
      <c r="M51" s="35"/>
      <c r="N51" s="35"/>
      <c r="O51" s="35"/>
      <c r="P51" s="35"/>
      <c r="Q51" s="35"/>
      <c r="R51" s="35"/>
      <c r="S51" s="35"/>
      <c r="T51" s="35"/>
      <c r="U51" s="35"/>
      <c r="V51" s="30"/>
      <c r="W51" s="30"/>
      <c r="X51" s="30"/>
      <c r="Y51" s="30"/>
      <c r="Z51" s="30"/>
      <c r="AA51" s="30"/>
      <c r="AB51" s="30"/>
      <c r="AC51" s="30"/>
      <c r="AD51" s="30"/>
      <c r="AE51" s="30"/>
    </row>
    <row r="52" ht="14.25" customHeight="1">
      <c r="A52" s="103"/>
      <c r="B52" s="30"/>
      <c r="C52" s="30"/>
      <c r="D52" s="125"/>
      <c r="E52" s="126"/>
      <c r="F52" s="30"/>
      <c r="G52" s="35"/>
      <c r="H52" s="77"/>
      <c r="I52" s="77"/>
      <c r="J52" s="77"/>
      <c r="K52" s="77"/>
      <c r="L52" s="77"/>
      <c r="M52" s="35"/>
      <c r="N52" s="35"/>
      <c r="O52" s="35"/>
      <c r="P52" s="35"/>
      <c r="Q52" s="35"/>
      <c r="R52" s="35"/>
      <c r="S52" s="35"/>
      <c r="T52" s="35"/>
      <c r="U52" s="35"/>
      <c r="V52" s="30"/>
      <c r="W52" s="30"/>
      <c r="X52" s="30"/>
      <c r="Y52" s="30"/>
      <c r="Z52" s="30"/>
      <c r="AA52" s="30"/>
      <c r="AB52" s="30"/>
      <c r="AC52" s="30"/>
      <c r="AD52" s="30"/>
      <c r="AE52" s="30"/>
    </row>
    <row r="53" ht="14.25" customHeight="1">
      <c r="A53" s="103"/>
      <c r="B53" s="30"/>
      <c r="C53" s="30"/>
      <c r="D53" s="125"/>
      <c r="E53" s="126"/>
      <c r="F53" s="30"/>
      <c r="G53" s="35"/>
      <c r="H53" s="77"/>
      <c r="I53" s="77"/>
      <c r="J53" s="77"/>
      <c r="K53" s="77"/>
      <c r="L53" s="77"/>
      <c r="M53" s="35"/>
      <c r="N53" s="35"/>
      <c r="O53" s="35"/>
      <c r="P53" s="35"/>
      <c r="Q53" s="35"/>
      <c r="R53" s="35"/>
      <c r="S53" s="35"/>
      <c r="T53" s="35"/>
      <c r="U53" s="35"/>
      <c r="V53" s="30"/>
      <c r="W53" s="30"/>
      <c r="X53" s="30"/>
      <c r="Y53" s="30"/>
      <c r="Z53" s="30"/>
      <c r="AA53" s="30"/>
      <c r="AB53" s="30"/>
      <c r="AC53" s="30"/>
      <c r="AD53" s="30"/>
      <c r="AE53" s="30"/>
    </row>
    <row r="54" ht="14.25" customHeight="1">
      <c r="A54" s="103"/>
      <c r="B54" s="30"/>
      <c r="C54" s="30"/>
      <c r="D54" s="125"/>
      <c r="E54" s="126"/>
      <c r="F54" s="30"/>
      <c r="G54" s="35"/>
      <c r="H54" s="77"/>
      <c r="I54" s="77"/>
      <c r="J54" s="77"/>
      <c r="K54" s="77"/>
      <c r="L54" s="77"/>
      <c r="M54" s="35"/>
      <c r="N54" s="35"/>
      <c r="O54" s="35"/>
      <c r="P54" s="35"/>
      <c r="Q54" s="35"/>
      <c r="R54" s="35"/>
      <c r="S54" s="35"/>
      <c r="T54" s="35"/>
      <c r="U54" s="35"/>
      <c r="V54" s="30"/>
      <c r="W54" s="30"/>
      <c r="X54" s="30"/>
      <c r="Y54" s="30"/>
      <c r="Z54" s="30"/>
      <c r="AA54" s="30"/>
      <c r="AB54" s="30"/>
      <c r="AC54" s="30"/>
      <c r="AD54" s="30"/>
      <c r="AE54" s="30"/>
    </row>
    <row r="55" ht="14.25" customHeight="1">
      <c r="A55" s="103"/>
      <c r="B55" s="30"/>
      <c r="C55" s="30"/>
      <c r="D55" s="125"/>
      <c r="E55" s="126"/>
      <c r="F55" s="30"/>
      <c r="G55" s="35"/>
      <c r="H55" s="77"/>
      <c r="I55" s="77"/>
      <c r="J55" s="77"/>
      <c r="K55" s="77"/>
      <c r="L55" s="77"/>
      <c r="M55" s="35"/>
      <c r="N55" s="35"/>
      <c r="O55" s="35"/>
      <c r="P55" s="35"/>
      <c r="Q55" s="35"/>
      <c r="R55" s="35"/>
      <c r="S55" s="35"/>
      <c r="T55" s="35"/>
      <c r="U55" s="35"/>
      <c r="V55" s="30"/>
      <c r="W55" s="30"/>
      <c r="X55" s="30"/>
      <c r="Y55" s="30"/>
      <c r="Z55" s="30"/>
      <c r="AA55" s="30"/>
      <c r="AB55" s="30"/>
      <c r="AC55" s="30"/>
      <c r="AD55" s="30"/>
      <c r="AE55" s="30"/>
    </row>
    <row r="56" ht="14.25" customHeight="1">
      <c r="A56" s="103"/>
      <c r="B56" s="30"/>
      <c r="C56" s="30"/>
      <c r="D56" s="125"/>
      <c r="E56" s="126"/>
      <c r="F56" s="30"/>
      <c r="G56" s="35"/>
      <c r="H56" s="77"/>
      <c r="I56" s="77"/>
      <c r="J56" s="77"/>
      <c r="K56" s="77"/>
      <c r="L56" s="77"/>
      <c r="M56" s="35"/>
      <c r="N56" s="35"/>
      <c r="O56" s="35"/>
      <c r="P56" s="35"/>
      <c r="Q56" s="35"/>
      <c r="R56" s="35"/>
      <c r="S56" s="35"/>
      <c r="T56" s="35"/>
      <c r="U56" s="35"/>
      <c r="V56" s="30"/>
      <c r="W56" s="30"/>
      <c r="X56" s="30"/>
      <c r="Y56" s="30"/>
      <c r="Z56" s="30"/>
      <c r="AA56" s="30"/>
      <c r="AB56" s="30"/>
      <c r="AC56" s="30"/>
      <c r="AD56" s="30"/>
      <c r="AE56" s="30"/>
    </row>
    <row r="57" ht="14.25" customHeight="1">
      <c r="A57" s="103"/>
      <c r="B57" s="30"/>
      <c r="C57" s="30"/>
      <c r="D57" s="125"/>
      <c r="E57" s="126"/>
      <c r="F57" s="30"/>
      <c r="G57" s="35"/>
      <c r="H57" s="77"/>
      <c r="I57" s="77"/>
      <c r="J57" s="77"/>
      <c r="K57" s="77"/>
      <c r="L57" s="77"/>
      <c r="M57" s="35"/>
      <c r="N57" s="35"/>
      <c r="O57" s="35"/>
      <c r="P57" s="35"/>
      <c r="Q57" s="35"/>
      <c r="R57" s="35"/>
      <c r="S57" s="35"/>
      <c r="T57" s="35"/>
      <c r="U57" s="35"/>
      <c r="V57" s="30"/>
      <c r="W57" s="30"/>
      <c r="X57" s="30"/>
      <c r="Y57" s="30"/>
      <c r="Z57" s="30"/>
      <c r="AA57" s="30"/>
      <c r="AB57" s="30"/>
      <c r="AC57" s="30"/>
      <c r="AD57" s="30"/>
      <c r="AE57" s="30"/>
    </row>
    <row r="58" ht="14.25" customHeight="1">
      <c r="A58" s="103"/>
      <c r="B58" s="30"/>
      <c r="C58" s="30"/>
      <c r="D58" s="125"/>
      <c r="E58" s="126"/>
      <c r="F58" s="30"/>
      <c r="G58" s="35"/>
      <c r="H58" s="77"/>
      <c r="I58" s="77"/>
      <c r="J58" s="77"/>
      <c r="K58" s="77"/>
      <c r="L58" s="77"/>
      <c r="M58" s="35"/>
      <c r="N58" s="35"/>
      <c r="O58" s="35"/>
      <c r="P58" s="35"/>
      <c r="Q58" s="35"/>
      <c r="R58" s="35"/>
      <c r="S58" s="35"/>
      <c r="T58" s="35"/>
      <c r="U58" s="35"/>
      <c r="V58" s="30"/>
      <c r="W58" s="30"/>
      <c r="X58" s="30"/>
      <c r="Y58" s="30"/>
      <c r="Z58" s="30"/>
      <c r="AA58" s="30"/>
      <c r="AB58" s="30"/>
      <c r="AC58" s="30"/>
      <c r="AD58" s="30"/>
      <c r="AE58" s="30"/>
    </row>
    <row r="59" ht="14.25" customHeight="1">
      <c r="A59" s="103"/>
      <c r="B59" s="30"/>
      <c r="C59" s="30"/>
      <c r="D59" s="125"/>
      <c r="E59" s="126"/>
      <c r="F59" s="30"/>
      <c r="G59" s="35"/>
      <c r="H59" s="77"/>
      <c r="I59" s="77"/>
      <c r="J59" s="77"/>
      <c r="K59" s="77"/>
      <c r="L59" s="77"/>
      <c r="M59" s="35"/>
      <c r="N59" s="35"/>
      <c r="O59" s="35"/>
      <c r="P59" s="35"/>
      <c r="Q59" s="35"/>
      <c r="R59" s="35"/>
      <c r="S59" s="35"/>
      <c r="T59" s="35"/>
      <c r="U59" s="35"/>
      <c r="V59" s="30"/>
      <c r="W59" s="30"/>
      <c r="X59" s="30"/>
      <c r="Y59" s="30"/>
      <c r="Z59" s="30"/>
      <c r="AA59" s="30"/>
      <c r="AB59" s="30"/>
      <c r="AC59" s="30"/>
      <c r="AD59" s="30"/>
      <c r="AE59" s="30"/>
    </row>
    <row r="60" ht="14.25" customHeight="1">
      <c r="A60" s="103"/>
      <c r="B60" s="30"/>
      <c r="C60" s="30"/>
      <c r="D60" s="125"/>
      <c r="E60" s="126"/>
      <c r="F60" s="30"/>
      <c r="G60" s="35"/>
      <c r="H60" s="77"/>
      <c r="I60" s="77"/>
      <c r="J60" s="77"/>
      <c r="K60" s="77"/>
      <c r="L60" s="77"/>
      <c r="M60" s="35"/>
      <c r="N60" s="35"/>
      <c r="O60" s="35"/>
      <c r="P60" s="35"/>
      <c r="Q60" s="35"/>
      <c r="R60" s="35"/>
      <c r="S60" s="35"/>
      <c r="T60" s="35"/>
      <c r="U60" s="35"/>
      <c r="V60" s="30"/>
      <c r="W60" s="30"/>
      <c r="X60" s="30"/>
      <c r="Y60" s="30"/>
      <c r="Z60" s="30"/>
      <c r="AA60" s="30"/>
      <c r="AB60" s="30"/>
      <c r="AC60" s="30"/>
      <c r="AD60" s="30"/>
      <c r="AE60" s="30"/>
    </row>
    <row r="61" ht="14.25" customHeight="1">
      <c r="A61" s="103"/>
      <c r="B61" s="30"/>
      <c r="C61" s="30"/>
      <c r="D61" s="125"/>
      <c r="E61" s="126"/>
      <c r="F61" s="30"/>
      <c r="G61" s="35"/>
      <c r="H61" s="77"/>
      <c r="I61" s="77"/>
      <c r="J61" s="77"/>
      <c r="K61" s="77"/>
      <c r="L61" s="77"/>
      <c r="M61" s="35"/>
      <c r="N61" s="35"/>
      <c r="O61" s="35"/>
      <c r="P61" s="35"/>
      <c r="Q61" s="35"/>
      <c r="R61" s="35"/>
      <c r="S61" s="35"/>
      <c r="T61" s="35"/>
      <c r="U61" s="35"/>
      <c r="V61" s="30"/>
      <c r="W61" s="30"/>
      <c r="X61" s="30"/>
      <c r="Y61" s="30"/>
      <c r="Z61" s="30"/>
      <c r="AA61" s="30"/>
      <c r="AB61" s="30"/>
      <c r="AC61" s="30"/>
      <c r="AD61" s="30"/>
      <c r="AE61" s="30"/>
    </row>
    <row r="62" ht="14.25" customHeight="1">
      <c r="A62" s="103"/>
      <c r="B62" s="30"/>
      <c r="C62" s="30"/>
      <c r="D62" s="125"/>
      <c r="E62" s="126"/>
      <c r="F62" s="30"/>
      <c r="G62" s="35"/>
      <c r="H62" s="77"/>
      <c r="I62" s="77"/>
      <c r="J62" s="77"/>
      <c r="K62" s="77"/>
      <c r="L62" s="77"/>
      <c r="M62" s="35"/>
      <c r="N62" s="35"/>
      <c r="O62" s="35"/>
      <c r="P62" s="35"/>
      <c r="Q62" s="35"/>
      <c r="R62" s="35"/>
      <c r="S62" s="35"/>
      <c r="T62" s="35"/>
      <c r="U62" s="35"/>
      <c r="V62" s="30"/>
      <c r="W62" s="30"/>
      <c r="X62" s="30"/>
      <c r="Y62" s="30"/>
      <c r="Z62" s="30"/>
      <c r="AA62" s="30"/>
      <c r="AB62" s="30"/>
      <c r="AC62" s="30"/>
      <c r="AD62" s="30"/>
      <c r="AE62" s="30"/>
    </row>
    <row r="63" ht="14.25" customHeight="1">
      <c r="A63" s="103"/>
      <c r="B63" s="30"/>
      <c r="C63" s="30"/>
      <c r="D63" s="125"/>
      <c r="E63" s="126"/>
      <c r="F63" s="30"/>
      <c r="G63" s="35"/>
      <c r="H63" s="77"/>
      <c r="I63" s="77"/>
      <c r="J63" s="77"/>
      <c r="K63" s="77"/>
      <c r="L63" s="77"/>
      <c r="M63" s="35"/>
      <c r="N63" s="35"/>
      <c r="O63" s="35"/>
      <c r="P63" s="35"/>
      <c r="Q63" s="35"/>
      <c r="R63" s="35"/>
      <c r="S63" s="35"/>
      <c r="T63" s="35"/>
      <c r="U63" s="35"/>
      <c r="V63" s="30"/>
      <c r="W63" s="30"/>
      <c r="X63" s="30"/>
      <c r="Y63" s="30"/>
      <c r="Z63" s="30"/>
      <c r="AA63" s="30"/>
      <c r="AB63" s="30"/>
      <c r="AC63" s="30"/>
      <c r="AD63" s="30"/>
      <c r="AE63" s="30"/>
    </row>
    <row r="64" ht="14.25" customHeight="1">
      <c r="A64" s="103"/>
      <c r="B64" s="30"/>
      <c r="C64" s="30"/>
      <c r="D64" s="125"/>
      <c r="E64" s="126"/>
      <c r="F64" s="30"/>
      <c r="G64" s="35"/>
      <c r="H64" s="77"/>
      <c r="I64" s="77"/>
      <c r="J64" s="77"/>
      <c r="K64" s="77"/>
      <c r="L64" s="77"/>
      <c r="M64" s="35"/>
      <c r="N64" s="35"/>
      <c r="O64" s="35"/>
      <c r="P64" s="35"/>
      <c r="Q64" s="35"/>
      <c r="R64" s="35"/>
      <c r="S64" s="35"/>
      <c r="T64" s="35"/>
      <c r="U64" s="35"/>
      <c r="V64" s="30"/>
      <c r="W64" s="30"/>
      <c r="X64" s="30"/>
      <c r="Y64" s="30"/>
      <c r="Z64" s="30"/>
      <c r="AA64" s="30"/>
      <c r="AB64" s="30"/>
      <c r="AC64" s="30"/>
      <c r="AD64" s="30"/>
      <c r="AE64" s="30"/>
    </row>
    <row r="65" ht="14.25" customHeight="1">
      <c r="A65" s="103"/>
      <c r="B65" s="30"/>
      <c r="C65" s="30"/>
      <c r="D65" s="125"/>
      <c r="E65" s="126"/>
      <c r="F65" s="30"/>
      <c r="G65" s="35"/>
      <c r="H65" s="77"/>
      <c r="I65" s="77"/>
      <c r="J65" s="77"/>
      <c r="K65" s="77"/>
      <c r="L65" s="77"/>
      <c r="M65" s="35"/>
      <c r="N65" s="35"/>
      <c r="O65" s="35"/>
      <c r="P65" s="35"/>
      <c r="Q65" s="35"/>
      <c r="R65" s="35"/>
      <c r="S65" s="35"/>
      <c r="T65" s="35"/>
      <c r="U65" s="35"/>
      <c r="V65" s="30"/>
      <c r="W65" s="30"/>
      <c r="X65" s="30"/>
      <c r="Y65" s="30"/>
      <c r="Z65" s="30"/>
      <c r="AA65" s="30"/>
      <c r="AB65" s="30"/>
      <c r="AC65" s="30"/>
      <c r="AD65" s="30"/>
      <c r="AE65" s="30"/>
    </row>
    <row r="66" ht="14.25" customHeight="1">
      <c r="A66" s="103"/>
      <c r="B66" s="30"/>
      <c r="C66" s="30"/>
      <c r="D66" s="125"/>
      <c r="E66" s="126"/>
      <c r="F66" s="30"/>
      <c r="G66" s="35"/>
      <c r="H66" s="77"/>
      <c r="I66" s="77"/>
      <c r="J66" s="77"/>
      <c r="K66" s="77"/>
      <c r="L66" s="77"/>
      <c r="M66" s="35"/>
      <c r="N66" s="35"/>
      <c r="O66" s="35"/>
      <c r="P66" s="35"/>
      <c r="Q66" s="35"/>
      <c r="R66" s="35"/>
      <c r="S66" s="35"/>
      <c r="T66" s="35"/>
      <c r="U66" s="35"/>
      <c r="V66" s="30"/>
      <c r="W66" s="30"/>
      <c r="X66" s="30"/>
      <c r="Y66" s="30"/>
      <c r="Z66" s="30"/>
      <c r="AA66" s="30"/>
      <c r="AB66" s="30"/>
      <c r="AC66" s="30"/>
      <c r="AD66" s="30"/>
      <c r="AE66" s="30"/>
    </row>
    <row r="67" ht="14.25" customHeight="1">
      <c r="A67" s="103"/>
      <c r="B67" s="30"/>
      <c r="C67" s="30"/>
      <c r="D67" s="125"/>
      <c r="E67" s="126"/>
      <c r="F67" s="30"/>
      <c r="G67" s="35"/>
      <c r="H67" s="77"/>
      <c r="I67" s="77"/>
      <c r="J67" s="77"/>
      <c r="K67" s="77"/>
      <c r="L67" s="77"/>
      <c r="M67" s="35"/>
      <c r="N67" s="35"/>
      <c r="O67" s="35"/>
      <c r="P67" s="35"/>
      <c r="Q67" s="35"/>
      <c r="R67" s="35"/>
      <c r="S67" s="35"/>
      <c r="T67" s="35"/>
      <c r="U67" s="35"/>
      <c r="V67" s="30"/>
      <c r="W67" s="30"/>
      <c r="X67" s="30"/>
      <c r="Y67" s="30"/>
      <c r="Z67" s="30"/>
      <c r="AA67" s="30"/>
      <c r="AB67" s="30"/>
      <c r="AC67" s="30"/>
      <c r="AD67" s="30"/>
      <c r="AE67" s="30"/>
    </row>
    <row r="68" ht="14.25" customHeight="1">
      <c r="A68" s="103"/>
      <c r="B68" s="30"/>
      <c r="C68" s="30"/>
      <c r="D68" s="125"/>
      <c r="E68" s="126"/>
      <c r="F68" s="30"/>
      <c r="G68" s="35"/>
      <c r="H68" s="77"/>
      <c r="I68" s="77"/>
      <c r="J68" s="77"/>
      <c r="K68" s="77"/>
      <c r="L68" s="77"/>
      <c r="M68" s="35"/>
      <c r="N68" s="35"/>
      <c r="O68" s="35"/>
      <c r="P68" s="35"/>
      <c r="Q68" s="35"/>
      <c r="R68" s="35"/>
      <c r="S68" s="35"/>
      <c r="T68" s="35"/>
      <c r="U68" s="35"/>
      <c r="V68" s="30"/>
      <c r="W68" s="30"/>
      <c r="X68" s="30"/>
      <c r="Y68" s="30"/>
      <c r="Z68" s="30"/>
      <c r="AA68" s="30"/>
      <c r="AB68" s="30"/>
      <c r="AC68" s="30"/>
      <c r="AD68" s="30"/>
      <c r="AE68" s="30"/>
    </row>
    <row r="69" ht="14.25" customHeight="1">
      <c r="A69" s="103"/>
      <c r="B69" s="30"/>
      <c r="C69" s="30"/>
      <c r="D69" s="125"/>
      <c r="E69" s="126"/>
      <c r="F69" s="30"/>
      <c r="G69" s="35"/>
      <c r="H69" s="77"/>
      <c r="I69" s="77"/>
      <c r="J69" s="77"/>
      <c r="K69" s="77"/>
      <c r="L69" s="77"/>
      <c r="M69" s="35"/>
      <c r="N69" s="35"/>
      <c r="O69" s="35"/>
      <c r="P69" s="35"/>
      <c r="Q69" s="35"/>
      <c r="R69" s="35"/>
      <c r="S69" s="35"/>
      <c r="T69" s="35"/>
      <c r="U69" s="35"/>
      <c r="V69" s="30"/>
      <c r="W69" s="30"/>
      <c r="X69" s="30"/>
      <c r="Y69" s="30"/>
      <c r="Z69" s="30"/>
      <c r="AA69" s="30"/>
      <c r="AB69" s="30"/>
      <c r="AC69" s="30"/>
      <c r="AD69" s="30"/>
      <c r="AE69" s="30"/>
    </row>
    <row r="70" ht="14.25" customHeight="1">
      <c r="A70" s="103"/>
      <c r="B70" s="30"/>
      <c r="C70" s="30"/>
      <c r="D70" s="125"/>
      <c r="E70" s="126"/>
      <c r="F70" s="30"/>
      <c r="G70" s="35"/>
      <c r="H70" s="77"/>
      <c r="I70" s="77"/>
      <c r="J70" s="77"/>
      <c r="K70" s="77"/>
      <c r="L70" s="77"/>
      <c r="M70" s="35"/>
      <c r="N70" s="35"/>
      <c r="O70" s="35"/>
      <c r="P70" s="35"/>
      <c r="Q70" s="35"/>
      <c r="R70" s="35"/>
      <c r="S70" s="35"/>
      <c r="T70" s="35"/>
      <c r="U70" s="35"/>
      <c r="V70" s="30"/>
      <c r="W70" s="30"/>
      <c r="X70" s="30"/>
      <c r="Y70" s="30"/>
      <c r="Z70" s="30"/>
      <c r="AA70" s="30"/>
      <c r="AB70" s="30"/>
      <c r="AC70" s="30"/>
      <c r="AD70" s="30"/>
      <c r="AE70" s="30"/>
    </row>
    <row r="71" ht="14.25" customHeight="1">
      <c r="A71" s="103"/>
      <c r="B71" s="30"/>
      <c r="C71" s="30"/>
      <c r="D71" s="125"/>
      <c r="E71" s="126"/>
      <c r="F71" s="30"/>
      <c r="G71" s="35"/>
      <c r="H71" s="77"/>
      <c r="I71" s="77"/>
      <c r="J71" s="77"/>
      <c r="K71" s="77"/>
      <c r="L71" s="77"/>
      <c r="M71" s="35"/>
      <c r="N71" s="35"/>
      <c r="O71" s="35"/>
      <c r="P71" s="35"/>
      <c r="Q71" s="35"/>
      <c r="R71" s="35"/>
      <c r="S71" s="35"/>
      <c r="T71" s="35"/>
      <c r="U71" s="35"/>
      <c r="V71" s="30"/>
      <c r="W71" s="30"/>
      <c r="X71" s="30"/>
      <c r="Y71" s="30"/>
      <c r="Z71" s="30"/>
      <c r="AA71" s="30"/>
      <c r="AB71" s="30"/>
      <c r="AC71" s="30"/>
      <c r="AD71" s="30"/>
      <c r="AE71" s="30"/>
    </row>
    <row r="72" ht="14.25" customHeight="1">
      <c r="A72" s="103"/>
      <c r="B72" s="30"/>
      <c r="C72" s="30"/>
      <c r="D72" s="125"/>
      <c r="E72" s="126"/>
      <c r="F72" s="30"/>
      <c r="G72" s="35"/>
      <c r="H72" s="77"/>
      <c r="I72" s="77"/>
      <c r="J72" s="77"/>
      <c r="K72" s="77"/>
      <c r="L72" s="77"/>
      <c r="M72" s="35"/>
      <c r="N72" s="35"/>
      <c r="O72" s="35"/>
      <c r="P72" s="35"/>
      <c r="Q72" s="35"/>
      <c r="R72" s="35"/>
      <c r="S72" s="35"/>
      <c r="T72" s="35"/>
      <c r="U72" s="35"/>
      <c r="V72" s="30"/>
      <c r="W72" s="30"/>
      <c r="X72" s="30"/>
      <c r="Y72" s="30"/>
      <c r="Z72" s="30"/>
      <c r="AA72" s="30"/>
      <c r="AB72" s="30"/>
      <c r="AC72" s="30"/>
      <c r="AD72" s="30"/>
      <c r="AE72" s="30"/>
    </row>
    <row r="73" ht="14.25" customHeight="1">
      <c r="A73" s="103"/>
      <c r="B73" s="30"/>
      <c r="C73" s="30"/>
      <c r="D73" s="125"/>
      <c r="E73" s="126"/>
      <c r="F73" s="30"/>
      <c r="G73" s="35"/>
      <c r="H73" s="77"/>
      <c r="I73" s="77"/>
      <c r="J73" s="77"/>
      <c r="K73" s="77"/>
      <c r="L73" s="77"/>
      <c r="M73" s="35"/>
      <c r="N73" s="35"/>
      <c r="O73" s="35"/>
      <c r="P73" s="35"/>
      <c r="Q73" s="35"/>
      <c r="R73" s="35"/>
      <c r="S73" s="35"/>
      <c r="T73" s="35"/>
      <c r="U73" s="35"/>
      <c r="V73" s="30"/>
      <c r="W73" s="30"/>
      <c r="X73" s="30"/>
      <c r="Y73" s="30"/>
      <c r="Z73" s="30"/>
      <c r="AA73" s="30"/>
      <c r="AB73" s="30"/>
      <c r="AC73" s="30"/>
      <c r="AD73" s="30"/>
      <c r="AE73" s="30"/>
    </row>
    <row r="74" ht="14.25" customHeight="1">
      <c r="A74" s="103"/>
      <c r="B74" s="30"/>
      <c r="C74" s="30"/>
      <c r="D74" s="125"/>
      <c r="E74" s="126"/>
      <c r="F74" s="30"/>
      <c r="G74" s="35"/>
      <c r="H74" s="77"/>
      <c r="I74" s="77"/>
      <c r="J74" s="77"/>
      <c r="K74" s="77"/>
      <c r="L74" s="77"/>
      <c r="M74" s="35"/>
      <c r="N74" s="35"/>
      <c r="O74" s="35"/>
      <c r="P74" s="35"/>
      <c r="Q74" s="35"/>
      <c r="R74" s="35"/>
      <c r="S74" s="35"/>
      <c r="T74" s="35"/>
      <c r="U74" s="35"/>
      <c r="V74" s="30"/>
      <c r="W74" s="30"/>
      <c r="X74" s="30"/>
      <c r="Y74" s="30"/>
      <c r="Z74" s="30"/>
      <c r="AA74" s="30"/>
      <c r="AB74" s="30"/>
      <c r="AC74" s="30"/>
      <c r="AD74" s="30"/>
      <c r="AE74" s="30"/>
    </row>
    <row r="75" ht="14.25" customHeight="1">
      <c r="A75" s="103"/>
      <c r="B75" s="30"/>
      <c r="C75" s="30"/>
      <c r="D75" s="125"/>
      <c r="E75" s="126"/>
      <c r="F75" s="30"/>
      <c r="G75" s="35"/>
      <c r="H75" s="77"/>
      <c r="I75" s="77"/>
      <c r="J75" s="77"/>
      <c r="K75" s="77"/>
      <c r="L75" s="77"/>
      <c r="M75" s="35"/>
      <c r="N75" s="35"/>
      <c r="O75" s="35"/>
      <c r="P75" s="35"/>
      <c r="Q75" s="35"/>
      <c r="R75" s="35"/>
      <c r="S75" s="35"/>
      <c r="T75" s="35"/>
      <c r="U75" s="35"/>
      <c r="V75" s="30"/>
      <c r="W75" s="30"/>
      <c r="X75" s="30"/>
      <c r="Y75" s="30"/>
      <c r="Z75" s="30"/>
      <c r="AA75" s="30"/>
      <c r="AB75" s="30"/>
      <c r="AC75" s="30"/>
      <c r="AD75" s="30"/>
      <c r="AE75" s="30"/>
    </row>
    <row r="76" ht="14.25" customHeight="1">
      <c r="A76" s="103"/>
      <c r="B76" s="30"/>
      <c r="C76" s="30"/>
      <c r="D76" s="125"/>
      <c r="E76" s="126"/>
      <c r="F76" s="30"/>
      <c r="G76" s="35"/>
      <c r="H76" s="77"/>
      <c r="I76" s="77"/>
      <c r="J76" s="77"/>
      <c r="K76" s="77"/>
      <c r="L76" s="77"/>
      <c r="M76" s="35"/>
      <c r="N76" s="35"/>
      <c r="O76" s="35"/>
      <c r="P76" s="35"/>
      <c r="Q76" s="35"/>
      <c r="R76" s="35"/>
      <c r="S76" s="35"/>
      <c r="T76" s="35"/>
      <c r="U76" s="35"/>
      <c r="V76" s="30"/>
      <c r="W76" s="30"/>
      <c r="X76" s="30"/>
      <c r="Y76" s="30"/>
      <c r="Z76" s="30"/>
      <c r="AA76" s="30"/>
      <c r="AB76" s="30"/>
      <c r="AC76" s="30"/>
      <c r="AD76" s="30"/>
      <c r="AE76" s="30"/>
    </row>
    <row r="77" ht="14.25" customHeight="1">
      <c r="A77" s="103"/>
      <c r="B77" s="30"/>
      <c r="C77" s="30"/>
      <c r="D77" s="125"/>
      <c r="E77" s="126"/>
      <c r="F77" s="30"/>
      <c r="G77" s="35"/>
      <c r="H77" s="77"/>
      <c r="I77" s="77"/>
      <c r="J77" s="77"/>
      <c r="K77" s="77"/>
      <c r="L77" s="77"/>
      <c r="M77" s="35"/>
      <c r="N77" s="35"/>
      <c r="O77" s="35"/>
      <c r="P77" s="35"/>
      <c r="Q77" s="35"/>
      <c r="R77" s="35"/>
      <c r="S77" s="35"/>
      <c r="T77" s="35"/>
      <c r="U77" s="35"/>
      <c r="V77" s="30"/>
      <c r="W77" s="30"/>
      <c r="X77" s="30"/>
      <c r="Y77" s="30"/>
      <c r="Z77" s="30"/>
      <c r="AA77" s="30"/>
      <c r="AB77" s="30"/>
      <c r="AC77" s="30"/>
      <c r="AD77" s="30"/>
      <c r="AE77" s="30"/>
    </row>
    <row r="78" ht="14.25" customHeight="1">
      <c r="A78" s="103"/>
      <c r="B78" s="30"/>
      <c r="C78" s="30"/>
      <c r="D78" s="125"/>
      <c r="E78" s="126"/>
      <c r="F78" s="30"/>
      <c r="G78" s="35"/>
      <c r="H78" s="77"/>
      <c r="I78" s="77"/>
      <c r="J78" s="77"/>
      <c r="K78" s="77"/>
      <c r="L78" s="77"/>
      <c r="M78" s="35"/>
      <c r="N78" s="35"/>
      <c r="O78" s="35"/>
      <c r="P78" s="35"/>
      <c r="Q78" s="35"/>
      <c r="R78" s="35"/>
      <c r="S78" s="35"/>
      <c r="T78" s="35"/>
      <c r="U78" s="35"/>
      <c r="V78" s="30"/>
      <c r="W78" s="30"/>
      <c r="X78" s="30"/>
      <c r="Y78" s="30"/>
      <c r="Z78" s="30"/>
      <c r="AA78" s="30"/>
      <c r="AB78" s="30"/>
      <c r="AC78" s="30"/>
      <c r="AD78" s="30"/>
      <c r="AE78" s="30"/>
    </row>
    <row r="79" ht="14.25" customHeight="1">
      <c r="A79" s="103"/>
      <c r="B79" s="30"/>
      <c r="C79" s="30"/>
      <c r="D79" s="125"/>
      <c r="E79" s="126"/>
      <c r="F79" s="30"/>
      <c r="G79" s="35"/>
      <c r="H79" s="77"/>
      <c r="I79" s="77"/>
      <c r="J79" s="77"/>
      <c r="K79" s="77"/>
      <c r="L79" s="77"/>
      <c r="M79" s="35"/>
      <c r="N79" s="35"/>
      <c r="O79" s="35"/>
      <c r="P79" s="35"/>
      <c r="Q79" s="35"/>
      <c r="R79" s="35"/>
      <c r="S79" s="35"/>
      <c r="T79" s="35"/>
      <c r="U79" s="35"/>
      <c r="V79" s="30"/>
      <c r="W79" s="30"/>
      <c r="X79" s="30"/>
      <c r="Y79" s="30"/>
      <c r="Z79" s="30"/>
      <c r="AA79" s="30"/>
      <c r="AB79" s="30"/>
      <c r="AC79" s="30"/>
      <c r="AD79" s="30"/>
      <c r="AE79" s="30"/>
    </row>
    <row r="80" ht="14.25" customHeight="1">
      <c r="A80" s="103"/>
      <c r="B80" s="30"/>
      <c r="C80" s="30"/>
      <c r="D80" s="125"/>
      <c r="E80" s="126"/>
      <c r="F80" s="30"/>
      <c r="G80" s="35"/>
      <c r="H80" s="77"/>
      <c r="I80" s="77"/>
      <c r="J80" s="77"/>
      <c r="K80" s="77"/>
      <c r="L80" s="77"/>
      <c r="M80" s="35"/>
      <c r="N80" s="35"/>
      <c r="O80" s="35"/>
      <c r="P80" s="35"/>
      <c r="Q80" s="35"/>
      <c r="R80" s="35"/>
      <c r="S80" s="35"/>
      <c r="T80" s="35"/>
      <c r="U80" s="35"/>
      <c r="V80" s="30"/>
      <c r="W80" s="30"/>
      <c r="X80" s="30"/>
      <c r="Y80" s="30"/>
      <c r="Z80" s="30"/>
      <c r="AA80" s="30"/>
      <c r="AB80" s="30"/>
      <c r="AC80" s="30"/>
      <c r="AD80" s="30"/>
      <c r="AE80" s="30"/>
    </row>
    <row r="81" ht="14.25" customHeight="1">
      <c r="A81" s="103"/>
      <c r="B81" s="30"/>
      <c r="C81" s="30"/>
      <c r="D81" s="125"/>
      <c r="E81" s="126"/>
      <c r="F81" s="30"/>
      <c r="G81" s="35"/>
      <c r="H81" s="77"/>
      <c r="I81" s="77"/>
      <c r="J81" s="77"/>
      <c r="K81" s="77"/>
      <c r="L81" s="77"/>
      <c r="M81" s="35"/>
      <c r="N81" s="35"/>
      <c r="O81" s="35"/>
      <c r="P81" s="35"/>
      <c r="Q81" s="35"/>
      <c r="R81" s="35"/>
      <c r="S81" s="35"/>
      <c r="T81" s="35"/>
      <c r="U81" s="35"/>
      <c r="V81" s="30"/>
      <c r="W81" s="30"/>
      <c r="X81" s="30"/>
      <c r="Y81" s="30"/>
      <c r="Z81" s="30"/>
      <c r="AA81" s="30"/>
      <c r="AB81" s="30"/>
      <c r="AC81" s="30"/>
      <c r="AD81" s="30"/>
      <c r="AE81" s="30"/>
    </row>
    <row r="82" ht="14.25" customHeight="1">
      <c r="A82" s="103"/>
      <c r="B82" s="30"/>
      <c r="C82" s="30"/>
      <c r="D82" s="125"/>
      <c r="E82" s="126"/>
      <c r="F82" s="30"/>
      <c r="G82" s="35"/>
      <c r="H82" s="77"/>
      <c r="I82" s="77"/>
      <c r="J82" s="77"/>
      <c r="K82" s="77"/>
      <c r="L82" s="77"/>
      <c r="M82" s="35"/>
      <c r="N82" s="35"/>
      <c r="O82" s="35"/>
      <c r="P82" s="35"/>
      <c r="Q82" s="35"/>
      <c r="R82" s="35"/>
      <c r="S82" s="35"/>
      <c r="T82" s="35"/>
      <c r="U82" s="35"/>
      <c r="V82" s="30"/>
      <c r="W82" s="30"/>
      <c r="X82" s="30"/>
      <c r="Y82" s="30"/>
      <c r="Z82" s="30"/>
      <c r="AA82" s="30"/>
      <c r="AB82" s="30"/>
      <c r="AC82" s="30"/>
      <c r="AD82" s="30"/>
      <c r="AE82" s="30"/>
    </row>
    <row r="83" ht="14.25" customHeight="1">
      <c r="A83" s="103"/>
      <c r="B83" s="30"/>
      <c r="C83" s="30"/>
      <c r="D83" s="125"/>
      <c r="E83" s="126"/>
      <c r="F83" s="30"/>
      <c r="G83" s="35"/>
      <c r="H83" s="77"/>
      <c r="I83" s="77"/>
      <c r="J83" s="77"/>
      <c r="K83" s="77"/>
      <c r="L83" s="77"/>
      <c r="M83" s="35"/>
      <c r="N83" s="35"/>
      <c r="O83" s="35"/>
      <c r="P83" s="35"/>
      <c r="Q83" s="35"/>
      <c r="R83" s="35"/>
      <c r="S83" s="35"/>
      <c r="T83" s="35"/>
      <c r="U83" s="35"/>
      <c r="V83" s="30"/>
      <c r="W83" s="30"/>
      <c r="X83" s="30"/>
      <c r="Y83" s="30"/>
      <c r="Z83" s="30"/>
      <c r="AA83" s="30"/>
      <c r="AB83" s="30"/>
      <c r="AC83" s="30"/>
      <c r="AD83" s="30"/>
      <c r="AE83" s="30"/>
    </row>
    <row r="84" ht="14.25" customHeight="1">
      <c r="A84" s="103"/>
      <c r="B84" s="30"/>
      <c r="C84" s="30"/>
      <c r="D84" s="125"/>
      <c r="E84" s="126"/>
      <c r="F84" s="30"/>
      <c r="G84" s="35"/>
      <c r="H84" s="77"/>
      <c r="I84" s="77"/>
      <c r="J84" s="77"/>
      <c r="K84" s="77"/>
      <c r="L84" s="77"/>
      <c r="M84" s="35"/>
      <c r="N84" s="35"/>
      <c r="O84" s="35"/>
      <c r="P84" s="35"/>
      <c r="Q84" s="35"/>
      <c r="R84" s="35"/>
      <c r="S84" s="35"/>
      <c r="T84" s="35"/>
      <c r="U84" s="35"/>
      <c r="V84" s="30"/>
      <c r="W84" s="30"/>
      <c r="X84" s="30"/>
      <c r="Y84" s="30"/>
      <c r="Z84" s="30"/>
      <c r="AA84" s="30"/>
      <c r="AB84" s="30"/>
      <c r="AC84" s="30"/>
      <c r="AD84" s="30"/>
      <c r="AE84" s="30"/>
    </row>
    <row r="85" ht="14.25" customHeight="1">
      <c r="A85" s="103"/>
      <c r="B85" s="30"/>
      <c r="C85" s="30"/>
      <c r="D85" s="125"/>
      <c r="E85" s="126"/>
      <c r="F85" s="30"/>
      <c r="G85" s="35"/>
      <c r="H85" s="77"/>
      <c r="I85" s="77"/>
      <c r="J85" s="77"/>
      <c r="K85" s="77"/>
      <c r="L85" s="77"/>
      <c r="M85" s="35"/>
      <c r="N85" s="35"/>
      <c r="O85" s="35"/>
      <c r="P85" s="35"/>
      <c r="Q85" s="35"/>
      <c r="R85" s="35"/>
      <c r="S85" s="35"/>
      <c r="T85" s="35"/>
      <c r="U85" s="35"/>
      <c r="V85" s="30"/>
      <c r="W85" s="30"/>
      <c r="X85" s="30"/>
      <c r="Y85" s="30"/>
      <c r="Z85" s="30"/>
      <c r="AA85" s="30"/>
      <c r="AB85" s="30"/>
      <c r="AC85" s="30"/>
      <c r="AD85" s="30"/>
      <c r="AE85" s="30"/>
    </row>
    <row r="86" ht="14.25" customHeight="1">
      <c r="A86" s="103"/>
      <c r="B86" s="30"/>
      <c r="C86" s="30"/>
      <c r="D86" s="125"/>
      <c r="E86" s="126"/>
      <c r="F86" s="30"/>
      <c r="G86" s="35"/>
      <c r="H86" s="77"/>
      <c r="I86" s="77"/>
      <c r="J86" s="77"/>
      <c r="K86" s="77"/>
      <c r="L86" s="77"/>
      <c r="M86" s="35"/>
      <c r="N86" s="35"/>
      <c r="O86" s="35"/>
      <c r="P86" s="35"/>
      <c r="Q86" s="35"/>
      <c r="R86" s="35"/>
      <c r="S86" s="35"/>
      <c r="T86" s="35"/>
      <c r="U86" s="35"/>
      <c r="V86" s="30"/>
      <c r="W86" s="30"/>
      <c r="X86" s="30"/>
      <c r="Y86" s="30"/>
      <c r="Z86" s="30"/>
      <c r="AA86" s="30"/>
      <c r="AB86" s="30"/>
      <c r="AC86" s="30"/>
      <c r="AD86" s="30"/>
      <c r="AE86" s="30"/>
    </row>
    <row r="87" ht="14.25" customHeight="1">
      <c r="A87" s="103"/>
      <c r="B87" s="30"/>
      <c r="C87" s="30"/>
      <c r="D87" s="125"/>
      <c r="E87" s="126"/>
      <c r="F87" s="30"/>
      <c r="G87" s="35"/>
      <c r="H87" s="77"/>
      <c r="I87" s="77"/>
      <c r="J87" s="77"/>
      <c r="K87" s="77"/>
      <c r="L87" s="77"/>
      <c r="M87" s="35"/>
      <c r="N87" s="35"/>
      <c r="O87" s="35"/>
      <c r="P87" s="35"/>
      <c r="Q87" s="35"/>
      <c r="R87" s="35"/>
      <c r="S87" s="35"/>
      <c r="T87" s="35"/>
      <c r="U87" s="35"/>
      <c r="V87" s="30"/>
      <c r="W87" s="30"/>
      <c r="X87" s="30"/>
      <c r="Y87" s="30"/>
      <c r="Z87" s="30"/>
      <c r="AA87" s="30"/>
      <c r="AB87" s="30"/>
      <c r="AC87" s="30"/>
      <c r="AD87" s="30"/>
      <c r="AE87" s="30"/>
    </row>
    <row r="88" ht="14.25" customHeight="1">
      <c r="A88" s="103"/>
      <c r="B88" s="30"/>
      <c r="C88" s="30"/>
      <c r="D88" s="125"/>
      <c r="E88" s="126"/>
      <c r="F88" s="30"/>
      <c r="G88" s="35"/>
      <c r="H88" s="77"/>
      <c r="I88" s="77"/>
      <c r="J88" s="77"/>
      <c r="K88" s="77"/>
      <c r="L88" s="77"/>
      <c r="M88" s="35"/>
      <c r="N88" s="35"/>
      <c r="O88" s="35"/>
      <c r="P88" s="35"/>
      <c r="Q88" s="35"/>
      <c r="R88" s="35"/>
      <c r="S88" s="35"/>
      <c r="T88" s="35"/>
      <c r="U88" s="35"/>
      <c r="V88" s="30"/>
      <c r="W88" s="30"/>
      <c r="X88" s="30"/>
      <c r="Y88" s="30"/>
      <c r="Z88" s="30"/>
      <c r="AA88" s="30"/>
      <c r="AB88" s="30"/>
      <c r="AC88" s="30"/>
      <c r="AD88" s="30"/>
      <c r="AE88" s="30"/>
    </row>
    <row r="89" ht="14.25" customHeight="1">
      <c r="A89" s="103"/>
      <c r="B89" s="30"/>
      <c r="C89" s="30"/>
      <c r="D89" s="125"/>
      <c r="E89" s="126"/>
      <c r="F89" s="30"/>
      <c r="G89" s="35"/>
      <c r="H89" s="77"/>
      <c r="I89" s="77"/>
      <c r="J89" s="77"/>
      <c r="K89" s="77"/>
      <c r="L89" s="77"/>
      <c r="M89" s="35"/>
      <c r="N89" s="35"/>
      <c r="O89" s="35"/>
      <c r="P89" s="35"/>
      <c r="Q89" s="35"/>
      <c r="R89" s="35"/>
      <c r="S89" s="35"/>
      <c r="T89" s="35"/>
      <c r="U89" s="35"/>
      <c r="V89" s="30"/>
      <c r="W89" s="30"/>
      <c r="X89" s="30"/>
      <c r="Y89" s="30"/>
      <c r="Z89" s="30"/>
      <c r="AA89" s="30"/>
      <c r="AB89" s="30"/>
      <c r="AC89" s="30"/>
      <c r="AD89" s="30"/>
      <c r="AE89" s="30"/>
    </row>
    <row r="90" ht="14.25" customHeight="1">
      <c r="A90" s="103"/>
      <c r="B90" s="30"/>
      <c r="C90" s="30"/>
      <c r="D90" s="125"/>
      <c r="E90" s="126"/>
      <c r="F90" s="30"/>
      <c r="G90" s="35"/>
      <c r="H90" s="77"/>
      <c r="I90" s="77"/>
      <c r="J90" s="77"/>
      <c r="K90" s="77"/>
      <c r="L90" s="77"/>
      <c r="M90" s="35"/>
      <c r="N90" s="35"/>
      <c r="O90" s="35"/>
      <c r="P90" s="35"/>
      <c r="Q90" s="35"/>
      <c r="R90" s="35"/>
      <c r="S90" s="35"/>
      <c r="T90" s="35"/>
      <c r="U90" s="35"/>
      <c r="V90" s="30"/>
      <c r="W90" s="30"/>
      <c r="X90" s="30"/>
      <c r="Y90" s="30"/>
      <c r="Z90" s="30"/>
      <c r="AA90" s="30"/>
      <c r="AB90" s="30"/>
      <c r="AC90" s="30"/>
      <c r="AD90" s="30"/>
      <c r="AE90" s="30"/>
    </row>
    <row r="91" ht="14.25" customHeight="1">
      <c r="A91" s="103"/>
      <c r="B91" s="30"/>
      <c r="C91" s="30"/>
      <c r="D91" s="125"/>
      <c r="E91" s="126"/>
      <c r="F91" s="30"/>
      <c r="G91" s="35"/>
      <c r="H91" s="77"/>
      <c r="I91" s="77"/>
      <c r="J91" s="77"/>
      <c r="K91" s="77"/>
      <c r="L91" s="77"/>
      <c r="M91" s="35"/>
      <c r="N91" s="35"/>
      <c r="O91" s="35"/>
      <c r="P91" s="35"/>
      <c r="Q91" s="35"/>
      <c r="R91" s="35"/>
      <c r="S91" s="35"/>
      <c r="T91" s="35"/>
      <c r="U91" s="35"/>
      <c r="V91" s="30"/>
      <c r="W91" s="30"/>
      <c r="X91" s="30"/>
      <c r="Y91" s="30"/>
      <c r="Z91" s="30"/>
      <c r="AA91" s="30"/>
      <c r="AB91" s="30"/>
      <c r="AC91" s="30"/>
      <c r="AD91" s="30"/>
      <c r="AE91" s="30"/>
    </row>
    <row r="92" ht="14.25" customHeight="1">
      <c r="A92" s="103"/>
      <c r="B92" s="30"/>
      <c r="C92" s="30"/>
      <c r="D92" s="125"/>
      <c r="E92" s="126"/>
      <c r="F92" s="30"/>
      <c r="G92" s="35"/>
      <c r="H92" s="77"/>
      <c r="I92" s="77"/>
      <c r="J92" s="77"/>
      <c r="K92" s="77"/>
      <c r="L92" s="77"/>
      <c r="M92" s="35"/>
      <c r="N92" s="35"/>
      <c r="O92" s="35"/>
      <c r="P92" s="35"/>
      <c r="Q92" s="35"/>
      <c r="R92" s="35"/>
      <c r="S92" s="35"/>
      <c r="T92" s="35"/>
      <c r="U92" s="35"/>
      <c r="V92" s="30"/>
      <c r="W92" s="30"/>
      <c r="X92" s="30"/>
      <c r="Y92" s="30"/>
      <c r="Z92" s="30"/>
      <c r="AA92" s="30"/>
      <c r="AB92" s="30"/>
      <c r="AC92" s="30"/>
      <c r="AD92" s="30"/>
      <c r="AE92" s="30"/>
    </row>
    <row r="93" ht="14.25" customHeight="1">
      <c r="A93" s="103"/>
      <c r="B93" s="30"/>
      <c r="C93" s="30"/>
      <c r="D93" s="125"/>
      <c r="E93" s="126"/>
      <c r="F93" s="30"/>
      <c r="G93" s="35"/>
      <c r="H93" s="77"/>
      <c r="I93" s="77"/>
      <c r="J93" s="77"/>
      <c r="K93" s="77"/>
      <c r="L93" s="77"/>
      <c r="M93" s="35"/>
      <c r="N93" s="35"/>
      <c r="O93" s="35"/>
      <c r="P93" s="35"/>
      <c r="Q93" s="35"/>
      <c r="R93" s="35"/>
      <c r="S93" s="35"/>
      <c r="T93" s="35"/>
      <c r="U93" s="35"/>
      <c r="V93" s="30"/>
      <c r="W93" s="30"/>
      <c r="X93" s="30"/>
      <c r="Y93" s="30"/>
      <c r="Z93" s="30"/>
      <c r="AA93" s="30"/>
      <c r="AB93" s="30"/>
      <c r="AC93" s="30"/>
      <c r="AD93" s="30"/>
      <c r="AE93" s="30"/>
    </row>
    <row r="94" ht="14.25" customHeight="1">
      <c r="A94" s="103"/>
      <c r="B94" s="30"/>
      <c r="C94" s="30"/>
      <c r="D94" s="125"/>
      <c r="E94" s="126"/>
      <c r="F94" s="30"/>
      <c r="G94" s="35"/>
      <c r="H94" s="77"/>
      <c r="I94" s="77"/>
      <c r="J94" s="77"/>
      <c r="K94" s="77"/>
      <c r="L94" s="77"/>
      <c r="M94" s="35"/>
      <c r="N94" s="35"/>
      <c r="O94" s="35"/>
      <c r="P94" s="35"/>
      <c r="Q94" s="35"/>
      <c r="R94" s="35"/>
      <c r="S94" s="35"/>
      <c r="T94" s="35"/>
      <c r="U94" s="35"/>
      <c r="V94" s="30"/>
      <c r="W94" s="30"/>
      <c r="X94" s="30"/>
      <c r="Y94" s="30"/>
      <c r="Z94" s="30"/>
      <c r="AA94" s="30"/>
      <c r="AB94" s="30"/>
      <c r="AC94" s="30"/>
      <c r="AD94" s="30"/>
      <c r="AE94" s="30"/>
    </row>
    <row r="95" ht="14.25" customHeight="1">
      <c r="A95" s="103"/>
      <c r="B95" s="30"/>
      <c r="C95" s="30"/>
      <c r="D95" s="125"/>
      <c r="E95" s="126"/>
      <c r="F95" s="30"/>
      <c r="G95" s="35"/>
      <c r="H95" s="77"/>
      <c r="I95" s="77"/>
      <c r="J95" s="77"/>
      <c r="K95" s="77"/>
      <c r="L95" s="77"/>
      <c r="M95" s="35"/>
      <c r="N95" s="35"/>
      <c r="O95" s="35"/>
      <c r="P95" s="35"/>
      <c r="Q95" s="35"/>
      <c r="R95" s="35"/>
      <c r="S95" s="35"/>
      <c r="T95" s="35"/>
      <c r="U95" s="35"/>
      <c r="V95" s="30"/>
      <c r="W95" s="30"/>
      <c r="X95" s="30"/>
      <c r="Y95" s="30"/>
      <c r="Z95" s="30"/>
      <c r="AA95" s="30"/>
      <c r="AB95" s="30"/>
      <c r="AC95" s="30"/>
      <c r="AD95" s="30"/>
      <c r="AE95" s="30"/>
    </row>
    <row r="96" ht="14.25" customHeight="1">
      <c r="A96" s="103"/>
      <c r="B96" s="30"/>
      <c r="C96" s="30"/>
      <c r="D96" s="125"/>
      <c r="E96" s="126"/>
      <c r="F96" s="30"/>
      <c r="G96" s="35"/>
      <c r="H96" s="77"/>
      <c r="I96" s="77"/>
      <c r="J96" s="77"/>
      <c r="K96" s="77"/>
      <c r="L96" s="77"/>
      <c r="M96" s="35"/>
      <c r="N96" s="35"/>
      <c r="O96" s="35"/>
      <c r="P96" s="35"/>
      <c r="Q96" s="35"/>
      <c r="R96" s="35"/>
      <c r="S96" s="35"/>
      <c r="T96" s="35"/>
      <c r="U96" s="35"/>
      <c r="V96" s="30"/>
      <c r="W96" s="30"/>
      <c r="X96" s="30"/>
      <c r="Y96" s="30"/>
      <c r="Z96" s="30"/>
      <c r="AA96" s="30"/>
      <c r="AB96" s="30"/>
      <c r="AC96" s="30"/>
      <c r="AD96" s="30"/>
      <c r="AE96" s="30"/>
    </row>
    <row r="97" ht="14.25" customHeight="1">
      <c r="A97" s="103"/>
      <c r="B97" s="30"/>
      <c r="C97" s="30"/>
      <c r="D97" s="125"/>
      <c r="E97" s="126"/>
      <c r="F97" s="30"/>
      <c r="G97" s="35"/>
      <c r="H97" s="77"/>
      <c r="I97" s="77"/>
      <c r="J97" s="77"/>
      <c r="K97" s="77"/>
      <c r="L97" s="77"/>
      <c r="M97" s="35"/>
      <c r="N97" s="35"/>
      <c r="O97" s="35"/>
      <c r="P97" s="35"/>
      <c r="Q97" s="35"/>
      <c r="R97" s="35"/>
      <c r="S97" s="35"/>
      <c r="T97" s="35"/>
      <c r="U97" s="35"/>
      <c r="V97" s="30"/>
      <c r="W97" s="30"/>
      <c r="X97" s="30"/>
      <c r="Y97" s="30"/>
      <c r="Z97" s="30"/>
      <c r="AA97" s="30"/>
      <c r="AB97" s="30"/>
      <c r="AC97" s="30"/>
      <c r="AD97" s="30"/>
      <c r="AE97" s="30"/>
    </row>
    <row r="98" ht="14.25" customHeight="1">
      <c r="A98" s="103"/>
      <c r="B98" s="30"/>
      <c r="C98" s="30"/>
      <c r="D98" s="125"/>
      <c r="E98" s="126"/>
      <c r="F98" s="30"/>
      <c r="G98" s="35"/>
      <c r="H98" s="77"/>
      <c r="I98" s="77"/>
      <c r="J98" s="77"/>
      <c r="K98" s="77"/>
      <c r="L98" s="77"/>
      <c r="M98" s="35"/>
      <c r="N98" s="35"/>
      <c r="O98" s="35"/>
      <c r="P98" s="35"/>
      <c r="Q98" s="35"/>
      <c r="R98" s="35"/>
      <c r="S98" s="35"/>
      <c r="T98" s="35"/>
      <c r="U98" s="35"/>
      <c r="V98" s="30"/>
      <c r="W98" s="30"/>
      <c r="X98" s="30"/>
      <c r="Y98" s="30"/>
      <c r="Z98" s="30"/>
      <c r="AA98" s="30"/>
      <c r="AB98" s="30"/>
      <c r="AC98" s="30"/>
      <c r="AD98" s="30"/>
      <c r="AE98" s="30"/>
    </row>
    <row r="99" ht="14.25" customHeight="1">
      <c r="A99" s="103"/>
      <c r="B99" s="30"/>
      <c r="C99" s="30"/>
      <c r="D99" s="125"/>
      <c r="E99" s="126"/>
      <c r="F99" s="30"/>
      <c r="G99" s="35"/>
      <c r="H99" s="77"/>
      <c r="I99" s="77"/>
      <c r="J99" s="77"/>
      <c r="K99" s="77"/>
      <c r="L99" s="77"/>
      <c r="M99" s="35"/>
      <c r="N99" s="35"/>
      <c r="O99" s="35"/>
      <c r="P99" s="35"/>
      <c r="Q99" s="35"/>
      <c r="R99" s="35"/>
      <c r="S99" s="35"/>
      <c r="T99" s="35"/>
      <c r="U99" s="35"/>
      <c r="V99" s="30"/>
      <c r="W99" s="30"/>
      <c r="X99" s="30"/>
      <c r="Y99" s="30"/>
      <c r="Z99" s="30"/>
      <c r="AA99" s="30"/>
      <c r="AB99" s="30"/>
      <c r="AC99" s="30"/>
      <c r="AD99" s="30"/>
      <c r="AE99" s="30"/>
    </row>
    <row r="100" ht="14.25" customHeight="1">
      <c r="A100" s="103"/>
      <c r="B100" s="30"/>
      <c r="C100" s="30"/>
      <c r="D100" s="125"/>
      <c r="E100" s="126"/>
      <c r="F100" s="30"/>
      <c r="G100" s="35"/>
      <c r="H100" s="77"/>
      <c r="I100" s="77"/>
      <c r="J100" s="77"/>
      <c r="K100" s="77"/>
      <c r="L100" s="77"/>
      <c r="M100" s="35"/>
      <c r="N100" s="35"/>
      <c r="O100" s="35"/>
      <c r="P100" s="35"/>
      <c r="Q100" s="35"/>
      <c r="R100" s="35"/>
      <c r="S100" s="35"/>
      <c r="T100" s="35"/>
      <c r="U100" s="35"/>
      <c r="V100" s="30"/>
      <c r="W100" s="30"/>
      <c r="X100" s="30"/>
      <c r="Y100" s="30"/>
      <c r="Z100" s="30"/>
      <c r="AA100" s="30"/>
      <c r="AB100" s="30"/>
      <c r="AC100" s="30"/>
      <c r="AD100" s="30"/>
      <c r="AE100" s="30"/>
    </row>
    <row r="101" ht="14.25" customHeight="1">
      <c r="A101" s="103"/>
      <c r="B101" s="30"/>
      <c r="C101" s="30"/>
      <c r="D101" s="125"/>
      <c r="E101" s="126"/>
      <c r="F101" s="30"/>
      <c r="G101" s="35"/>
      <c r="H101" s="77"/>
      <c r="I101" s="77"/>
      <c r="J101" s="77"/>
      <c r="K101" s="77"/>
      <c r="L101" s="77"/>
      <c r="M101" s="35"/>
      <c r="N101" s="35"/>
      <c r="O101" s="35"/>
      <c r="P101" s="35"/>
      <c r="Q101" s="35"/>
      <c r="R101" s="35"/>
      <c r="S101" s="35"/>
      <c r="T101" s="35"/>
      <c r="U101" s="35"/>
      <c r="V101" s="30"/>
      <c r="W101" s="30"/>
      <c r="X101" s="30"/>
      <c r="Y101" s="30"/>
      <c r="Z101" s="30"/>
      <c r="AA101" s="30"/>
      <c r="AB101" s="30"/>
      <c r="AC101" s="30"/>
      <c r="AD101" s="30"/>
      <c r="AE101" s="30"/>
    </row>
    <row r="102" ht="14.25" customHeight="1">
      <c r="A102" s="103"/>
      <c r="B102" s="30"/>
      <c r="C102" s="30"/>
      <c r="D102" s="125"/>
      <c r="E102" s="126"/>
      <c r="F102" s="30"/>
      <c r="G102" s="35"/>
      <c r="H102" s="77"/>
      <c r="I102" s="77"/>
      <c r="J102" s="77"/>
      <c r="K102" s="77"/>
      <c r="L102" s="77"/>
      <c r="M102" s="35"/>
      <c r="N102" s="35"/>
      <c r="O102" s="35"/>
      <c r="P102" s="35"/>
      <c r="Q102" s="35"/>
      <c r="R102" s="35"/>
      <c r="S102" s="35"/>
      <c r="T102" s="35"/>
      <c r="U102" s="35"/>
      <c r="V102" s="30"/>
      <c r="W102" s="30"/>
      <c r="X102" s="30"/>
      <c r="Y102" s="30"/>
      <c r="Z102" s="30"/>
      <c r="AA102" s="30"/>
      <c r="AB102" s="30"/>
      <c r="AC102" s="30"/>
      <c r="AD102" s="30"/>
      <c r="AE102" s="30"/>
    </row>
    <row r="103" ht="14.25" customHeight="1">
      <c r="A103" s="103"/>
      <c r="B103" s="30"/>
      <c r="C103" s="30"/>
      <c r="D103" s="125"/>
      <c r="E103" s="126"/>
      <c r="F103" s="30"/>
      <c r="G103" s="35"/>
      <c r="H103" s="77"/>
      <c r="I103" s="77"/>
      <c r="J103" s="77"/>
      <c r="K103" s="77"/>
      <c r="L103" s="77"/>
      <c r="M103" s="35"/>
      <c r="N103" s="35"/>
      <c r="O103" s="35"/>
      <c r="P103" s="35"/>
      <c r="Q103" s="35"/>
      <c r="R103" s="35"/>
      <c r="S103" s="35"/>
      <c r="T103" s="35"/>
      <c r="U103" s="35"/>
      <c r="V103" s="30"/>
      <c r="W103" s="30"/>
      <c r="X103" s="30"/>
      <c r="Y103" s="30"/>
      <c r="Z103" s="30"/>
      <c r="AA103" s="30"/>
      <c r="AB103" s="30"/>
      <c r="AC103" s="30"/>
      <c r="AD103" s="30"/>
      <c r="AE103" s="30"/>
    </row>
    <row r="104" ht="14.25" customHeight="1">
      <c r="A104" s="103"/>
      <c r="B104" s="30"/>
      <c r="C104" s="30"/>
      <c r="D104" s="125"/>
      <c r="E104" s="126"/>
      <c r="F104" s="30"/>
      <c r="G104" s="35"/>
      <c r="H104" s="77"/>
      <c r="I104" s="77"/>
      <c r="J104" s="77"/>
      <c r="K104" s="77"/>
      <c r="L104" s="77"/>
      <c r="M104" s="35"/>
      <c r="N104" s="35"/>
      <c r="O104" s="35"/>
      <c r="P104" s="35"/>
      <c r="Q104" s="35"/>
      <c r="R104" s="35"/>
      <c r="S104" s="35"/>
      <c r="T104" s="35"/>
      <c r="U104" s="35"/>
      <c r="V104" s="30"/>
      <c r="W104" s="30"/>
      <c r="X104" s="30"/>
      <c r="Y104" s="30"/>
      <c r="Z104" s="30"/>
      <c r="AA104" s="30"/>
      <c r="AB104" s="30"/>
      <c r="AC104" s="30"/>
      <c r="AD104" s="30"/>
      <c r="AE104" s="30"/>
    </row>
    <row r="105" ht="14.25" customHeight="1">
      <c r="A105" s="103"/>
      <c r="B105" s="30"/>
      <c r="C105" s="30"/>
      <c r="D105" s="125"/>
      <c r="E105" s="126"/>
      <c r="F105" s="30"/>
      <c r="G105" s="35"/>
      <c r="H105" s="77"/>
      <c r="I105" s="77"/>
      <c r="J105" s="77"/>
      <c r="K105" s="77"/>
      <c r="L105" s="77"/>
      <c r="M105" s="35"/>
      <c r="N105" s="35"/>
      <c r="O105" s="35"/>
      <c r="P105" s="35"/>
      <c r="Q105" s="35"/>
      <c r="R105" s="35"/>
      <c r="S105" s="35"/>
      <c r="T105" s="35"/>
      <c r="U105" s="35"/>
      <c r="V105" s="30"/>
      <c r="W105" s="30"/>
      <c r="X105" s="30"/>
      <c r="Y105" s="30"/>
      <c r="Z105" s="30"/>
      <c r="AA105" s="30"/>
      <c r="AB105" s="30"/>
      <c r="AC105" s="30"/>
      <c r="AD105" s="30"/>
      <c r="AE105" s="30"/>
    </row>
    <row r="106" ht="14.25" customHeight="1">
      <c r="A106" s="103"/>
      <c r="B106" s="30"/>
      <c r="C106" s="30"/>
      <c r="D106" s="125"/>
      <c r="E106" s="126"/>
      <c r="F106" s="30"/>
      <c r="G106" s="35"/>
      <c r="H106" s="77"/>
      <c r="I106" s="77"/>
      <c r="J106" s="77"/>
      <c r="K106" s="77"/>
      <c r="L106" s="77"/>
      <c r="M106" s="35"/>
      <c r="N106" s="35"/>
      <c r="O106" s="35"/>
      <c r="P106" s="35"/>
      <c r="Q106" s="35"/>
      <c r="R106" s="35"/>
      <c r="S106" s="35"/>
      <c r="T106" s="35"/>
      <c r="U106" s="35"/>
      <c r="V106" s="30"/>
      <c r="W106" s="30"/>
      <c r="X106" s="30"/>
      <c r="Y106" s="30"/>
      <c r="Z106" s="30"/>
      <c r="AA106" s="30"/>
      <c r="AB106" s="30"/>
      <c r="AC106" s="30"/>
      <c r="AD106" s="30"/>
      <c r="AE106" s="30"/>
    </row>
    <row r="107" ht="14.25" customHeight="1">
      <c r="A107" s="103"/>
      <c r="B107" s="30"/>
      <c r="C107" s="30"/>
      <c r="D107" s="125"/>
      <c r="E107" s="126"/>
      <c r="F107" s="30"/>
      <c r="G107" s="35"/>
      <c r="H107" s="77"/>
      <c r="I107" s="77"/>
      <c r="J107" s="77"/>
      <c r="K107" s="77"/>
      <c r="L107" s="77"/>
      <c r="M107" s="35"/>
      <c r="N107" s="35"/>
      <c r="O107" s="35"/>
      <c r="P107" s="35"/>
      <c r="Q107" s="35"/>
      <c r="R107" s="35"/>
      <c r="S107" s="35"/>
      <c r="T107" s="35"/>
      <c r="U107" s="35"/>
      <c r="V107" s="30"/>
      <c r="W107" s="30"/>
      <c r="X107" s="30"/>
      <c r="Y107" s="30"/>
      <c r="Z107" s="30"/>
      <c r="AA107" s="30"/>
      <c r="AB107" s="30"/>
      <c r="AC107" s="30"/>
      <c r="AD107" s="30"/>
      <c r="AE107" s="30"/>
    </row>
    <row r="108" ht="14.25" customHeight="1">
      <c r="A108" s="103"/>
      <c r="B108" s="30"/>
      <c r="C108" s="30"/>
      <c r="D108" s="125"/>
      <c r="E108" s="126"/>
      <c r="F108" s="30"/>
      <c r="G108" s="35"/>
      <c r="H108" s="77"/>
      <c r="I108" s="77"/>
      <c r="J108" s="77"/>
      <c r="K108" s="77"/>
      <c r="L108" s="77"/>
      <c r="M108" s="35"/>
      <c r="N108" s="35"/>
      <c r="O108" s="35"/>
      <c r="P108" s="35"/>
      <c r="Q108" s="35"/>
      <c r="R108" s="35"/>
      <c r="S108" s="35"/>
      <c r="T108" s="35"/>
      <c r="U108" s="35"/>
      <c r="V108" s="30"/>
      <c r="W108" s="30"/>
      <c r="X108" s="30"/>
      <c r="Y108" s="30"/>
      <c r="Z108" s="30"/>
      <c r="AA108" s="30"/>
      <c r="AB108" s="30"/>
      <c r="AC108" s="30"/>
      <c r="AD108" s="30"/>
      <c r="AE108" s="30"/>
    </row>
    <row r="109" ht="14.25" customHeight="1">
      <c r="A109" s="103"/>
      <c r="B109" s="30"/>
      <c r="C109" s="30"/>
      <c r="D109" s="125"/>
      <c r="E109" s="126"/>
      <c r="F109" s="30"/>
      <c r="G109" s="35"/>
      <c r="H109" s="77"/>
      <c r="I109" s="77"/>
      <c r="J109" s="77"/>
      <c r="K109" s="77"/>
      <c r="L109" s="77"/>
      <c r="M109" s="35"/>
      <c r="N109" s="35"/>
      <c r="O109" s="35"/>
      <c r="P109" s="35"/>
      <c r="Q109" s="35"/>
      <c r="R109" s="35"/>
      <c r="S109" s="35"/>
      <c r="T109" s="35"/>
      <c r="U109" s="35"/>
      <c r="V109" s="30"/>
      <c r="W109" s="30"/>
      <c r="X109" s="30"/>
      <c r="Y109" s="30"/>
      <c r="Z109" s="30"/>
      <c r="AA109" s="30"/>
      <c r="AB109" s="30"/>
      <c r="AC109" s="30"/>
      <c r="AD109" s="30"/>
      <c r="AE109" s="30"/>
    </row>
    <row r="110" ht="14.25" customHeight="1">
      <c r="A110" s="103"/>
      <c r="B110" s="30"/>
      <c r="C110" s="30"/>
      <c r="D110" s="125"/>
      <c r="E110" s="126"/>
      <c r="F110" s="30"/>
      <c r="G110" s="35"/>
      <c r="H110" s="77"/>
      <c r="I110" s="77"/>
      <c r="J110" s="77"/>
      <c r="K110" s="77"/>
      <c r="L110" s="77"/>
      <c r="M110" s="35"/>
      <c r="N110" s="35"/>
      <c r="O110" s="35"/>
      <c r="P110" s="35"/>
      <c r="Q110" s="35"/>
      <c r="R110" s="35"/>
      <c r="S110" s="35"/>
      <c r="T110" s="35"/>
      <c r="U110" s="35"/>
      <c r="V110" s="30"/>
      <c r="W110" s="30"/>
      <c r="X110" s="30"/>
      <c r="Y110" s="30"/>
      <c r="Z110" s="30"/>
      <c r="AA110" s="30"/>
      <c r="AB110" s="30"/>
      <c r="AC110" s="30"/>
      <c r="AD110" s="30"/>
      <c r="AE110" s="30"/>
    </row>
    <row r="111" ht="14.25" customHeight="1">
      <c r="A111" s="103"/>
      <c r="B111" s="30"/>
      <c r="C111" s="30"/>
      <c r="D111" s="125"/>
      <c r="E111" s="126"/>
      <c r="F111" s="30"/>
      <c r="G111" s="35"/>
      <c r="H111" s="77"/>
      <c r="I111" s="77"/>
      <c r="J111" s="77"/>
      <c r="K111" s="77"/>
      <c r="L111" s="77"/>
      <c r="M111" s="35"/>
      <c r="N111" s="35"/>
      <c r="O111" s="35"/>
      <c r="P111" s="35"/>
      <c r="Q111" s="35"/>
      <c r="R111" s="35"/>
      <c r="S111" s="35"/>
      <c r="T111" s="35"/>
      <c r="U111" s="35"/>
      <c r="V111" s="30"/>
      <c r="W111" s="30"/>
      <c r="X111" s="30"/>
      <c r="Y111" s="30"/>
      <c r="Z111" s="30"/>
      <c r="AA111" s="30"/>
      <c r="AB111" s="30"/>
      <c r="AC111" s="30"/>
      <c r="AD111" s="30"/>
      <c r="AE111" s="30"/>
    </row>
    <row r="112" ht="14.25" customHeight="1">
      <c r="A112" s="103"/>
      <c r="B112" s="30"/>
      <c r="C112" s="30"/>
      <c r="D112" s="125"/>
      <c r="E112" s="126"/>
      <c r="F112" s="30"/>
      <c r="G112" s="35"/>
      <c r="H112" s="77"/>
      <c r="I112" s="77"/>
      <c r="J112" s="77"/>
      <c r="K112" s="77"/>
      <c r="L112" s="77"/>
      <c r="M112" s="35"/>
      <c r="N112" s="35"/>
      <c r="O112" s="35"/>
      <c r="P112" s="35"/>
      <c r="Q112" s="35"/>
      <c r="R112" s="35"/>
      <c r="S112" s="35"/>
      <c r="T112" s="35"/>
      <c r="U112" s="35"/>
      <c r="V112" s="30"/>
      <c r="W112" s="30"/>
      <c r="X112" s="30"/>
      <c r="Y112" s="30"/>
      <c r="Z112" s="30"/>
      <c r="AA112" s="30"/>
      <c r="AB112" s="30"/>
      <c r="AC112" s="30"/>
      <c r="AD112" s="30"/>
      <c r="AE112" s="30"/>
    </row>
    <row r="113" ht="14.25" customHeight="1">
      <c r="A113" s="103"/>
      <c r="B113" s="30"/>
      <c r="C113" s="30"/>
      <c r="D113" s="125"/>
      <c r="E113" s="126"/>
      <c r="F113" s="30"/>
      <c r="G113" s="35"/>
      <c r="H113" s="77"/>
      <c r="I113" s="77"/>
      <c r="J113" s="77"/>
      <c r="K113" s="77"/>
      <c r="L113" s="77"/>
      <c r="M113" s="35"/>
      <c r="N113" s="35"/>
      <c r="O113" s="35"/>
      <c r="P113" s="35"/>
      <c r="Q113" s="35"/>
      <c r="R113" s="35"/>
      <c r="S113" s="35"/>
      <c r="T113" s="35"/>
      <c r="U113" s="35"/>
      <c r="V113" s="30"/>
      <c r="W113" s="30"/>
      <c r="X113" s="30"/>
      <c r="Y113" s="30"/>
      <c r="Z113" s="30"/>
      <c r="AA113" s="30"/>
      <c r="AB113" s="30"/>
      <c r="AC113" s="30"/>
      <c r="AD113" s="30"/>
      <c r="AE113" s="30"/>
    </row>
    <row r="114" ht="14.25" customHeight="1">
      <c r="A114" s="103"/>
      <c r="B114" s="30"/>
      <c r="C114" s="30"/>
      <c r="D114" s="125"/>
      <c r="E114" s="126"/>
      <c r="F114" s="30"/>
      <c r="G114" s="35"/>
      <c r="H114" s="77"/>
      <c r="I114" s="77"/>
      <c r="J114" s="77"/>
      <c r="K114" s="77"/>
      <c r="L114" s="77"/>
      <c r="M114" s="35"/>
      <c r="N114" s="35"/>
      <c r="O114" s="35"/>
      <c r="P114" s="35"/>
      <c r="Q114" s="35"/>
      <c r="R114" s="35"/>
      <c r="S114" s="35"/>
      <c r="T114" s="35"/>
      <c r="U114" s="35"/>
      <c r="V114" s="30"/>
      <c r="W114" s="30"/>
      <c r="X114" s="30"/>
      <c r="Y114" s="30"/>
      <c r="Z114" s="30"/>
      <c r="AA114" s="30"/>
      <c r="AB114" s="30"/>
      <c r="AC114" s="30"/>
      <c r="AD114" s="30"/>
      <c r="AE114" s="30"/>
    </row>
    <row r="115" ht="14.25" customHeight="1">
      <c r="A115" s="103"/>
      <c r="B115" s="30"/>
      <c r="C115" s="30"/>
      <c r="D115" s="125"/>
      <c r="E115" s="126"/>
      <c r="F115" s="30"/>
      <c r="G115" s="35"/>
      <c r="H115" s="77"/>
      <c r="I115" s="77"/>
      <c r="J115" s="77"/>
      <c r="K115" s="77"/>
      <c r="L115" s="77"/>
      <c r="M115" s="35"/>
      <c r="N115" s="35"/>
      <c r="O115" s="35"/>
      <c r="P115" s="35"/>
      <c r="Q115" s="35"/>
      <c r="R115" s="35"/>
      <c r="S115" s="35"/>
      <c r="T115" s="35"/>
      <c r="U115" s="35"/>
      <c r="V115" s="30"/>
      <c r="W115" s="30"/>
      <c r="X115" s="30"/>
      <c r="Y115" s="30"/>
      <c r="Z115" s="30"/>
      <c r="AA115" s="30"/>
      <c r="AB115" s="30"/>
      <c r="AC115" s="30"/>
      <c r="AD115" s="30"/>
      <c r="AE115" s="30"/>
    </row>
    <row r="116" ht="14.25" customHeight="1">
      <c r="A116" s="103"/>
      <c r="B116" s="30"/>
      <c r="C116" s="30"/>
      <c r="D116" s="125"/>
      <c r="E116" s="126"/>
      <c r="F116" s="30"/>
      <c r="G116" s="35"/>
      <c r="H116" s="77"/>
      <c r="I116" s="77"/>
      <c r="J116" s="77"/>
      <c r="K116" s="77"/>
      <c r="L116" s="77"/>
      <c r="M116" s="35"/>
      <c r="N116" s="35"/>
      <c r="O116" s="35"/>
      <c r="P116" s="35"/>
      <c r="Q116" s="35"/>
      <c r="R116" s="35"/>
      <c r="S116" s="35"/>
      <c r="T116" s="35"/>
      <c r="U116" s="35"/>
      <c r="V116" s="30"/>
      <c r="W116" s="30"/>
      <c r="X116" s="30"/>
      <c r="Y116" s="30"/>
      <c r="Z116" s="30"/>
      <c r="AA116" s="30"/>
      <c r="AB116" s="30"/>
      <c r="AC116" s="30"/>
      <c r="AD116" s="30"/>
      <c r="AE116" s="30"/>
    </row>
    <row r="117" ht="14.25" customHeight="1">
      <c r="A117" s="103"/>
      <c r="B117" s="30"/>
      <c r="C117" s="30"/>
      <c r="D117" s="125"/>
      <c r="E117" s="126"/>
      <c r="F117" s="30"/>
      <c r="G117" s="35"/>
      <c r="H117" s="77"/>
      <c r="I117" s="77"/>
      <c r="J117" s="77"/>
      <c r="K117" s="77"/>
      <c r="L117" s="77"/>
      <c r="M117" s="35"/>
      <c r="N117" s="35"/>
      <c r="O117" s="35"/>
      <c r="P117" s="35"/>
      <c r="Q117" s="35"/>
      <c r="R117" s="35"/>
      <c r="S117" s="35"/>
      <c r="T117" s="35"/>
      <c r="U117" s="35"/>
      <c r="V117" s="30"/>
      <c r="W117" s="30"/>
      <c r="X117" s="30"/>
      <c r="Y117" s="30"/>
      <c r="Z117" s="30"/>
      <c r="AA117" s="30"/>
      <c r="AB117" s="30"/>
      <c r="AC117" s="30"/>
      <c r="AD117" s="30"/>
      <c r="AE117" s="30"/>
    </row>
    <row r="118" ht="14.25" customHeight="1">
      <c r="A118" s="103"/>
      <c r="B118" s="30"/>
      <c r="C118" s="30"/>
      <c r="D118" s="125"/>
      <c r="E118" s="126"/>
      <c r="F118" s="30"/>
      <c r="G118" s="35"/>
      <c r="H118" s="77"/>
      <c r="I118" s="77"/>
      <c r="J118" s="77"/>
      <c r="K118" s="77"/>
      <c r="L118" s="77"/>
      <c r="M118" s="35"/>
      <c r="N118" s="35"/>
      <c r="O118" s="35"/>
      <c r="P118" s="35"/>
      <c r="Q118" s="35"/>
      <c r="R118" s="35"/>
      <c r="S118" s="35"/>
      <c r="T118" s="35"/>
      <c r="U118" s="35"/>
      <c r="V118" s="30"/>
      <c r="W118" s="30"/>
      <c r="X118" s="30"/>
      <c r="Y118" s="30"/>
      <c r="Z118" s="30"/>
      <c r="AA118" s="30"/>
      <c r="AB118" s="30"/>
      <c r="AC118" s="30"/>
      <c r="AD118" s="30"/>
      <c r="AE118" s="30"/>
    </row>
    <row r="119" ht="14.25" customHeight="1">
      <c r="A119" s="103"/>
      <c r="B119" s="30"/>
      <c r="C119" s="30"/>
      <c r="D119" s="125"/>
      <c r="E119" s="126"/>
      <c r="F119" s="30"/>
      <c r="G119" s="35"/>
      <c r="H119" s="77"/>
      <c r="I119" s="77"/>
      <c r="J119" s="77"/>
      <c r="K119" s="77"/>
      <c r="L119" s="77"/>
      <c r="M119" s="35"/>
      <c r="N119" s="35"/>
      <c r="O119" s="35"/>
      <c r="P119" s="35"/>
      <c r="Q119" s="35"/>
      <c r="R119" s="35"/>
      <c r="S119" s="35"/>
      <c r="T119" s="35"/>
      <c r="U119" s="35"/>
      <c r="V119" s="30"/>
      <c r="W119" s="30"/>
      <c r="X119" s="30"/>
      <c r="Y119" s="30"/>
      <c r="Z119" s="30"/>
      <c r="AA119" s="30"/>
      <c r="AB119" s="30"/>
      <c r="AC119" s="30"/>
      <c r="AD119" s="30"/>
      <c r="AE119" s="30"/>
    </row>
    <row r="120" ht="14.25" customHeight="1">
      <c r="A120" s="103"/>
      <c r="B120" s="30"/>
      <c r="C120" s="30"/>
      <c r="D120" s="125"/>
      <c r="E120" s="126"/>
      <c r="F120" s="30"/>
      <c r="G120" s="35"/>
      <c r="H120" s="77"/>
      <c r="I120" s="77"/>
      <c r="J120" s="77"/>
      <c r="K120" s="77"/>
      <c r="L120" s="77"/>
      <c r="M120" s="35"/>
      <c r="N120" s="35"/>
      <c r="O120" s="35"/>
      <c r="P120" s="35"/>
      <c r="Q120" s="35"/>
      <c r="R120" s="35"/>
      <c r="S120" s="35"/>
      <c r="T120" s="35"/>
      <c r="U120" s="35"/>
      <c r="V120" s="30"/>
      <c r="W120" s="30"/>
      <c r="X120" s="30"/>
      <c r="Y120" s="30"/>
      <c r="Z120" s="30"/>
      <c r="AA120" s="30"/>
      <c r="AB120" s="30"/>
      <c r="AC120" s="30"/>
      <c r="AD120" s="30"/>
      <c r="AE120" s="30"/>
    </row>
    <row r="121" ht="14.25" customHeight="1">
      <c r="A121" s="103"/>
      <c r="B121" s="30"/>
      <c r="C121" s="30"/>
      <c r="D121" s="125"/>
      <c r="E121" s="126"/>
      <c r="F121" s="30"/>
      <c r="G121" s="35"/>
      <c r="H121" s="77"/>
      <c r="I121" s="77"/>
      <c r="J121" s="77"/>
      <c r="K121" s="77"/>
      <c r="L121" s="77"/>
      <c r="M121" s="35"/>
      <c r="N121" s="35"/>
      <c r="O121" s="35"/>
      <c r="P121" s="35"/>
      <c r="Q121" s="35"/>
      <c r="R121" s="35"/>
      <c r="S121" s="35"/>
      <c r="T121" s="35"/>
      <c r="U121" s="35"/>
      <c r="V121" s="30"/>
      <c r="W121" s="30"/>
      <c r="X121" s="30"/>
      <c r="Y121" s="30"/>
      <c r="Z121" s="30"/>
      <c r="AA121" s="30"/>
      <c r="AB121" s="30"/>
      <c r="AC121" s="30"/>
      <c r="AD121" s="30"/>
      <c r="AE121" s="30"/>
    </row>
    <row r="122" ht="14.25" customHeight="1">
      <c r="A122" s="103"/>
      <c r="B122" s="30"/>
      <c r="C122" s="30"/>
      <c r="D122" s="125"/>
      <c r="E122" s="126"/>
      <c r="F122" s="30"/>
      <c r="G122" s="35"/>
      <c r="H122" s="77"/>
      <c r="I122" s="77"/>
      <c r="J122" s="77"/>
      <c r="K122" s="77"/>
      <c r="L122" s="77"/>
      <c r="M122" s="35"/>
      <c r="N122" s="35"/>
      <c r="O122" s="35"/>
      <c r="P122" s="35"/>
      <c r="Q122" s="35"/>
      <c r="R122" s="35"/>
      <c r="S122" s="35"/>
      <c r="T122" s="35"/>
      <c r="U122" s="35"/>
      <c r="V122" s="30"/>
      <c r="W122" s="30"/>
      <c r="X122" s="30"/>
      <c r="Y122" s="30"/>
      <c r="Z122" s="30"/>
      <c r="AA122" s="30"/>
      <c r="AB122" s="30"/>
      <c r="AC122" s="30"/>
      <c r="AD122" s="30"/>
      <c r="AE122" s="30"/>
    </row>
    <row r="123" ht="14.25" customHeight="1">
      <c r="A123" s="103"/>
      <c r="B123" s="30"/>
      <c r="C123" s="30"/>
      <c r="D123" s="125"/>
      <c r="E123" s="126"/>
      <c r="F123" s="30"/>
      <c r="G123" s="35"/>
      <c r="H123" s="77"/>
      <c r="I123" s="77"/>
      <c r="J123" s="77"/>
      <c r="K123" s="77"/>
      <c r="L123" s="77"/>
      <c r="M123" s="35"/>
      <c r="N123" s="35"/>
      <c r="O123" s="35"/>
      <c r="P123" s="35"/>
      <c r="Q123" s="35"/>
      <c r="R123" s="35"/>
      <c r="S123" s="35"/>
      <c r="T123" s="35"/>
      <c r="U123" s="35"/>
      <c r="V123" s="30"/>
      <c r="W123" s="30"/>
      <c r="X123" s="30"/>
      <c r="Y123" s="30"/>
      <c r="Z123" s="30"/>
      <c r="AA123" s="30"/>
      <c r="AB123" s="30"/>
      <c r="AC123" s="30"/>
      <c r="AD123" s="30"/>
      <c r="AE123" s="30"/>
    </row>
    <row r="124" ht="14.25" customHeight="1">
      <c r="A124" s="103"/>
      <c r="B124" s="30"/>
      <c r="C124" s="30"/>
      <c r="D124" s="125"/>
      <c r="E124" s="126"/>
      <c r="F124" s="30"/>
      <c r="G124" s="35"/>
      <c r="H124" s="77"/>
      <c r="I124" s="77"/>
      <c r="J124" s="77"/>
      <c r="K124" s="77"/>
      <c r="L124" s="77"/>
      <c r="M124" s="35"/>
      <c r="N124" s="35"/>
      <c r="O124" s="35"/>
      <c r="P124" s="35"/>
      <c r="Q124" s="35"/>
      <c r="R124" s="35"/>
      <c r="S124" s="35"/>
      <c r="T124" s="35"/>
      <c r="U124" s="35"/>
      <c r="V124" s="30"/>
      <c r="W124" s="30"/>
      <c r="X124" s="30"/>
      <c r="Y124" s="30"/>
      <c r="Z124" s="30"/>
      <c r="AA124" s="30"/>
      <c r="AB124" s="30"/>
      <c r="AC124" s="30"/>
      <c r="AD124" s="30"/>
      <c r="AE124" s="30"/>
    </row>
    <row r="125" ht="14.25" customHeight="1">
      <c r="A125" s="103"/>
      <c r="B125" s="30"/>
      <c r="C125" s="30"/>
      <c r="D125" s="125"/>
      <c r="E125" s="126"/>
      <c r="F125" s="30"/>
      <c r="G125" s="35"/>
      <c r="H125" s="77"/>
      <c r="I125" s="77"/>
      <c r="J125" s="77"/>
      <c r="K125" s="77"/>
      <c r="L125" s="77"/>
      <c r="M125" s="35"/>
      <c r="N125" s="35"/>
      <c r="O125" s="35"/>
      <c r="P125" s="35"/>
      <c r="Q125" s="35"/>
      <c r="R125" s="35"/>
      <c r="S125" s="35"/>
      <c r="T125" s="35"/>
      <c r="U125" s="35"/>
      <c r="V125" s="30"/>
      <c r="W125" s="30"/>
      <c r="X125" s="30"/>
      <c r="Y125" s="30"/>
      <c r="Z125" s="30"/>
      <c r="AA125" s="30"/>
      <c r="AB125" s="30"/>
      <c r="AC125" s="30"/>
      <c r="AD125" s="30"/>
      <c r="AE125" s="30"/>
    </row>
    <row r="126" ht="14.25" customHeight="1">
      <c r="A126" s="103"/>
      <c r="B126" s="30"/>
      <c r="C126" s="30"/>
      <c r="D126" s="125"/>
      <c r="E126" s="126"/>
      <c r="F126" s="30"/>
      <c r="G126" s="35"/>
      <c r="H126" s="77"/>
      <c r="I126" s="77"/>
      <c r="J126" s="77"/>
      <c r="K126" s="77"/>
      <c r="L126" s="77"/>
      <c r="M126" s="35"/>
      <c r="N126" s="35"/>
      <c r="O126" s="35"/>
      <c r="P126" s="35"/>
      <c r="Q126" s="35"/>
      <c r="R126" s="35"/>
      <c r="S126" s="35"/>
      <c r="T126" s="35"/>
      <c r="U126" s="35"/>
      <c r="V126" s="30"/>
      <c r="W126" s="30"/>
      <c r="X126" s="30"/>
      <c r="Y126" s="30"/>
      <c r="Z126" s="30"/>
      <c r="AA126" s="30"/>
      <c r="AB126" s="30"/>
      <c r="AC126" s="30"/>
      <c r="AD126" s="30"/>
      <c r="AE126" s="30"/>
    </row>
    <row r="127" ht="14.25" customHeight="1">
      <c r="A127" s="103"/>
      <c r="B127" s="30"/>
      <c r="C127" s="30"/>
      <c r="D127" s="125"/>
      <c r="E127" s="126"/>
      <c r="F127" s="30"/>
      <c r="G127" s="35"/>
      <c r="H127" s="77"/>
      <c r="I127" s="77"/>
      <c r="J127" s="77"/>
      <c r="K127" s="77"/>
      <c r="L127" s="77"/>
      <c r="M127" s="35"/>
      <c r="N127" s="35"/>
      <c r="O127" s="35"/>
      <c r="P127" s="35"/>
      <c r="Q127" s="35"/>
      <c r="R127" s="35"/>
      <c r="S127" s="35"/>
      <c r="T127" s="35"/>
      <c r="U127" s="35"/>
      <c r="V127" s="30"/>
      <c r="W127" s="30"/>
      <c r="X127" s="30"/>
      <c r="Y127" s="30"/>
      <c r="Z127" s="30"/>
      <c r="AA127" s="30"/>
      <c r="AB127" s="30"/>
      <c r="AC127" s="30"/>
      <c r="AD127" s="30"/>
      <c r="AE127" s="30"/>
    </row>
    <row r="128" ht="14.25" customHeight="1">
      <c r="A128" s="103"/>
      <c r="B128" s="30"/>
      <c r="C128" s="30"/>
      <c r="D128" s="125"/>
      <c r="E128" s="126"/>
      <c r="F128" s="30"/>
      <c r="G128" s="35"/>
      <c r="H128" s="77"/>
      <c r="I128" s="77"/>
      <c r="J128" s="77"/>
      <c r="K128" s="77"/>
      <c r="L128" s="77"/>
      <c r="M128" s="35"/>
      <c r="N128" s="35"/>
      <c r="O128" s="35"/>
      <c r="P128" s="35"/>
      <c r="Q128" s="35"/>
      <c r="R128" s="35"/>
      <c r="S128" s="35"/>
      <c r="T128" s="35"/>
      <c r="U128" s="35"/>
      <c r="V128" s="30"/>
      <c r="W128" s="30"/>
      <c r="X128" s="30"/>
      <c r="Y128" s="30"/>
      <c r="Z128" s="30"/>
      <c r="AA128" s="30"/>
      <c r="AB128" s="30"/>
      <c r="AC128" s="30"/>
      <c r="AD128" s="30"/>
      <c r="AE128" s="30"/>
    </row>
    <row r="129" ht="14.25" customHeight="1">
      <c r="A129" s="103"/>
      <c r="B129" s="30"/>
      <c r="C129" s="30"/>
      <c r="D129" s="125"/>
      <c r="E129" s="126"/>
      <c r="F129" s="30"/>
      <c r="G129" s="35"/>
      <c r="H129" s="77"/>
      <c r="I129" s="77"/>
      <c r="J129" s="77"/>
      <c r="K129" s="77"/>
      <c r="L129" s="77"/>
      <c r="M129" s="35"/>
      <c r="N129" s="35"/>
      <c r="O129" s="35"/>
      <c r="P129" s="35"/>
      <c r="Q129" s="35"/>
      <c r="R129" s="35"/>
      <c r="S129" s="35"/>
      <c r="T129" s="35"/>
      <c r="U129" s="35"/>
      <c r="V129" s="30"/>
      <c r="W129" s="30"/>
      <c r="X129" s="30"/>
      <c r="Y129" s="30"/>
      <c r="Z129" s="30"/>
      <c r="AA129" s="30"/>
      <c r="AB129" s="30"/>
      <c r="AC129" s="30"/>
      <c r="AD129" s="30"/>
      <c r="AE129" s="30"/>
    </row>
    <row r="130" ht="14.25" customHeight="1">
      <c r="A130" s="103"/>
      <c r="B130" s="30"/>
      <c r="C130" s="30"/>
      <c r="D130" s="125"/>
      <c r="E130" s="126"/>
      <c r="F130" s="30"/>
      <c r="G130" s="35"/>
      <c r="H130" s="77"/>
      <c r="I130" s="77"/>
      <c r="J130" s="77"/>
      <c r="K130" s="77"/>
      <c r="L130" s="77"/>
      <c r="M130" s="35"/>
      <c r="N130" s="35"/>
      <c r="O130" s="35"/>
      <c r="P130" s="35"/>
      <c r="Q130" s="35"/>
      <c r="R130" s="35"/>
      <c r="S130" s="35"/>
      <c r="T130" s="35"/>
      <c r="U130" s="35"/>
      <c r="V130" s="30"/>
      <c r="W130" s="30"/>
      <c r="X130" s="30"/>
      <c r="Y130" s="30"/>
      <c r="Z130" s="30"/>
      <c r="AA130" s="30"/>
      <c r="AB130" s="30"/>
      <c r="AC130" s="30"/>
      <c r="AD130" s="30"/>
      <c r="AE130" s="30"/>
    </row>
    <row r="131" ht="14.25" customHeight="1">
      <c r="A131" s="103"/>
      <c r="B131" s="30"/>
      <c r="C131" s="30"/>
      <c r="D131" s="125"/>
      <c r="E131" s="126"/>
      <c r="F131" s="30"/>
      <c r="G131" s="35"/>
      <c r="H131" s="77"/>
      <c r="I131" s="77"/>
      <c r="J131" s="77"/>
      <c r="K131" s="77"/>
      <c r="L131" s="77"/>
      <c r="M131" s="35"/>
      <c r="N131" s="35"/>
      <c r="O131" s="35"/>
      <c r="P131" s="35"/>
      <c r="Q131" s="35"/>
      <c r="R131" s="35"/>
      <c r="S131" s="35"/>
      <c r="T131" s="35"/>
      <c r="U131" s="35"/>
      <c r="V131" s="30"/>
      <c r="W131" s="30"/>
      <c r="X131" s="30"/>
      <c r="Y131" s="30"/>
      <c r="Z131" s="30"/>
      <c r="AA131" s="30"/>
      <c r="AB131" s="30"/>
      <c r="AC131" s="30"/>
      <c r="AD131" s="30"/>
      <c r="AE131" s="30"/>
    </row>
    <row r="132" ht="14.25" customHeight="1">
      <c r="A132" s="103"/>
      <c r="B132" s="30"/>
      <c r="C132" s="30"/>
      <c r="D132" s="125"/>
      <c r="E132" s="126"/>
      <c r="F132" s="30"/>
      <c r="G132" s="35"/>
      <c r="H132" s="77"/>
      <c r="I132" s="77"/>
      <c r="J132" s="77"/>
      <c r="K132" s="77"/>
      <c r="L132" s="77"/>
      <c r="M132" s="35"/>
      <c r="N132" s="35"/>
      <c r="O132" s="35"/>
      <c r="P132" s="35"/>
      <c r="Q132" s="35"/>
      <c r="R132" s="35"/>
      <c r="S132" s="35"/>
      <c r="T132" s="35"/>
      <c r="U132" s="35"/>
      <c r="V132" s="30"/>
      <c r="W132" s="30"/>
      <c r="X132" s="30"/>
      <c r="Y132" s="30"/>
      <c r="Z132" s="30"/>
      <c r="AA132" s="30"/>
      <c r="AB132" s="30"/>
      <c r="AC132" s="30"/>
      <c r="AD132" s="30"/>
      <c r="AE132" s="30"/>
    </row>
    <row r="133" ht="14.25" customHeight="1">
      <c r="A133" s="103"/>
      <c r="B133" s="30"/>
      <c r="C133" s="30"/>
      <c r="D133" s="125"/>
      <c r="E133" s="126"/>
      <c r="F133" s="30"/>
      <c r="G133" s="35"/>
      <c r="H133" s="77"/>
      <c r="I133" s="77"/>
      <c r="J133" s="77"/>
      <c r="K133" s="77"/>
      <c r="L133" s="77"/>
      <c r="M133" s="35"/>
      <c r="N133" s="35"/>
      <c r="O133" s="35"/>
      <c r="P133" s="35"/>
      <c r="Q133" s="35"/>
      <c r="R133" s="35"/>
      <c r="S133" s="35"/>
      <c r="T133" s="35"/>
      <c r="U133" s="35"/>
      <c r="V133" s="30"/>
      <c r="W133" s="30"/>
      <c r="X133" s="30"/>
      <c r="Y133" s="30"/>
      <c r="Z133" s="30"/>
      <c r="AA133" s="30"/>
      <c r="AB133" s="30"/>
      <c r="AC133" s="30"/>
      <c r="AD133" s="30"/>
      <c r="AE133" s="30"/>
    </row>
    <row r="134" ht="14.25" customHeight="1">
      <c r="A134" s="103"/>
      <c r="B134" s="30"/>
      <c r="C134" s="30"/>
      <c r="D134" s="125"/>
      <c r="E134" s="126"/>
      <c r="F134" s="30"/>
      <c r="G134" s="35"/>
      <c r="H134" s="77"/>
      <c r="I134" s="77"/>
      <c r="J134" s="77"/>
      <c r="K134" s="77"/>
      <c r="L134" s="77"/>
      <c r="M134" s="35"/>
      <c r="N134" s="35"/>
      <c r="O134" s="35"/>
      <c r="P134" s="35"/>
      <c r="Q134" s="35"/>
      <c r="R134" s="35"/>
      <c r="S134" s="35"/>
      <c r="T134" s="35"/>
      <c r="U134" s="35"/>
      <c r="V134" s="30"/>
      <c r="W134" s="30"/>
      <c r="X134" s="30"/>
      <c r="Y134" s="30"/>
      <c r="Z134" s="30"/>
      <c r="AA134" s="30"/>
      <c r="AB134" s="30"/>
      <c r="AC134" s="30"/>
      <c r="AD134" s="30"/>
      <c r="AE134" s="30"/>
    </row>
    <row r="135" ht="14.25" customHeight="1">
      <c r="A135" s="103"/>
      <c r="B135" s="30"/>
      <c r="C135" s="30"/>
      <c r="D135" s="125"/>
      <c r="E135" s="126"/>
      <c r="F135" s="30"/>
      <c r="G135" s="35"/>
      <c r="H135" s="77"/>
      <c r="I135" s="77"/>
      <c r="J135" s="77"/>
      <c r="K135" s="77"/>
      <c r="L135" s="77"/>
      <c r="M135" s="35"/>
      <c r="N135" s="35"/>
      <c r="O135" s="35"/>
      <c r="P135" s="35"/>
      <c r="Q135" s="35"/>
      <c r="R135" s="35"/>
      <c r="S135" s="35"/>
      <c r="T135" s="35"/>
      <c r="U135" s="35"/>
      <c r="V135" s="30"/>
      <c r="W135" s="30"/>
      <c r="X135" s="30"/>
      <c r="Y135" s="30"/>
      <c r="Z135" s="30"/>
      <c r="AA135" s="30"/>
      <c r="AB135" s="30"/>
      <c r="AC135" s="30"/>
      <c r="AD135" s="30"/>
      <c r="AE135" s="30"/>
    </row>
    <row r="136" ht="14.25" customHeight="1">
      <c r="A136" s="103"/>
      <c r="B136" s="30"/>
      <c r="C136" s="30"/>
      <c r="D136" s="125"/>
      <c r="E136" s="126"/>
      <c r="F136" s="30"/>
      <c r="G136" s="35"/>
      <c r="H136" s="77"/>
      <c r="I136" s="77"/>
      <c r="J136" s="77"/>
      <c r="K136" s="77"/>
      <c r="L136" s="77"/>
      <c r="M136" s="35"/>
      <c r="N136" s="35"/>
      <c r="O136" s="35"/>
      <c r="P136" s="35"/>
      <c r="Q136" s="35"/>
      <c r="R136" s="35"/>
      <c r="S136" s="35"/>
      <c r="T136" s="35"/>
      <c r="U136" s="35"/>
      <c r="V136" s="30"/>
      <c r="W136" s="30"/>
      <c r="X136" s="30"/>
      <c r="Y136" s="30"/>
      <c r="Z136" s="30"/>
      <c r="AA136" s="30"/>
      <c r="AB136" s="30"/>
      <c r="AC136" s="30"/>
      <c r="AD136" s="30"/>
      <c r="AE136" s="30"/>
    </row>
    <row r="137" ht="14.25" customHeight="1">
      <c r="A137" s="103"/>
      <c r="B137" s="30"/>
      <c r="C137" s="30"/>
      <c r="D137" s="125"/>
      <c r="E137" s="126"/>
      <c r="F137" s="30"/>
      <c r="G137" s="35"/>
      <c r="H137" s="77"/>
      <c r="I137" s="77"/>
      <c r="J137" s="77"/>
      <c r="K137" s="77"/>
      <c r="L137" s="77"/>
      <c r="M137" s="35"/>
      <c r="N137" s="35"/>
      <c r="O137" s="35"/>
      <c r="P137" s="35"/>
      <c r="Q137" s="35"/>
      <c r="R137" s="35"/>
      <c r="S137" s="35"/>
      <c r="T137" s="35"/>
      <c r="U137" s="35"/>
      <c r="V137" s="30"/>
      <c r="W137" s="30"/>
      <c r="X137" s="30"/>
      <c r="Y137" s="30"/>
      <c r="Z137" s="30"/>
      <c r="AA137" s="30"/>
      <c r="AB137" s="30"/>
      <c r="AC137" s="30"/>
      <c r="AD137" s="30"/>
      <c r="AE137" s="30"/>
    </row>
    <row r="138" ht="14.25" customHeight="1">
      <c r="A138" s="103"/>
      <c r="B138" s="30"/>
      <c r="C138" s="30"/>
      <c r="D138" s="125"/>
      <c r="E138" s="126"/>
      <c r="F138" s="30"/>
      <c r="G138" s="35"/>
      <c r="H138" s="77"/>
      <c r="I138" s="77"/>
      <c r="J138" s="77"/>
      <c r="K138" s="77"/>
      <c r="L138" s="77"/>
      <c r="M138" s="35"/>
      <c r="N138" s="35"/>
      <c r="O138" s="35"/>
      <c r="P138" s="35"/>
      <c r="Q138" s="35"/>
      <c r="R138" s="35"/>
      <c r="S138" s="35"/>
      <c r="T138" s="35"/>
      <c r="U138" s="35"/>
      <c r="V138" s="30"/>
      <c r="W138" s="30"/>
      <c r="X138" s="30"/>
      <c r="Y138" s="30"/>
      <c r="Z138" s="30"/>
      <c r="AA138" s="30"/>
      <c r="AB138" s="30"/>
      <c r="AC138" s="30"/>
      <c r="AD138" s="30"/>
      <c r="AE138" s="30"/>
    </row>
    <row r="139" ht="14.25" customHeight="1">
      <c r="A139" s="103"/>
      <c r="B139" s="30"/>
      <c r="C139" s="30"/>
      <c r="D139" s="125"/>
      <c r="E139" s="126"/>
      <c r="F139" s="30"/>
      <c r="G139" s="35"/>
      <c r="H139" s="77"/>
      <c r="I139" s="77"/>
      <c r="J139" s="77"/>
      <c r="K139" s="77"/>
      <c r="L139" s="77"/>
      <c r="M139" s="35"/>
      <c r="N139" s="35"/>
      <c r="O139" s="35"/>
      <c r="P139" s="35"/>
      <c r="Q139" s="35"/>
      <c r="R139" s="35"/>
      <c r="S139" s="35"/>
      <c r="T139" s="35"/>
      <c r="U139" s="35"/>
      <c r="V139" s="30"/>
      <c r="W139" s="30"/>
      <c r="X139" s="30"/>
      <c r="Y139" s="30"/>
      <c r="Z139" s="30"/>
      <c r="AA139" s="30"/>
      <c r="AB139" s="30"/>
      <c r="AC139" s="30"/>
      <c r="AD139" s="30"/>
      <c r="AE139" s="30"/>
    </row>
    <row r="140" ht="14.25" customHeight="1">
      <c r="A140" s="103"/>
      <c r="B140" s="30"/>
      <c r="C140" s="30"/>
      <c r="D140" s="125"/>
      <c r="E140" s="126"/>
      <c r="F140" s="30"/>
      <c r="G140" s="35"/>
      <c r="H140" s="77"/>
      <c r="I140" s="77"/>
      <c r="J140" s="77"/>
      <c r="K140" s="77"/>
      <c r="L140" s="77"/>
      <c r="M140" s="35"/>
      <c r="N140" s="35"/>
      <c r="O140" s="35"/>
      <c r="P140" s="35"/>
      <c r="Q140" s="35"/>
      <c r="R140" s="35"/>
      <c r="S140" s="35"/>
      <c r="T140" s="35"/>
      <c r="U140" s="35"/>
      <c r="V140" s="30"/>
      <c r="W140" s="30"/>
      <c r="X140" s="30"/>
      <c r="Y140" s="30"/>
      <c r="Z140" s="30"/>
      <c r="AA140" s="30"/>
      <c r="AB140" s="30"/>
      <c r="AC140" s="30"/>
      <c r="AD140" s="30"/>
      <c r="AE140" s="30"/>
    </row>
    <row r="141" ht="14.25" customHeight="1">
      <c r="A141" s="103"/>
      <c r="B141" s="30"/>
      <c r="C141" s="30"/>
      <c r="D141" s="125"/>
      <c r="E141" s="126"/>
      <c r="F141" s="30"/>
      <c r="G141" s="35"/>
      <c r="H141" s="77"/>
      <c r="I141" s="77"/>
      <c r="J141" s="77"/>
      <c r="K141" s="77"/>
      <c r="L141" s="77"/>
      <c r="M141" s="35"/>
      <c r="N141" s="35"/>
      <c r="O141" s="35"/>
      <c r="P141" s="35"/>
      <c r="Q141" s="35"/>
      <c r="R141" s="35"/>
      <c r="S141" s="35"/>
      <c r="T141" s="35"/>
      <c r="U141" s="35"/>
      <c r="V141" s="30"/>
      <c r="W141" s="30"/>
      <c r="X141" s="30"/>
      <c r="Y141" s="30"/>
      <c r="Z141" s="30"/>
      <c r="AA141" s="30"/>
      <c r="AB141" s="30"/>
      <c r="AC141" s="30"/>
      <c r="AD141" s="30"/>
      <c r="AE141" s="30"/>
    </row>
    <row r="142" ht="14.25" customHeight="1">
      <c r="A142" s="103"/>
      <c r="B142" s="30"/>
      <c r="C142" s="30"/>
      <c r="D142" s="125"/>
      <c r="E142" s="126"/>
      <c r="F142" s="30"/>
      <c r="G142" s="35"/>
      <c r="H142" s="77"/>
      <c r="I142" s="77"/>
      <c r="J142" s="77"/>
      <c r="K142" s="77"/>
      <c r="L142" s="77"/>
      <c r="M142" s="35"/>
      <c r="N142" s="35"/>
      <c r="O142" s="35"/>
      <c r="P142" s="35"/>
      <c r="Q142" s="35"/>
      <c r="R142" s="35"/>
      <c r="S142" s="35"/>
      <c r="T142" s="35"/>
      <c r="U142" s="35"/>
      <c r="V142" s="30"/>
      <c r="W142" s="30"/>
      <c r="X142" s="30"/>
      <c r="Y142" s="30"/>
      <c r="Z142" s="30"/>
      <c r="AA142" s="30"/>
      <c r="AB142" s="30"/>
      <c r="AC142" s="30"/>
      <c r="AD142" s="30"/>
      <c r="AE142" s="30"/>
    </row>
    <row r="143" ht="14.25" customHeight="1">
      <c r="A143" s="103"/>
      <c r="B143" s="30"/>
      <c r="C143" s="30"/>
      <c r="D143" s="125"/>
      <c r="E143" s="126"/>
      <c r="F143" s="30"/>
      <c r="G143" s="35"/>
      <c r="H143" s="77"/>
      <c r="I143" s="77"/>
      <c r="J143" s="77"/>
      <c r="K143" s="77"/>
      <c r="L143" s="77"/>
      <c r="M143" s="35"/>
      <c r="N143" s="35"/>
      <c r="O143" s="35"/>
      <c r="P143" s="35"/>
      <c r="Q143" s="35"/>
      <c r="R143" s="35"/>
      <c r="S143" s="35"/>
      <c r="T143" s="35"/>
      <c r="U143" s="35"/>
      <c r="V143" s="30"/>
      <c r="W143" s="30"/>
      <c r="X143" s="30"/>
      <c r="Y143" s="30"/>
      <c r="Z143" s="30"/>
      <c r="AA143" s="30"/>
      <c r="AB143" s="30"/>
      <c r="AC143" s="30"/>
      <c r="AD143" s="30"/>
      <c r="AE143" s="30"/>
    </row>
    <row r="144" ht="14.25" customHeight="1">
      <c r="A144" s="103"/>
      <c r="B144" s="30"/>
      <c r="C144" s="30"/>
      <c r="D144" s="125"/>
      <c r="E144" s="126"/>
      <c r="F144" s="30"/>
      <c r="G144" s="35"/>
      <c r="H144" s="77"/>
      <c r="I144" s="77"/>
      <c r="J144" s="77"/>
      <c r="K144" s="77"/>
      <c r="L144" s="77"/>
      <c r="M144" s="35"/>
      <c r="N144" s="35"/>
      <c r="O144" s="35"/>
      <c r="P144" s="35"/>
      <c r="Q144" s="35"/>
      <c r="R144" s="35"/>
      <c r="S144" s="35"/>
      <c r="T144" s="35"/>
      <c r="U144" s="35"/>
      <c r="V144" s="30"/>
      <c r="W144" s="30"/>
      <c r="X144" s="30"/>
      <c r="Y144" s="30"/>
      <c r="Z144" s="30"/>
      <c r="AA144" s="30"/>
      <c r="AB144" s="30"/>
      <c r="AC144" s="30"/>
      <c r="AD144" s="30"/>
      <c r="AE144" s="30"/>
    </row>
    <row r="145" ht="14.25" customHeight="1">
      <c r="A145" s="103"/>
      <c r="B145" s="30"/>
      <c r="C145" s="30"/>
      <c r="D145" s="125"/>
      <c r="E145" s="126"/>
      <c r="F145" s="30"/>
      <c r="G145" s="35"/>
      <c r="H145" s="77"/>
      <c r="I145" s="77"/>
      <c r="J145" s="77"/>
      <c r="K145" s="77"/>
      <c r="L145" s="77"/>
      <c r="M145" s="35"/>
      <c r="N145" s="35"/>
      <c r="O145" s="35"/>
      <c r="P145" s="35"/>
      <c r="Q145" s="35"/>
      <c r="R145" s="35"/>
      <c r="S145" s="35"/>
      <c r="T145" s="35"/>
      <c r="U145" s="35"/>
      <c r="V145" s="30"/>
      <c r="W145" s="30"/>
      <c r="X145" s="30"/>
      <c r="Y145" s="30"/>
      <c r="Z145" s="30"/>
      <c r="AA145" s="30"/>
      <c r="AB145" s="30"/>
      <c r="AC145" s="30"/>
      <c r="AD145" s="30"/>
      <c r="AE145" s="30"/>
    </row>
    <row r="146" ht="14.25" customHeight="1">
      <c r="A146" s="103"/>
      <c r="B146" s="30"/>
      <c r="C146" s="30"/>
      <c r="D146" s="125"/>
      <c r="E146" s="126"/>
      <c r="F146" s="30"/>
      <c r="G146" s="35"/>
      <c r="H146" s="77"/>
      <c r="I146" s="77"/>
      <c r="J146" s="77"/>
      <c r="K146" s="77"/>
      <c r="L146" s="77"/>
      <c r="M146" s="35"/>
      <c r="N146" s="35"/>
      <c r="O146" s="35"/>
      <c r="P146" s="35"/>
      <c r="Q146" s="35"/>
      <c r="R146" s="35"/>
      <c r="S146" s="35"/>
      <c r="T146" s="35"/>
      <c r="U146" s="35"/>
      <c r="V146" s="30"/>
      <c r="W146" s="30"/>
      <c r="X146" s="30"/>
      <c r="Y146" s="30"/>
      <c r="Z146" s="30"/>
      <c r="AA146" s="30"/>
      <c r="AB146" s="30"/>
      <c r="AC146" s="30"/>
      <c r="AD146" s="30"/>
      <c r="AE146" s="30"/>
    </row>
    <row r="147" ht="14.25" customHeight="1">
      <c r="A147" s="103"/>
      <c r="B147" s="30"/>
      <c r="C147" s="30"/>
      <c r="D147" s="125"/>
      <c r="E147" s="126"/>
      <c r="F147" s="30"/>
      <c r="G147" s="35"/>
      <c r="H147" s="77"/>
      <c r="I147" s="77"/>
      <c r="J147" s="77"/>
      <c r="K147" s="77"/>
      <c r="L147" s="77"/>
      <c r="M147" s="35"/>
      <c r="N147" s="35"/>
      <c r="O147" s="35"/>
      <c r="P147" s="35"/>
      <c r="Q147" s="35"/>
      <c r="R147" s="35"/>
      <c r="S147" s="35"/>
      <c r="T147" s="35"/>
      <c r="U147" s="35"/>
      <c r="V147" s="30"/>
      <c r="W147" s="30"/>
      <c r="X147" s="30"/>
      <c r="Y147" s="30"/>
      <c r="Z147" s="30"/>
      <c r="AA147" s="30"/>
      <c r="AB147" s="30"/>
      <c r="AC147" s="30"/>
      <c r="AD147" s="30"/>
      <c r="AE147" s="30"/>
    </row>
    <row r="148" ht="14.25" customHeight="1">
      <c r="A148" s="103"/>
      <c r="B148" s="30"/>
      <c r="C148" s="30"/>
      <c r="D148" s="125"/>
      <c r="E148" s="126"/>
      <c r="F148" s="30"/>
      <c r="G148" s="35"/>
      <c r="H148" s="77"/>
      <c r="I148" s="77"/>
      <c r="J148" s="77"/>
      <c r="K148" s="77"/>
      <c r="L148" s="77"/>
      <c r="M148" s="35"/>
      <c r="N148" s="35"/>
      <c r="O148" s="35"/>
      <c r="P148" s="35"/>
      <c r="Q148" s="35"/>
      <c r="R148" s="35"/>
      <c r="S148" s="35"/>
      <c r="T148" s="35"/>
      <c r="U148" s="35"/>
      <c r="V148" s="30"/>
      <c r="W148" s="30"/>
      <c r="X148" s="30"/>
      <c r="Y148" s="30"/>
      <c r="Z148" s="30"/>
      <c r="AA148" s="30"/>
      <c r="AB148" s="30"/>
      <c r="AC148" s="30"/>
      <c r="AD148" s="30"/>
      <c r="AE148" s="30"/>
    </row>
    <row r="149" ht="14.25" customHeight="1">
      <c r="A149" s="103"/>
      <c r="B149" s="30"/>
      <c r="C149" s="30"/>
      <c r="D149" s="125"/>
      <c r="E149" s="126"/>
      <c r="F149" s="30"/>
      <c r="G149" s="35"/>
      <c r="H149" s="77"/>
      <c r="I149" s="77"/>
      <c r="J149" s="77"/>
      <c r="K149" s="77"/>
      <c r="L149" s="77"/>
      <c r="M149" s="35"/>
      <c r="N149" s="35"/>
      <c r="O149" s="35"/>
      <c r="P149" s="35"/>
      <c r="Q149" s="35"/>
      <c r="R149" s="35"/>
      <c r="S149" s="35"/>
      <c r="T149" s="35"/>
      <c r="U149" s="35"/>
      <c r="V149" s="30"/>
      <c r="W149" s="30"/>
      <c r="X149" s="30"/>
      <c r="Y149" s="30"/>
      <c r="Z149" s="30"/>
      <c r="AA149" s="30"/>
      <c r="AB149" s="30"/>
      <c r="AC149" s="30"/>
      <c r="AD149" s="30"/>
      <c r="AE149" s="30"/>
    </row>
    <row r="150" ht="14.25" customHeight="1">
      <c r="A150" s="103"/>
      <c r="B150" s="30"/>
      <c r="C150" s="30"/>
      <c r="D150" s="125"/>
      <c r="E150" s="126"/>
      <c r="F150" s="30"/>
      <c r="G150" s="35"/>
      <c r="H150" s="77"/>
      <c r="I150" s="77"/>
      <c r="J150" s="77"/>
      <c r="K150" s="77"/>
      <c r="L150" s="77"/>
      <c r="M150" s="35"/>
      <c r="N150" s="35"/>
      <c r="O150" s="35"/>
      <c r="P150" s="35"/>
      <c r="Q150" s="35"/>
      <c r="R150" s="35"/>
      <c r="S150" s="35"/>
      <c r="T150" s="35"/>
      <c r="U150" s="35"/>
      <c r="V150" s="30"/>
      <c r="W150" s="30"/>
      <c r="X150" s="30"/>
      <c r="Y150" s="30"/>
      <c r="Z150" s="30"/>
      <c r="AA150" s="30"/>
      <c r="AB150" s="30"/>
      <c r="AC150" s="30"/>
      <c r="AD150" s="30"/>
      <c r="AE150" s="30"/>
    </row>
    <row r="151" ht="14.25" customHeight="1">
      <c r="A151" s="103"/>
      <c r="B151" s="30"/>
      <c r="C151" s="30"/>
      <c r="D151" s="125"/>
      <c r="E151" s="126"/>
      <c r="F151" s="30"/>
      <c r="G151" s="35"/>
      <c r="H151" s="77"/>
      <c r="I151" s="77"/>
      <c r="J151" s="77"/>
      <c r="K151" s="77"/>
      <c r="L151" s="77"/>
      <c r="M151" s="35"/>
      <c r="N151" s="35"/>
      <c r="O151" s="35"/>
      <c r="P151" s="35"/>
      <c r="Q151" s="35"/>
      <c r="R151" s="35"/>
      <c r="S151" s="35"/>
      <c r="T151" s="35"/>
      <c r="U151" s="35"/>
      <c r="V151" s="30"/>
      <c r="W151" s="30"/>
      <c r="X151" s="30"/>
      <c r="Y151" s="30"/>
      <c r="Z151" s="30"/>
      <c r="AA151" s="30"/>
      <c r="AB151" s="30"/>
      <c r="AC151" s="30"/>
      <c r="AD151" s="30"/>
      <c r="AE151" s="30"/>
    </row>
    <row r="152" ht="14.25" customHeight="1">
      <c r="A152" s="103"/>
      <c r="B152" s="30"/>
      <c r="C152" s="30"/>
      <c r="D152" s="125"/>
      <c r="E152" s="126"/>
      <c r="F152" s="30"/>
      <c r="G152" s="35"/>
      <c r="H152" s="77"/>
      <c r="I152" s="77"/>
      <c r="J152" s="77"/>
      <c r="K152" s="77"/>
      <c r="L152" s="77"/>
      <c r="M152" s="35"/>
      <c r="N152" s="35"/>
      <c r="O152" s="35"/>
      <c r="P152" s="35"/>
      <c r="Q152" s="35"/>
      <c r="R152" s="35"/>
      <c r="S152" s="35"/>
      <c r="T152" s="35"/>
      <c r="U152" s="35"/>
      <c r="V152" s="30"/>
      <c r="W152" s="30"/>
      <c r="X152" s="30"/>
      <c r="Y152" s="30"/>
      <c r="Z152" s="30"/>
      <c r="AA152" s="30"/>
      <c r="AB152" s="30"/>
      <c r="AC152" s="30"/>
      <c r="AD152" s="30"/>
      <c r="AE152" s="30"/>
    </row>
    <row r="153" ht="14.25" customHeight="1">
      <c r="A153" s="103"/>
      <c r="B153" s="30"/>
      <c r="C153" s="30"/>
      <c r="D153" s="125"/>
      <c r="E153" s="126"/>
      <c r="F153" s="30"/>
      <c r="G153" s="35"/>
      <c r="H153" s="77"/>
      <c r="I153" s="77"/>
      <c r="J153" s="77"/>
      <c r="K153" s="77"/>
      <c r="L153" s="77"/>
      <c r="M153" s="35"/>
      <c r="N153" s="35"/>
      <c r="O153" s="35"/>
      <c r="P153" s="35"/>
      <c r="Q153" s="35"/>
      <c r="R153" s="35"/>
      <c r="S153" s="35"/>
      <c r="T153" s="35"/>
      <c r="U153" s="35"/>
      <c r="V153" s="30"/>
      <c r="W153" s="30"/>
      <c r="X153" s="30"/>
      <c r="Y153" s="30"/>
      <c r="Z153" s="30"/>
      <c r="AA153" s="30"/>
      <c r="AB153" s="30"/>
      <c r="AC153" s="30"/>
      <c r="AD153" s="30"/>
      <c r="AE153" s="30"/>
    </row>
    <row r="154" ht="14.25" customHeight="1">
      <c r="A154" s="103"/>
      <c r="B154" s="30"/>
      <c r="C154" s="30"/>
      <c r="D154" s="125"/>
      <c r="E154" s="126"/>
      <c r="F154" s="30"/>
      <c r="G154" s="35"/>
      <c r="H154" s="77"/>
      <c r="I154" s="77"/>
      <c r="J154" s="77"/>
      <c r="K154" s="77"/>
      <c r="L154" s="77"/>
      <c r="M154" s="35"/>
      <c r="N154" s="35"/>
      <c r="O154" s="35"/>
      <c r="P154" s="35"/>
      <c r="Q154" s="35"/>
      <c r="R154" s="35"/>
      <c r="S154" s="35"/>
      <c r="T154" s="35"/>
      <c r="U154" s="35"/>
      <c r="V154" s="30"/>
      <c r="W154" s="30"/>
      <c r="X154" s="30"/>
      <c r="Y154" s="30"/>
      <c r="Z154" s="30"/>
      <c r="AA154" s="30"/>
      <c r="AB154" s="30"/>
      <c r="AC154" s="30"/>
      <c r="AD154" s="30"/>
      <c r="AE154" s="30"/>
    </row>
    <row r="155" ht="14.25" customHeight="1">
      <c r="A155" s="103"/>
      <c r="B155" s="30"/>
      <c r="C155" s="30"/>
      <c r="D155" s="125"/>
      <c r="E155" s="126"/>
      <c r="F155" s="30"/>
      <c r="G155" s="35"/>
      <c r="H155" s="77"/>
      <c r="I155" s="77"/>
      <c r="J155" s="77"/>
      <c r="K155" s="77"/>
      <c r="L155" s="77"/>
      <c r="M155" s="35"/>
      <c r="N155" s="35"/>
      <c r="O155" s="35"/>
      <c r="P155" s="35"/>
      <c r="Q155" s="35"/>
      <c r="R155" s="35"/>
      <c r="S155" s="35"/>
      <c r="T155" s="35"/>
      <c r="U155" s="35"/>
      <c r="V155" s="30"/>
      <c r="W155" s="30"/>
      <c r="X155" s="30"/>
      <c r="Y155" s="30"/>
      <c r="Z155" s="30"/>
      <c r="AA155" s="30"/>
      <c r="AB155" s="30"/>
      <c r="AC155" s="30"/>
      <c r="AD155" s="30"/>
      <c r="AE155" s="30"/>
    </row>
    <row r="156" ht="14.25" customHeight="1">
      <c r="A156" s="103"/>
      <c r="B156" s="30"/>
      <c r="C156" s="30"/>
      <c r="D156" s="125"/>
      <c r="E156" s="126"/>
      <c r="F156" s="30"/>
      <c r="G156" s="35"/>
      <c r="H156" s="77"/>
      <c r="I156" s="77"/>
      <c r="J156" s="77"/>
      <c r="K156" s="77"/>
      <c r="L156" s="77"/>
      <c r="M156" s="35"/>
      <c r="N156" s="35"/>
      <c r="O156" s="35"/>
      <c r="P156" s="35"/>
      <c r="Q156" s="35"/>
      <c r="R156" s="35"/>
      <c r="S156" s="35"/>
      <c r="T156" s="35"/>
      <c r="U156" s="35"/>
      <c r="V156" s="30"/>
      <c r="W156" s="30"/>
      <c r="X156" s="30"/>
      <c r="Y156" s="30"/>
      <c r="Z156" s="30"/>
      <c r="AA156" s="30"/>
      <c r="AB156" s="30"/>
      <c r="AC156" s="30"/>
      <c r="AD156" s="30"/>
      <c r="AE156" s="30"/>
    </row>
    <row r="157" ht="14.25" customHeight="1">
      <c r="A157" s="103"/>
      <c r="B157" s="30"/>
      <c r="C157" s="30"/>
      <c r="D157" s="125"/>
      <c r="E157" s="126"/>
      <c r="F157" s="30"/>
      <c r="G157" s="35"/>
      <c r="H157" s="77"/>
      <c r="I157" s="77"/>
      <c r="J157" s="77"/>
      <c r="K157" s="77"/>
      <c r="L157" s="77"/>
      <c r="M157" s="35"/>
      <c r="N157" s="35"/>
      <c r="O157" s="35"/>
      <c r="P157" s="35"/>
      <c r="Q157" s="35"/>
      <c r="R157" s="35"/>
      <c r="S157" s="35"/>
      <c r="T157" s="35"/>
      <c r="U157" s="35"/>
      <c r="V157" s="30"/>
      <c r="W157" s="30"/>
      <c r="X157" s="30"/>
      <c r="Y157" s="30"/>
      <c r="Z157" s="30"/>
      <c r="AA157" s="30"/>
      <c r="AB157" s="30"/>
      <c r="AC157" s="30"/>
      <c r="AD157" s="30"/>
      <c r="AE157" s="30"/>
    </row>
    <row r="158" ht="14.25" customHeight="1">
      <c r="A158" s="103"/>
      <c r="B158" s="30"/>
      <c r="C158" s="30"/>
      <c r="D158" s="125"/>
      <c r="E158" s="126"/>
      <c r="F158" s="30"/>
      <c r="G158" s="35"/>
      <c r="H158" s="77"/>
      <c r="I158" s="77"/>
      <c r="J158" s="77"/>
      <c r="K158" s="77"/>
      <c r="L158" s="77"/>
      <c r="M158" s="35"/>
      <c r="N158" s="35"/>
      <c r="O158" s="35"/>
      <c r="P158" s="35"/>
      <c r="Q158" s="35"/>
      <c r="R158" s="35"/>
      <c r="S158" s="35"/>
      <c r="T158" s="35"/>
      <c r="U158" s="35"/>
      <c r="V158" s="30"/>
      <c r="W158" s="30"/>
      <c r="X158" s="30"/>
      <c r="Y158" s="30"/>
      <c r="Z158" s="30"/>
      <c r="AA158" s="30"/>
      <c r="AB158" s="30"/>
      <c r="AC158" s="30"/>
      <c r="AD158" s="30"/>
      <c r="AE158" s="30"/>
    </row>
    <row r="159" ht="14.25" customHeight="1">
      <c r="A159" s="103"/>
      <c r="B159" s="30"/>
      <c r="C159" s="30"/>
      <c r="D159" s="125"/>
      <c r="E159" s="126"/>
      <c r="F159" s="30"/>
      <c r="G159" s="35"/>
      <c r="H159" s="77"/>
      <c r="I159" s="77"/>
      <c r="J159" s="77"/>
      <c r="K159" s="77"/>
      <c r="L159" s="77"/>
      <c r="M159" s="35"/>
      <c r="N159" s="35"/>
      <c r="O159" s="35"/>
      <c r="P159" s="35"/>
      <c r="Q159" s="35"/>
      <c r="R159" s="35"/>
      <c r="S159" s="35"/>
      <c r="T159" s="35"/>
      <c r="U159" s="35"/>
      <c r="V159" s="30"/>
      <c r="W159" s="30"/>
      <c r="X159" s="30"/>
      <c r="Y159" s="30"/>
      <c r="Z159" s="30"/>
      <c r="AA159" s="30"/>
      <c r="AB159" s="30"/>
      <c r="AC159" s="30"/>
      <c r="AD159" s="30"/>
      <c r="AE159" s="30"/>
    </row>
    <row r="160" ht="14.25" customHeight="1">
      <c r="A160" s="103"/>
      <c r="B160" s="30"/>
      <c r="C160" s="30"/>
      <c r="D160" s="125"/>
      <c r="E160" s="126"/>
      <c r="F160" s="30"/>
      <c r="G160" s="35"/>
      <c r="H160" s="77"/>
      <c r="I160" s="77"/>
      <c r="J160" s="77"/>
      <c r="K160" s="77"/>
      <c r="L160" s="77"/>
      <c r="M160" s="35"/>
      <c r="N160" s="35"/>
      <c r="O160" s="35"/>
      <c r="P160" s="35"/>
      <c r="Q160" s="35"/>
      <c r="R160" s="35"/>
      <c r="S160" s="35"/>
      <c r="T160" s="35"/>
      <c r="U160" s="35"/>
      <c r="V160" s="30"/>
      <c r="W160" s="30"/>
      <c r="X160" s="30"/>
      <c r="Y160" s="30"/>
      <c r="Z160" s="30"/>
      <c r="AA160" s="30"/>
      <c r="AB160" s="30"/>
      <c r="AC160" s="30"/>
      <c r="AD160" s="30"/>
      <c r="AE160" s="30"/>
    </row>
    <row r="161" ht="14.25" customHeight="1">
      <c r="A161" s="103"/>
      <c r="B161" s="30"/>
      <c r="C161" s="30"/>
      <c r="D161" s="125"/>
      <c r="E161" s="126"/>
      <c r="F161" s="30"/>
      <c r="G161" s="35"/>
      <c r="H161" s="77"/>
      <c r="I161" s="77"/>
      <c r="J161" s="77"/>
      <c r="K161" s="77"/>
      <c r="L161" s="77"/>
      <c r="M161" s="35"/>
      <c r="N161" s="35"/>
      <c r="O161" s="35"/>
      <c r="P161" s="35"/>
      <c r="Q161" s="35"/>
      <c r="R161" s="35"/>
      <c r="S161" s="35"/>
      <c r="T161" s="35"/>
      <c r="U161" s="35"/>
      <c r="V161" s="30"/>
      <c r="W161" s="30"/>
      <c r="X161" s="30"/>
      <c r="Y161" s="30"/>
      <c r="Z161" s="30"/>
      <c r="AA161" s="30"/>
      <c r="AB161" s="30"/>
      <c r="AC161" s="30"/>
      <c r="AD161" s="30"/>
      <c r="AE161" s="30"/>
    </row>
    <row r="162" ht="14.25" customHeight="1">
      <c r="A162" s="103"/>
      <c r="B162" s="30"/>
      <c r="C162" s="30"/>
      <c r="D162" s="125"/>
      <c r="E162" s="126"/>
      <c r="F162" s="30"/>
      <c r="G162" s="35"/>
      <c r="H162" s="77"/>
      <c r="I162" s="77"/>
      <c r="J162" s="77"/>
      <c r="K162" s="77"/>
      <c r="L162" s="77"/>
      <c r="M162" s="35"/>
      <c r="N162" s="35"/>
      <c r="O162" s="35"/>
      <c r="P162" s="35"/>
      <c r="Q162" s="35"/>
      <c r="R162" s="35"/>
      <c r="S162" s="35"/>
      <c r="T162" s="35"/>
      <c r="U162" s="35"/>
      <c r="V162" s="30"/>
      <c r="W162" s="30"/>
      <c r="X162" s="30"/>
      <c r="Y162" s="30"/>
      <c r="Z162" s="30"/>
      <c r="AA162" s="30"/>
      <c r="AB162" s="30"/>
      <c r="AC162" s="30"/>
      <c r="AD162" s="30"/>
      <c r="AE162" s="30"/>
    </row>
    <row r="163" ht="14.25" customHeight="1">
      <c r="A163" s="103"/>
      <c r="B163" s="30"/>
      <c r="C163" s="30"/>
      <c r="D163" s="125"/>
      <c r="E163" s="126"/>
      <c r="F163" s="30"/>
      <c r="G163" s="35"/>
      <c r="H163" s="77"/>
      <c r="I163" s="77"/>
      <c r="J163" s="77"/>
      <c r="K163" s="77"/>
      <c r="L163" s="77"/>
      <c r="M163" s="35"/>
      <c r="N163" s="35"/>
      <c r="O163" s="35"/>
      <c r="P163" s="35"/>
      <c r="Q163" s="35"/>
      <c r="R163" s="35"/>
      <c r="S163" s="35"/>
      <c r="T163" s="35"/>
      <c r="U163" s="35"/>
      <c r="V163" s="30"/>
      <c r="W163" s="30"/>
      <c r="X163" s="30"/>
      <c r="Y163" s="30"/>
      <c r="Z163" s="30"/>
      <c r="AA163" s="30"/>
      <c r="AB163" s="30"/>
      <c r="AC163" s="30"/>
      <c r="AD163" s="30"/>
      <c r="AE163" s="30"/>
    </row>
    <row r="164" ht="14.25" customHeight="1">
      <c r="A164" s="103"/>
      <c r="B164" s="30"/>
      <c r="C164" s="30"/>
      <c r="D164" s="125"/>
      <c r="E164" s="126"/>
      <c r="F164" s="30"/>
      <c r="G164" s="35"/>
      <c r="H164" s="77"/>
      <c r="I164" s="77"/>
      <c r="J164" s="77"/>
      <c r="K164" s="77"/>
      <c r="L164" s="77"/>
      <c r="M164" s="35"/>
      <c r="N164" s="35"/>
      <c r="O164" s="35"/>
      <c r="P164" s="35"/>
      <c r="Q164" s="35"/>
      <c r="R164" s="35"/>
      <c r="S164" s="35"/>
      <c r="T164" s="35"/>
      <c r="U164" s="35"/>
      <c r="V164" s="30"/>
      <c r="W164" s="30"/>
      <c r="X164" s="30"/>
      <c r="Y164" s="30"/>
      <c r="Z164" s="30"/>
      <c r="AA164" s="30"/>
      <c r="AB164" s="30"/>
      <c r="AC164" s="30"/>
      <c r="AD164" s="30"/>
      <c r="AE164" s="30"/>
    </row>
    <row r="165" ht="14.25" customHeight="1">
      <c r="A165" s="103"/>
      <c r="B165" s="30"/>
      <c r="C165" s="30"/>
      <c r="D165" s="125"/>
      <c r="E165" s="126"/>
      <c r="F165" s="30"/>
      <c r="G165" s="35"/>
      <c r="H165" s="77"/>
      <c r="I165" s="77"/>
      <c r="J165" s="77"/>
      <c r="K165" s="77"/>
      <c r="L165" s="77"/>
      <c r="M165" s="35"/>
      <c r="N165" s="35"/>
      <c r="O165" s="35"/>
      <c r="P165" s="35"/>
      <c r="Q165" s="35"/>
      <c r="R165" s="35"/>
      <c r="S165" s="35"/>
      <c r="T165" s="35"/>
      <c r="U165" s="35"/>
      <c r="V165" s="30"/>
      <c r="W165" s="30"/>
      <c r="X165" s="30"/>
      <c r="Y165" s="30"/>
      <c r="Z165" s="30"/>
      <c r="AA165" s="30"/>
      <c r="AB165" s="30"/>
      <c r="AC165" s="30"/>
      <c r="AD165" s="30"/>
      <c r="AE165" s="30"/>
    </row>
    <row r="166" ht="14.25" customHeight="1">
      <c r="A166" s="103"/>
      <c r="B166" s="30"/>
      <c r="C166" s="30"/>
      <c r="D166" s="125"/>
      <c r="E166" s="126"/>
      <c r="F166" s="30"/>
      <c r="G166" s="35"/>
      <c r="H166" s="77"/>
      <c r="I166" s="77"/>
      <c r="J166" s="77"/>
      <c r="K166" s="77"/>
      <c r="L166" s="77"/>
      <c r="M166" s="35"/>
      <c r="N166" s="35"/>
      <c r="O166" s="35"/>
      <c r="P166" s="35"/>
      <c r="Q166" s="35"/>
      <c r="R166" s="35"/>
      <c r="S166" s="35"/>
      <c r="T166" s="35"/>
      <c r="U166" s="35"/>
      <c r="V166" s="30"/>
      <c r="W166" s="30"/>
      <c r="X166" s="30"/>
      <c r="Y166" s="30"/>
      <c r="Z166" s="30"/>
      <c r="AA166" s="30"/>
      <c r="AB166" s="30"/>
      <c r="AC166" s="30"/>
      <c r="AD166" s="30"/>
      <c r="AE166" s="30"/>
    </row>
    <row r="167" ht="14.25" customHeight="1">
      <c r="A167" s="103"/>
      <c r="B167" s="30"/>
      <c r="C167" s="30"/>
      <c r="D167" s="125"/>
      <c r="E167" s="126"/>
      <c r="F167" s="30"/>
      <c r="G167" s="35"/>
      <c r="H167" s="77"/>
      <c r="I167" s="77"/>
      <c r="J167" s="77"/>
      <c r="K167" s="77"/>
      <c r="L167" s="77"/>
      <c r="M167" s="35"/>
      <c r="N167" s="35"/>
      <c r="O167" s="35"/>
      <c r="P167" s="35"/>
      <c r="Q167" s="35"/>
      <c r="R167" s="35"/>
      <c r="S167" s="35"/>
      <c r="T167" s="35"/>
      <c r="U167" s="35"/>
      <c r="V167" s="30"/>
      <c r="W167" s="30"/>
      <c r="X167" s="30"/>
      <c r="Y167" s="30"/>
      <c r="Z167" s="30"/>
      <c r="AA167" s="30"/>
      <c r="AB167" s="30"/>
      <c r="AC167" s="30"/>
      <c r="AD167" s="30"/>
      <c r="AE167" s="30"/>
    </row>
    <row r="168" ht="14.25" customHeight="1">
      <c r="A168" s="103"/>
      <c r="B168" s="30"/>
      <c r="C168" s="30"/>
      <c r="D168" s="125"/>
      <c r="E168" s="126"/>
      <c r="F168" s="30"/>
      <c r="G168" s="35"/>
      <c r="H168" s="77"/>
      <c r="I168" s="77"/>
      <c r="J168" s="77"/>
      <c r="K168" s="77"/>
      <c r="L168" s="77"/>
      <c r="M168" s="35"/>
      <c r="N168" s="35"/>
      <c r="O168" s="35"/>
      <c r="P168" s="35"/>
      <c r="Q168" s="35"/>
      <c r="R168" s="35"/>
      <c r="S168" s="35"/>
      <c r="T168" s="35"/>
      <c r="U168" s="35"/>
      <c r="V168" s="30"/>
      <c r="W168" s="30"/>
      <c r="X168" s="30"/>
      <c r="Y168" s="30"/>
      <c r="Z168" s="30"/>
      <c r="AA168" s="30"/>
      <c r="AB168" s="30"/>
      <c r="AC168" s="30"/>
      <c r="AD168" s="30"/>
      <c r="AE168" s="30"/>
    </row>
    <row r="169" ht="14.25" customHeight="1">
      <c r="A169" s="103"/>
      <c r="B169" s="30"/>
      <c r="C169" s="30"/>
      <c r="D169" s="125"/>
      <c r="E169" s="126"/>
      <c r="F169" s="30"/>
      <c r="G169" s="35"/>
      <c r="H169" s="77"/>
      <c r="I169" s="77"/>
      <c r="J169" s="77"/>
      <c r="K169" s="77"/>
      <c r="L169" s="77"/>
      <c r="M169" s="35"/>
      <c r="N169" s="35"/>
      <c r="O169" s="35"/>
      <c r="P169" s="35"/>
      <c r="Q169" s="35"/>
      <c r="R169" s="35"/>
      <c r="S169" s="35"/>
      <c r="T169" s="35"/>
      <c r="U169" s="35"/>
      <c r="V169" s="30"/>
      <c r="W169" s="30"/>
      <c r="X169" s="30"/>
      <c r="Y169" s="30"/>
      <c r="Z169" s="30"/>
      <c r="AA169" s="30"/>
      <c r="AB169" s="30"/>
      <c r="AC169" s="30"/>
      <c r="AD169" s="30"/>
      <c r="AE169" s="30"/>
    </row>
    <row r="170" ht="14.25" customHeight="1">
      <c r="A170" s="103"/>
      <c r="B170" s="30"/>
      <c r="C170" s="30"/>
      <c r="D170" s="125"/>
      <c r="E170" s="126"/>
      <c r="F170" s="30"/>
      <c r="G170" s="35"/>
      <c r="H170" s="77"/>
      <c r="I170" s="77"/>
      <c r="J170" s="77"/>
      <c r="K170" s="77"/>
      <c r="L170" s="77"/>
      <c r="M170" s="35"/>
      <c r="N170" s="35"/>
      <c r="O170" s="35"/>
      <c r="P170" s="35"/>
      <c r="Q170" s="35"/>
      <c r="R170" s="35"/>
      <c r="S170" s="35"/>
      <c r="T170" s="35"/>
      <c r="U170" s="35"/>
      <c r="V170" s="30"/>
      <c r="W170" s="30"/>
      <c r="X170" s="30"/>
      <c r="Y170" s="30"/>
      <c r="Z170" s="30"/>
      <c r="AA170" s="30"/>
      <c r="AB170" s="30"/>
      <c r="AC170" s="30"/>
      <c r="AD170" s="30"/>
      <c r="AE170" s="30"/>
    </row>
    <row r="171" ht="14.25" customHeight="1">
      <c r="A171" s="103"/>
      <c r="B171" s="30"/>
      <c r="C171" s="30"/>
      <c r="D171" s="125"/>
      <c r="E171" s="126"/>
      <c r="F171" s="30"/>
      <c r="G171" s="35"/>
      <c r="H171" s="77"/>
      <c r="I171" s="77"/>
      <c r="J171" s="77"/>
      <c r="K171" s="77"/>
      <c r="L171" s="77"/>
      <c r="M171" s="35"/>
      <c r="N171" s="35"/>
      <c r="O171" s="35"/>
      <c r="P171" s="35"/>
      <c r="Q171" s="35"/>
      <c r="R171" s="35"/>
      <c r="S171" s="35"/>
      <c r="T171" s="35"/>
      <c r="U171" s="35"/>
      <c r="V171" s="30"/>
      <c r="W171" s="30"/>
      <c r="X171" s="30"/>
      <c r="Y171" s="30"/>
      <c r="Z171" s="30"/>
      <c r="AA171" s="30"/>
      <c r="AB171" s="30"/>
      <c r="AC171" s="30"/>
      <c r="AD171" s="30"/>
      <c r="AE171" s="30"/>
    </row>
    <row r="172" ht="14.25" customHeight="1">
      <c r="A172" s="103"/>
      <c r="B172" s="30"/>
      <c r="C172" s="30"/>
      <c r="D172" s="125"/>
      <c r="E172" s="126"/>
      <c r="F172" s="30"/>
      <c r="G172" s="35"/>
      <c r="H172" s="77"/>
      <c r="I172" s="77"/>
      <c r="J172" s="77"/>
      <c r="K172" s="77"/>
      <c r="L172" s="77"/>
      <c r="M172" s="35"/>
      <c r="N172" s="35"/>
      <c r="O172" s="35"/>
      <c r="P172" s="35"/>
      <c r="Q172" s="35"/>
      <c r="R172" s="35"/>
      <c r="S172" s="35"/>
      <c r="T172" s="35"/>
      <c r="U172" s="35"/>
      <c r="V172" s="30"/>
      <c r="W172" s="30"/>
      <c r="X172" s="30"/>
      <c r="Y172" s="30"/>
      <c r="Z172" s="30"/>
      <c r="AA172" s="30"/>
      <c r="AB172" s="30"/>
      <c r="AC172" s="30"/>
      <c r="AD172" s="30"/>
      <c r="AE172" s="30"/>
    </row>
    <row r="173" ht="14.25" customHeight="1">
      <c r="A173" s="103"/>
      <c r="B173" s="30"/>
      <c r="C173" s="30"/>
      <c r="D173" s="125"/>
      <c r="E173" s="126"/>
      <c r="F173" s="30"/>
      <c r="G173" s="35"/>
      <c r="H173" s="77"/>
      <c r="I173" s="77"/>
      <c r="J173" s="77"/>
      <c r="K173" s="77"/>
      <c r="L173" s="77"/>
      <c r="M173" s="35"/>
      <c r="N173" s="35"/>
      <c r="O173" s="35"/>
      <c r="P173" s="35"/>
      <c r="Q173" s="35"/>
      <c r="R173" s="35"/>
      <c r="S173" s="35"/>
      <c r="T173" s="35"/>
      <c r="U173" s="35"/>
      <c r="V173" s="30"/>
      <c r="W173" s="30"/>
      <c r="X173" s="30"/>
      <c r="Y173" s="30"/>
      <c r="Z173" s="30"/>
      <c r="AA173" s="30"/>
      <c r="AB173" s="30"/>
      <c r="AC173" s="30"/>
      <c r="AD173" s="30"/>
      <c r="AE173" s="30"/>
    </row>
    <row r="174" ht="14.25" customHeight="1">
      <c r="A174" s="103"/>
      <c r="B174" s="30"/>
      <c r="C174" s="30"/>
      <c r="D174" s="125"/>
      <c r="E174" s="126"/>
      <c r="F174" s="30"/>
      <c r="G174" s="35"/>
      <c r="H174" s="77"/>
      <c r="I174" s="77"/>
      <c r="J174" s="77"/>
      <c r="K174" s="77"/>
      <c r="L174" s="77"/>
      <c r="M174" s="35"/>
      <c r="N174" s="35"/>
      <c r="O174" s="35"/>
      <c r="P174" s="35"/>
      <c r="Q174" s="35"/>
      <c r="R174" s="35"/>
      <c r="S174" s="35"/>
      <c r="T174" s="35"/>
      <c r="U174" s="35"/>
      <c r="V174" s="30"/>
      <c r="W174" s="30"/>
      <c r="X174" s="30"/>
      <c r="Y174" s="30"/>
      <c r="Z174" s="30"/>
      <c r="AA174" s="30"/>
      <c r="AB174" s="30"/>
      <c r="AC174" s="30"/>
      <c r="AD174" s="30"/>
      <c r="AE174" s="30"/>
    </row>
    <row r="175" ht="14.25" customHeight="1">
      <c r="A175" s="103"/>
      <c r="B175" s="30"/>
      <c r="C175" s="30"/>
      <c r="D175" s="125"/>
      <c r="E175" s="126"/>
      <c r="F175" s="30"/>
      <c r="G175" s="35"/>
      <c r="H175" s="77"/>
      <c r="I175" s="77"/>
      <c r="J175" s="77"/>
      <c r="K175" s="77"/>
      <c r="L175" s="77"/>
      <c r="M175" s="35"/>
      <c r="N175" s="35"/>
      <c r="O175" s="35"/>
      <c r="P175" s="35"/>
      <c r="Q175" s="35"/>
      <c r="R175" s="35"/>
      <c r="S175" s="35"/>
      <c r="T175" s="35"/>
      <c r="U175" s="35"/>
      <c r="V175" s="30"/>
      <c r="W175" s="30"/>
      <c r="X175" s="30"/>
      <c r="Y175" s="30"/>
      <c r="Z175" s="30"/>
      <c r="AA175" s="30"/>
      <c r="AB175" s="30"/>
      <c r="AC175" s="30"/>
      <c r="AD175" s="30"/>
      <c r="AE175" s="30"/>
    </row>
    <row r="176" ht="14.25" customHeight="1">
      <c r="A176" s="103"/>
      <c r="B176" s="30"/>
      <c r="C176" s="30"/>
      <c r="D176" s="125"/>
      <c r="E176" s="126"/>
      <c r="F176" s="30"/>
      <c r="G176" s="35"/>
      <c r="H176" s="77"/>
      <c r="I176" s="77"/>
      <c r="J176" s="77"/>
      <c r="K176" s="77"/>
      <c r="L176" s="77"/>
      <c r="M176" s="35"/>
      <c r="N176" s="35"/>
      <c r="O176" s="35"/>
      <c r="P176" s="35"/>
      <c r="Q176" s="35"/>
      <c r="R176" s="35"/>
      <c r="S176" s="35"/>
      <c r="T176" s="35"/>
      <c r="U176" s="35"/>
      <c r="V176" s="30"/>
      <c r="W176" s="30"/>
      <c r="X176" s="30"/>
      <c r="Y176" s="30"/>
      <c r="Z176" s="30"/>
      <c r="AA176" s="30"/>
      <c r="AB176" s="30"/>
      <c r="AC176" s="30"/>
      <c r="AD176" s="30"/>
      <c r="AE176" s="30"/>
    </row>
    <row r="177" ht="14.25" customHeight="1">
      <c r="A177" s="103"/>
      <c r="B177" s="30"/>
      <c r="C177" s="30"/>
      <c r="D177" s="125"/>
      <c r="E177" s="126"/>
      <c r="F177" s="30"/>
      <c r="G177" s="35"/>
      <c r="H177" s="77"/>
      <c r="I177" s="77"/>
      <c r="J177" s="77"/>
      <c r="K177" s="77"/>
      <c r="L177" s="77"/>
      <c r="M177" s="35"/>
      <c r="N177" s="35"/>
      <c r="O177" s="35"/>
      <c r="P177" s="35"/>
      <c r="Q177" s="35"/>
      <c r="R177" s="35"/>
      <c r="S177" s="35"/>
      <c r="T177" s="35"/>
      <c r="U177" s="35"/>
      <c r="V177" s="30"/>
      <c r="W177" s="30"/>
      <c r="X177" s="30"/>
      <c r="Y177" s="30"/>
      <c r="Z177" s="30"/>
      <c r="AA177" s="30"/>
      <c r="AB177" s="30"/>
      <c r="AC177" s="30"/>
      <c r="AD177" s="30"/>
      <c r="AE177" s="30"/>
    </row>
    <row r="178" ht="14.25" customHeight="1">
      <c r="A178" s="103"/>
      <c r="B178" s="30"/>
      <c r="C178" s="30"/>
      <c r="D178" s="125"/>
      <c r="E178" s="126"/>
      <c r="F178" s="30"/>
      <c r="G178" s="35"/>
      <c r="H178" s="77"/>
      <c r="I178" s="77"/>
      <c r="J178" s="77"/>
      <c r="K178" s="77"/>
      <c r="L178" s="77"/>
      <c r="M178" s="35"/>
      <c r="N178" s="35"/>
      <c r="O178" s="35"/>
      <c r="P178" s="35"/>
      <c r="Q178" s="35"/>
      <c r="R178" s="35"/>
      <c r="S178" s="35"/>
      <c r="T178" s="35"/>
      <c r="U178" s="35"/>
      <c r="V178" s="30"/>
      <c r="W178" s="30"/>
      <c r="X178" s="30"/>
      <c r="Y178" s="30"/>
      <c r="Z178" s="30"/>
      <c r="AA178" s="30"/>
      <c r="AB178" s="30"/>
      <c r="AC178" s="30"/>
      <c r="AD178" s="30"/>
      <c r="AE178" s="30"/>
    </row>
    <row r="179" ht="14.25" customHeight="1">
      <c r="A179" s="103"/>
      <c r="B179" s="30"/>
      <c r="D179" s="127"/>
      <c r="E179" s="66"/>
      <c r="G179" s="35"/>
      <c r="H179" s="77"/>
      <c r="I179" s="77"/>
      <c r="J179" s="77"/>
      <c r="K179" s="77"/>
      <c r="L179" s="77"/>
      <c r="M179" s="35"/>
      <c r="N179" s="35"/>
      <c r="O179" s="35"/>
      <c r="P179" s="35"/>
      <c r="Q179" s="35"/>
      <c r="R179" s="35"/>
      <c r="S179" s="35"/>
      <c r="T179" s="35"/>
      <c r="U179" s="35"/>
      <c r="V179" s="30"/>
      <c r="W179" s="30"/>
      <c r="X179" s="30"/>
      <c r="Y179" s="30"/>
      <c r="Z179" s="30"/>
      <c r="AA179" s="30"/>
      <c r="AB179" s="30"/>
      <c r="AC179" s="30"/>
      <c r="AD179" s="30"/>
      <c r="AE179" s="30"/>
    </row>
    <row r="180" ht="14.25" customHeight="1">
      <c r="A180" s="103"/>
      <c r="B180" s="30"/>
      <c r="D180" s="127"/>
      <c r="E180" s="66"/>
      <c r="G180" s="35"/>
      <c r="H180" s="77"/>
      <c r="I180" s="77"/>
      <c r="J180" s="77"/>
      <c r="K180" s="77"/>
      <c r="L180" s="77"/>
      <c r="M180" s="35"/>
      <c r="N180" s="35"/>
      <c r="O180" s="35"/>
      <c r="P180" s="35"/>
      <c r="Q180" s="35"/>
      <c r="R180" s="35"/>
      <c r="S180" s="35"/>
      <c r="T180" s="35"/>
      <c r="U180" s="35"/>
      <c r="V180" s="30"/>
      <c r="W180" s="30"/>
      <c r="X180" s="30"/>
      <c r="Y180" s="30"/>
      <c r="Z180" s="30"/>
      <c r="AA180" s="30"/>
      <c r="AB180" s="30"/>
      <c r="AC180" s="30"/>
      <c r="AD180" s="30"/>
      <c r="AE180" s="30"/>
    </row>
    <row r="181" ht="14.25" customHeight="1">
      <c r="A181" s="103"/>
      <c r="B181" s="30"/>
      <c r="D181" s="127"/>
      <c r="E181" s="66"/>
      <c r="G181" s="35"/>
      <c r="H181" s="77"/>
      <c r="I181" s="77"/>
      <c r="J181" s="77"/>
      <c r="K181" s="77"/>
      <c r="L181" s="77"/>
      <c r="M181" s="35"/>
      <c r="N181" s="35"/>
      <c r="O181" s="35"/>
      <c r="P181" s="35"/>
      <c r="Q181" s="35"/>
      <c r="R181" s="35"/>
      <c r="S181" s="35"/>
      <c r="T181" s="35"/>
      <c r="U181" s="35"/>
      <c r="V181" s="30"/>
      <c r="W181" s="30"/>
      <c r="X181" s="30"/>
      <c r="Y181" s="30"/>
      <c r="Z181" s="30"/>
      <c r="AA181" s="30"/>
      <c r="AB181" s="30"/>
      <c r="AC181" s="30"/>
      <c r="AD181" s="30"/>
      <c r="AE181" s="30"/>
    </row>
    <row r="182" ht="14.25" customHeight="1">
      <c r="A182" s="103"/>
      <c r="B182" s="30"/>
      <c r="D182" s="127"/>
      <c r="E182" s="66"/>
      <c r="G182" s="35"/>
      <c r="H182" s="77"/>
      <c r="I182" s="77"/>
      <c r="J182" s="77"/>
      <c r="K182" s="77"/>
      <c r="L182" s="77"/>
      <c r="M182" s="35"/>
      <c r="N182" s="35"/>
      <c r="O182" s="35"/>
      <c r="P182" s="35"/>
      <c r="Q182" s="35"/>
      <c r="R182" s="35"/>
      <c r="S182" s="35"/>
      <c r="T182" s="35"/>
      <c r="U182" s="35"/>
      <c r="V182" s="30"/>
      <c r="W182" s="30"/>
      <c r="X182" s="30"/>
      <c r="Y182" s="30"/>
      <c r="Z182" s="30"/>
      <c r="AA182" s="30"/>
      <c r="AB182" s="30"/>
      <c r="AC182" s="30"/>
      <c r="AD182" s="30"/>
      <c r="AE182" s="30"/>
    </row>
    <row r="183" ht="14.25" customHeight="1">
      <c r="A183" s="103"/>
      <c r="B183" s="30"/>
      <c r="D183" s="127"/>
      <c r="E183" s="66"/>
      <c r="G183" s="35"/>
      <c r="H183" s="77"/>
      <c r="I183" s="77"/>
      <c r="J183" s="77"/>
      <c r="K183" s="77"/>
      <c r="L183" s="77"/>
      <c r="M183" s="35"/>
      <c r="N183" s="35"/>
      <c r="O183" s="35"/>
      <c r="P183" s="35"/>
      <c r="Q183" s="35"/>
      <c r="R183" s="35"/>
      <c r="S183" s="35"/>
      <c r="T183" s="35"/>
      <c r="U183" s="35"/>
      <c r="V183" s="30"/>
      <c r="W183" s="30"/>
      <c r="X183" s="30"/>
      <c r="Y183" s="30"/>
      <c r="Z183" s="30"/>
      <c r="AA183" s="30"/>
      <c r="AB183" s="30"/>
      <c r="AC183" s="30"/>
      <c r="AD183" s="30"/>
      <c r="AE183" s="30"/>
    </row>
    <row r="184" ht="14.25" customHeight="1">
      <c r="A184" s="103"/>
      <c r="B184" s="30"/>
      <c r="D184" s="127"/>
      <c r="E184" s="66"/>
      <c r="G184" s="35"/>
      <c r="H184" s="77"/>
      <c r="I184" s="77"/>
      <c r="J184" s="77"/>
      <c r="K184" s="77"/>
      <c r="L184" s="77"/>
      <c r="M184" s="35"/>
      <c r="N184" s="35"/>
      <c r="O184" s="35"/>
      <c r="P184" s="35"/>
      <c r="Q184" s="35"/>
      <c r="R184" s="35"/>
      <c r="S184" s="35"/>
      <c r="T184" s="35"/>
      <c r="U184" s="35"/>
      <c r="V184" s="30"/>
      <c r="W184" s="30"/>
      <c r="X184" s="30"/>
      <c r="Y184" s="30"/>
      <c r="Z184" s="30"/>
      <c r="AA184" s="30"/>
      <c r="AB184" s="30"/>
      <c r="AC184" s="30"/>
      <c r="AD184" s="30"/>
      <c r="AE184" s="30"/>
    </row>
    <row r="185" ht="14.25" customHeight="1">
      <c r="A185" s="103"/>
      <c r="B185" s="30"/>
      <c r="D185" s="127"/>
      <c r="E185" s="66"/>
      <c r="G185" s="35"/>
      <c r="H185" s="77"/>
      <c r="I185" s="77"/>
      <c r="J185" s="77"/>
      <c r="K185" s="77"/>
      <c r="L185" s="77"/>
      <c r="M185" s="35"/>
      <c r="N185" s="35"/>
      <c r="O185" s="35"/>
      <c r="P185" s="35"/>
      <c r="Q185" s="35"/>
      <c r="R185" s="35"/>
      <c r="S185" s="35"/>
      <c r="T185" s="35"/>
      <c r="U185" s="35"/>
      <c r="V185" s="30"/>
      <c r="W185" s="30"/>
      <c r="X185" s="30"/>
      <c r="Y185" s="30"/>
      <c r="Z185" s="30"/>
      <c r="AA185" s="30"/>
      <c r="AB185" s="30"/>
      <c r="AC185" s="30"/>
      <c r="AD185" s="30"/>
      <c r="AE185" s="30"/>
    </row>
    <row r="186" ht="14.25" customHeight="1">
      <c r="A186" s="103"/>
      <c r="B186" s="30"/>
      <c r="D186" s="127"/>
      <c r="E186" s="66"/>
      <c r="G186" s="35"/>
      <c r="H186" s="77"/>
      <c r="I186" s="77"/>
      <c r="J186" s="77"/>
      <c r="K186" s="77"/>
      <c r="L186" s="77"/>
      <c r="M186" s="35"/>
      <c r="N186" s="35"/>
      <c r="O186" s="35"/>
      <c r="P186" s="35"/>
      <c r="Q186" s="35"/>
      <c r="R186" s="35"/>
      <c r="S186" s="35"/>
      <c r="T186" s="35"/>
      <c r="U186" s="35"/>
      <c r="V186" s="30"/>
      <c r="W186" s="30"/>
      <c r="X186" s="30"/>
      <c r="Y186" s="30"/>
      <c r="Z186" s="30"/>
      <c r="AA186" s="30"/>
      <c r="AB186" s="30"/>
      <c r="AC186" s="30"/>
      <c r="AD186" s="30"/>
      <c r="AE186" s="30"/>
    </row>
    <row r="187" ht="14.25" customHeight="1">
      <c r="A187" s="103"/>
      <c r="B187" s="30"/>
      <c r="D187" s="127"/>
      <c r="E187" s="66"/>
      <c r="G187" s="35"/>
      <c r="H187" s="77"/>
      <c r="I187" s="77"/>
      <c r="J187" s="77"/>
      <c r="K187" s="77"/>
      <c r="L187" s="77"/>
      <c r="M187" s="35"/>
      <c r="N187" s="35"/>
      <c r="O187" s="35"/>
      <c r="P187" s="35"/>
      <c r="Q187" s="35"/>
      <c r="R187" s="35"/>
      <c r="S187" s="35"/>
      <c r="T187" s="35"/>
      <c r="U187" s="35"/>
      <c r="V187" s="30"/>
      <c r="W187" s="30"/>
      <c r="X187" s="30"/>
      <c r="Y187" s="30"/>
      <c r="Z187" s="30"/>
      <c r="AA187" s="30"/>
      <c r="AB187" s="30"/>
      <c r="AC187" s="30"/>
      <c r="AD187" s="30"/>
      <c r="AE187" s="30"/>
    </row>
    <row r="188" ht="14.25" customHeight="1">
      <c r="A188" s="103"/>
      <c r="B188" s="30"/>
      <c r="D188" s="127"/>
      <c r="E188" s="66"/>
      <c r="G188" s="35"/>
      <c r="H188" s="77"/>
      <c r="I188" s="77"/>
      <c r="J188" s="77"/>
      <c r="K188" s="77"/>
      <c r="L188" s="77"/>
      <c r="M188" s="35"/>
      <c r="N188" s="35"/>
      <c r="O188" s="35"/>
      <c r="P188" s="35"/>
      <c r="Q188" s="35"/>
      <c r="R188" s="35"/>
      <c r="S188" s="35"/>
      <c r="T188" s="35"/>
      <c r="U188" s="35"/>
      <c r="V188" s="30"/>
      <c r="W188" s="30"/>
      <c r="X188" s="30"/>
      <c r="Y188" s="30"/>
      <c r="Z188" s="30"/>
      <c r="AA188" s="30"/>
      <c r="AB188" s="30"/>
      <c r="AC188" s="30"/>
      <c r="AD188" s="30"/>
      <c r="AE188" s="30"/>
    </row>
    <row r="189" ht="14.25" customHeight="1">
      <c r="A189" s="103"/>
      <c r="B189" s="30"/>
      <c r="D189" s="127"/>
      <c r="E189" s="66"/>
      <c r="G189" s="35"/>
      <c r="H189" s="77"/>
      <c r="I189" s="77"/>
      <c r="J189" s="77"/>
      <c r="K189" s="77"/>
      <c r="L189" s="77"/>
      <c r="M189" s="35"/>
      <c r="N189" s="35"/>
      <c r="O189" s="35"/>
      <c r="P189" s="35"/>
      <c r="Q189" s="35"/>
      <c r="R189" s="35"/>
      <c r="S189" s="35"/>
      <c r="T189" s="35"/>
      <c r="U189" s="35"/>
      <c r="V189" s="30"/>
      <c r="W189" s="30"/>
      <c r="X189" s="30"/>
      <c r="Y189" s="30"/>
      <c r="Z189" s="30"/>
      <c r="AA189" s="30"/>
      <c r="AB189" s="30"/>
      <c r="AC189" s="30"/>
      <c r="AD189" s="30"/>
      <c r="AE189" s="30"/>
    </row>
    <row r="190" ht="14.25" customHeight="1">
      <c r="A190" s="103"/>
      <c r="B190" s="30"/>
      <c r="D190" s="127"/>
      <c r="E190" s="66"/>
      <c r="G190" s="35"/>
      <c r="H190" s="77"/>
      <c r="I190" s="77"/>
      <c r="J190" s="77"/>
      <c r="K190" s="77"/>
      <c r="L190" s="77"/>
      <c r="M190" s="35"/>
      <c r="N190" s="35"/>
      <c r="O190" s="35"/>
      <c r="P190" s="35"/>
      <c r="Q190" s="35"/>
      <c r="R190" s="35"/>
      <c r="S190" s="35"/>
      <c r="T190" s="35"/>
      <c r="U190" s="35"/>
      <c r="V190" s="30"/>
      <c r="W190" s="30"/>
      <c r="X190" s="30"/>
      <c r="Y190" s="30"/>
      <c r="Z190" s="30"/>
      <c r="AA190" s="30"/>
      <c r="AB190" s="30"/>
      <c r="AC190" s="30"/>
      <c r="AD190" s="30"/>
      <c r="AE190" s="30"/>
    </row>
    <row r="191" ht="14.25" customHeight="1">
      <c r="A191" s="103"/>
      <c r="B191" s="30"/>
      <c r="D191" s="127"/>
      <c r="E191" s="66"/>
      <c r="G191" s="35"/>
      <c r="H191" s="77"/>
      <c r="I191" s="77"/>
      <c r="J191" s="77"/>
      <c r="K191" s="77"/>
      <c r="L191" s="77"/>
      <c r="M191" s="35"/>
      <c r="N191" s="35"/>
      <c r="O191" s="35"/>
      <c r="P191" s="35"/>
      <c r="Q191" s="35"/>
      <c r="R191" s="35"/>
      <c r="S191" s="35"/>
      <c r="T191" s="35"/>
      <c r="U191" s="35"/>
      <c r="V191" s="30"/>
      <c r="W191" s="30"/>
      <c r="X191" s="30"/>
      <c r="Y191" s="30"/>
      <c r="Z191" s="30"/>
      <c r="AA191" s="30"/>
      <c r="AB191" s="30"/>
      <c r="AC191" s="30"/>
      <c r="AD191" s="30"/>
      <c r="AE191" s="30"/>
    </row>
    <row r="192" ht="14.25" customHeight="1">
      <c r="A192" s="103"/>
      <c r="B192" s="30"/>
      <c r="D192" s="127"/>
      <c r="E192" s="66"/>
      <c r="G192" s="35"/>
      <c r="H192" s="77"/>
      <c r="I192" s="77"/>
      <c r="J192" s="77"/>
      <c r="K192" s="77"/>
      <c r="L192" s="77"/>
      <c r="M192" s="35"/>
      <c r="N192" s="35"/>
      <c r="O192" s="35"/>
      <c r="P192" s="35"/>
      <c r="Q192" s="35"/>
      <c r="R192" s="35"/>
      <c r="S192" s="35"/>
      <c r="T192" s="35"/>
      <c r="U192" s="35"/>
      <c r="V192" s="30"/>
      <c r="W192" s="30"/>
      <c r="X192" s="30"/>
      <c r="Y192" s="30"/>
      <c r="Z192" s="30"/>
      <c r="AA192" s="30"/>
      <c r="AB192" s="30"/>
      <c r="AC192" s="30"/>
      <c r="AD192" s="30"/>
      <c r="AE192" s="30"/>
    </row>
    <row r="193" ht="14.25" customHeight="1">
      <c r="A193" s="103"/>
      <c r="B193" s="30"/>
      <c r="D193" s="127"/>
      <c r="E193" s="66"/>
      <c r="G193" s="35"/>
      <c r="H193" s="77"/>
      <c r="I193" s="77"/>
      <c r="J193" s="77"/>
      <c r="K193" s="77"/>
      <c r="L193" s="77"/>
      <c r="M193" s="35"/>
      <c r="N193" s="35"/>
      <c r="O193" s="35"/>
      <c r="P193" s="35"/>
      <c r="Q193" s="35"/>
      <c r="R193" s="35"/>
      <c r="S193" s="35"/>
      <c r="T193" s="35"/>
      <c r="U193" s="35"/>
      <c r="V193" s="30"/>
      <c r="W193" s="30"/>
      <c r="X193" s="30"/>
      <c r="Y193" s="30"/>
      <c r="Z193" s="30"/>
      <c r="AA193" s="30"/>
      <c r="AB193" s="30"/>
      <c r="AC193" s="30"/>
      <c r="AD193" s="30"/>
      <c r="AE193" s="30"/>
    </row>
    <row r="194" ht="14.25" customHeight="1">
      <c r="A194" s="103"/>
      <c r="B194" s="30"/>
      <c r="D194" s="127"/>
      <c r="E194" s="66"/>
      <c r="G194" s="35"/>
      <c r="H194" s="77"/>
      <c r="I194" s="77"/>
      <c r="J194" s="77"/>
      <c r="K194" s="77"/>
      <c r="L194" s="77"/>
      <c r="M194" s="35"/>
      <c r="N194" s="35"/>
      <c r="O194" s="35"/>
      <c r="P194" s="35"/>
      <c r="Q194" s="35"/>
      <c r="R194" s="35"/>
      <c r="S194" s="35"/>
      <c r="T194" s="35"/>
      <c r="U194" s="35"/>
      <c r="V194" s="30"/>
      <c r="W194" s="30"/>
      <c r="X194" s="30"/>
      <c r="Y194" s="30"/>
      <c r="Z194" s="30"/>
      <c r="AA194" s="30"/>
      <c r="AB194" s="30"/>
      <c r="AC194" s="30"/>
      <c r="AD194" s="30"/>
      <c r="AE194" s="30"/>
    </row>
    <row r="195" ht="14.25" customHeight="1">
      <c r="A195" s="103"/>
      <c r="B195" s="30"/>
      <c r="D195" s="127"/>
      <c r="E195" s="66"/>
      <c r="G195" s="35"/>
      <c r="H195" s="77"/>
      <c r="I195" s="77"/>
      <c r="J195" s="77"/>
      <c r="K195" s="77"/>
      <c r="L195" s="77"/>
      <c r="M195" s="35"/>
      <c r="N195" s="35"/>
      <c r="O195" s="35"/>
      <c r="P195" s="35"/>
      <c r="Q195" s="35"/>
      <c r="R195" s="35"/>
      <c r="S195" s="35"/>
      <c r="T195" s="35"/>
      <c r="U195" s="35"/>
      <c r="V195" s="30"/>
      <c r="W195" s="30"/>
      <c r="X195" s="30"/>
      <c r="Y195" s="30"/>
      <c r="Z195" s="30"/>
      <c r="AA195" s="30"/>
      <c r="AB195" s="30"/>
      <c r="AC195" s="30"/>
      <c r="AD195" s="30"/>
      <c r="AE195" s="30"/>
    </row>
    <row r="196" ht="14.25" customHeight="1">
      <c r="A196" s="103"/>
      <c r="B196" s="30"/>
      <c r="D196" s="127"/>
      <c r="E196" s="66"/>
      <c r="G196" s="35"/>
      <c r="H196" s="77"/>
      <c r="I196" s="77"/>
      <c r="J196" s="77"/>
      <c r="K196" s="77"/>
      <c r="L196" s="77"/>
      <c r="M196" s="35"/>
      <c r="N196" s="35"/>
      <c r="O196" s="35"/>
      <c r="P196" s="35"/>
      <c r="Q196" s="35"/>
      <c r="R196" s="35"/>
      <c r="S196" s="35"/>
      <c r="T196" s="35"/>
      <c r="U196" s="35"/>
      <c r="V196" s="30"/>
      <c r="W196" s="30"/>
      <c r="X196" s="30"/>
      <c r="Y196" s="30"/>
      <c r="Z196" s="30"/>
      <c r="AA196" s="30"/>
      <c r="AB196" s="30"/>
      <c r="AC196" s="30"/>
      <c r="AD196" s="30"/>
      <c r="AE196" s="30"/>
    </row>
    <row r="197" ht="14.25" customHeight="1">
      <c r="A197" s="103"/>
      <c r="B197" s="30"/>
      <c r="D197" s="127"/>
      <c r="E197" s="66"/>
      <c r="G197" s="35"/>
      <c r="H197" s="77"/>
      <c r="I197" s="77"/>
      <c r="J197" s="77"/>
      <c r="K197" s="77"/>
      <c r="L197" s="77"/>
      <c r="M197" s="35"/>
      <c r="N197" s="35"/>
      <c r="O197" s="35"/>
      <c r="P197" s="35"/>
      <c r="Q197" s="35"/>
      <c r="R197" s="35"/>
      <c r="S197" s="35"/>
      <c r="T197" s="35"/>
      <c r="U197" s="35"/>
      <c r="V197" s="30"/>
      <c r="W197" s="30"/>
      <c r="X197" s="30"/>
      <c r="Y197" s="30"/>
      <c r="Z197" s="30"/>
      <c r="AA197" s="30"/>
      <c r="AB197" s="30"/>
      <c r="AC197" s="30"/>
      <c r="AD197" s="30"/>
      <c r="AE197" s="30"/>
    </row>
    <row r="198" ht="14.25" customHeight="1">
      <c r="A198" s="103"/>
      <c r="B198" s="30"/>
      <c r="D198" s="127"/>
      <c r="E198" s="66"/>
      <c r="G198" s="35"/>
      <c r="H198" s="77"/>
      <c r="I198" s="77"/>
      <c r="J198" s="77"/>
      <c r="K198" s="77"/>
      <c r="L198" s="77"/>
      <c r="M198" s="35"/>
      <c r="N198" s="35"/>
      <c r="O198" s="35"/>
      <c r="P198" s="35"/>
      <c r="Q198" s="35"/>
      <c r="R198" s="35"/>
      <c r="S198" s="35"/>
      <c r="T198" s="35"/>
      <c r="U198" s="35"/>
      <c r="V198" s="30"/>
      <c r="W198" s="30"/>
      <c r="X198" s="30"/>
      <c r="Y198" s="30"/>
      <c r="Z198" s="30"/>
      <c r="AA198" s="30"/>
      <c r="AB198" s="30"/>
      <c r="AC198" s="30"/>
      <c r="AD198" s="30"/>
      <c r="AE198" s="30"/>
    </row>
    <row r="199" ht="14.25" customHeight="1">
      <c r="A199" s="103"/>
      <c r="B199" s="30"/>
      <c r="D199" s="127"/>
      <c r="E199" s="66"/>
      <c r="G199" s="35"/>
      <c r="H199" s="77"/>
      <c r="I199" s="77"/>
      <c r="J199" s="77"/>
      <c r="K199" s="77"/>
      <c r="L199" s="77"/>
      <c r="M199" s="35"/>
      <c r="N199" s="35"/>
      <c r="O199" s="35"/>
      <c r="P199" s="35"/>
      <c r="Q199" s="35"/>
      <c r="R199" s="35"/>
      <c r="S199" s="35"/>
      <c r="T199" s="35"/>
      <c r="U199" s="35"/>
      <c r="V199" s="30"/>
      <c r="W199" s="30"/>
      <c r="X199" s="30"/>
      <c r="Y199" s="30"/>
      <c r="Z199" s="30"/>
      <c r="AA199" s="30"/>
      <c r="AB199" s="30"/>
      <c r="AC199" s="30"/>
      <c r="AD199" s="30"/>
      <c r="AE199" s="30"/>
    </row>
    <row r="200" ht="14.25" customHeight="1">
      <c r="A200" s="103"/>
      <c r="B200" s="30"/>
      <c r="D200" s="127"/>
      <c r="E200" s="66"/>
      <c r="G200" s="35"/>
      <c r="H200" s="77"/>
      <c r="I200" s="77"/>
      <c r="J200" s="77"/>
      <c r="K200" s="77"/>
      <c r="L200" s="77"/>
      <c r="M200" s="35"/>
      <c r="N200" s="35"/>
      <c r="O200" s="35"/>
      <c r="P200" s="35"/>
      <c r="Q200" s="35"/>
      <c r="R200" s="35"/>
      <c r="S200" s="35"/>
      <c r="T200" s="35"/>
      <c r="U200" s="35"/>
      <c r="V200" s="30"/>
      <c r="W200" s="30"/>
      <c r="X200" s="30"/>
      <c r="Y200" s="30"/>
      <c r="Z200" s="30"/>
      <c r="AA200" s="30"/>
      <c r="AB200" s="30"/>
      <c r="AC200" s="30"/>
      <c r="AD200" s="30"/>
      <c r="AE200" s="30"/>
    </row>
    <row r="201" ht="14.25" customHeight="1">
      <c r="A201" s="103"/>
      <c r="B201" s="30"/>
      <c r="D201" s="127"/>
      <c r="E201" s="66"/>
      <c r="G201" s="35"/>
      <c r="H201" s="77"/>
      <c r="I201" s="77"/>
      <c r="J201" s="77"/>
      <c r="K201" s="77"/>
      <c r="L201" s="77"/>
      <c r="M201" s="35"/>
      <c r="N201" s="35"/>
      <c r="O201" s="35"/>
      <c r="P201" s="35"/>
      <c r="Q201" s="35"/>
      <c r="R201" s="35"/>
      <c r="S201" s="35"/>
      <c r="T201" s="35"/>
      <c r="U201" s="35"/>
      <c r="V201" s="30"/>
      <c r="W201" s="30"/>
      <c r="X201" s="30"/>
      <c r="Y201" s="30"/>
      <c r="Z201" s="30"/>
      <c r="AA201" s="30"/>
      <c r="AB201" s="30"/>
      <c r="AC201" s="30"/>
      <c r="AD201" s="30"/>
      <c r="AE201" s="30"/>
    </row>
    <row r="202" ht="14.25" customHeight="1">
      <c r="A202" s="103"/>
      <c r="B202" s="30"/>
      <c r="D202" s="127"/>
      <c r="E202" s="66"/>
      <c r="G202" s="35"/>
      <c r="H202" s="77"/>
      <c r="I202" s="77"/>
      <c r="J202" s="77"/>
      <c r="K202" s="77"/>
      <c r="L202" s="77"/>
      <c r="M202" s="35"/>
      <c r="N202" s="35"/>
      <c r="O202" s="35"/>
      <c r="P202" s="35"/>
      <c r="Q202" s="35"/>
      <c r="R202" s="35"/>
      <c r="S202" s="35"/>
      <c r="T202" s="35"/>
      <c r="U202" s="35"/>
      <c r="V202" s="30"/>
      <c r="W202" s="30"/>
      <c r="X202" s="30"/>
      <c r="Y202" s="30"/>
      <c r="Z202" s="30"/>
      <c r="AA202" s="30"/>
      <c r="AB202" s="30"/>
      <c r="AC202" s="30"/>
      <c r="AD202" s="30"/>
      <c r="AE202" s="30"/>
    </row>
    <row r="203" ht="14.25" customHeight="1">
      <c r="A203" s="103"/>
      <c r="B203" s="30"/>
      <c r="D203" s="127"/>
      <c r="E203" s="66"/>
      <c r="G203" s="35"/>
      <c r="H203" s="77"/>
      <c r="I203" s="77"/>
      <c r="J203" s="77"/>
      <c r="K203" s="77"/>
      <c r="L203" s="77"/>
      <c r="M203" s="35"/>
      <c r="N203" s="35"/>
      <c r="O203" s="35"/>
      <c r="P203" s="35"/>
      <c r="Q203" s="35"/>
      <c r="R203" s="35"/>
      <c r="S203" s="35"/>
      <c r="T203" s="35"/>
      <c r="U203" s="35"/>
      <c r="V203" s="30"/>
      <c r="W203" s="30"/>
      <c r="X203" s="30"/>
      <c r="Y203" s="30"/>
      <c r="Z203" s="30"/>
      <c r="AA203" s="30"/>
      <c r="AB203" s="30"/>
      <c r="AC203" s="30"/>
      <c r="AD203" s="30"/>
      <c r="AE203" s="30"/>
    </row>
    <row r="204" ht="14.25" customHeight="1">
      <c r="A204" s="103"/>
      <c r="B204" s="30"/>
      <c r="D204" s="127"/>
      <c r="E204" s="66"/>
      <c r="G204" s="35"/>
      <c r="H204" s="77"/>
      <c r="I204" s="77"/>
      <c r="J204" s="77"/>
      <c r="K204" s="77"/>
      <c r="L204" s="77"/>
      <c r="M204" s="35"/>
      <c r="N204" s="35"/>
      <c r="O204" s="35"/>
      <c r="P204" s="35"/>
      <c r="Q204" s="35"/>
      <c r="R204" s="35"/>
      <c r="S204" s="35"/>
      <c r="T204" s="35"/>
      <c r="U204" s="35"/>
      <c r="V204" s="30"/>
      <c r="W204" s="30"/>
      <c r="X204" s="30"/>
      <c r="Y204" s="30"/>
      <c r="Z204" s="30"/>
      <c r="AA204" s="30"/>
      <c r="AB204" s="30"/>
      <c r="AC204" s="30"/>
      <c r="AD204" s="30"/>
      <c r="AE204" s="30"/>
    </row>
    <row r="205" ht="14.25" customHeight="1">
      <c r="A205" s="103"/>
      <c r="B205" s="30"/>
      <c r="D205" s="127"/>
      <c r="E205" s="66"/>
      <c r="G205" s="35"/>
      <c r="H205" s="77"/>
      <c r="I205" s="77"/>
      <c r="J205" s="77"/>
      <c r="K205" s="77"/>
      <c r="L205" s="77"/>
      <c r="M205" s="35"/>
      <c r="N205" s="35"/>
      <c r="O205" s="35"/>
      <c r="P205" s="35"/>
      <c r="Q205" s="35"/>
      <c r="R205" s="35"/>
      <c r="S205" s="35"/>
      <c r="T205" s="35"/>
      <c r="U205" s="35"/>
      <c r="V205" s="30"/>
      <c r="W205" s="30"/>
      <c r="X205" s="30"/>
      <c r="Y205" s="30"/>
      <c r="Z205" s="30"/>
      <c r="AA205" s="30"/>
      <c r="AB205" s="30"/>
      <c r="AC205" s="30"/>
      <c r="AD205" s="30"/>
      <c r="AE205" s="30"/>
    </row>
    <row r="206" ht="14.25" customHeight="1">
      <c r="A206" s="103"/>
      <c r="B206" s="30"/>
      <c r="D206" s="127"/>
      <c r="E206" s="66"/>
      <c r="G206" s="35"/>
      <c r="H206" s="77"/>
      <c r="I206" s="77"/>
      <c r="J206" s="77"/>
      <c r="K206" s="77"/>
      <c r="L206" s="77"/>
      <c r="M206" s="35"/>
      <c r="N206" s="35"/>
      <c r="O206" s="35"/>
      <c r="P206" s="35"/>
      <c r="Q206" s="35"/>
      <c r="R206" s="35"/>
      <c r="S206" s="35"/>
      <c r="T206" s="35"/>
      <c r="U206" s="35"/>
      <c r="V206" s="30"/>
      <c r="W206" s="30"/>
      <c r="X206" s="30"/>
      <c r="Y206" s="30"/>
      <c r="Z206" s="30"/>
      <c r="AA206" s="30"/>
      <c r="AB206" s="30"/>
      <c r="AC206" s="30"/>
      <c r="AD206" s="30"/>
      <c r="AE206" s="30"/>
    </row>
    <row r="207" ht="14.25" customHeight="1">
      <c r="A207" s="103"/>
      <c r="B207" s="30"/>
      <c r="D207" s="127"/>
      <c r="E207" s="66"/>
      <c r="G207" s="35"/>
      <c r="H207" s="77"/>
      <c r="I207" s="77"/>
      <c r="J207" s="77"/>
      <c r="K207" s="77"/>
      <c r="L207" s="77"/>
      <c r="M207" s="35"/>
      <c r="N207" s="35"/>
      <c r="O207" s="35"/>
      <c r="P207" s="35"/>
      <c r="Q207" s="35"/>
      <c r="R207" s="35"/>
      <c r="S207" s="35"/>
      <c r="T207" s="35"/>
      <c r="U207" s="35"/>
      <c r="V207" s="30"/>
      <c r="W207" s="30"/>
      <c r="X207" s="30"/>
      <c r="Y207" s="30"/>
      <c r="Z207" s="30"/>
      <c r="AA207" s="30"/>
      <c r="AB207" s="30"/>
      <c r="AC207" s="30"/>
      <c r="AD207" s="30"/>
      <c r="AE207" s="30"/>
    </row>
    <row r="208" ht="14.25" customHeight="1">
      <c r="A208" s="103"/>
      <c r="B208" s="30"/>
      <c r="D208" s="127"/>
      <c r="E208" s="66"/>
      <c r="G208" s="35"/>
      <c r="H208" s="77"/>
      <c r="I208" s="77"/>
      <c r="J208" s="77"/>
      <c r="K208" s="77"/>
      <c r="L208" s="77"/>
      <c r="M208" s="35"/>
      <c r="N208" s="35"/>
      <c r="O208" s="35"/>
      <c r="P208" s="35"/>
      <c r="Q208" s="35"/>
      <c r="R208" s="35"/>
      <c r="S208" s="35"/>
      <c r="T208" s="35"/>
      <c r="U208" s="35"/>
      <c r="V208" s="30"/>
      <c r="W208" s="30"/>
      <c r="X208" s="30"/>
      <c r="Y208" s="30"/>
      <c r="Z208" s="30"/>
      <c r="AA208" s="30"/>
      <c r="AB208" s="30"/>
      <c r="AC208" s="30"/>
      <c r="AD208" s="30"/>
      <c r="AE208" s="30"/>
    </row>
    <row r="209" ht="14.25" customHeight="1">
      <c r="A209" s="103"/>
      <c r="B209" s="30"/>
      <c r="D209" s="127"/>
      <c r="E209" s="66"/>
      <c r="G209" s="35"/>
      <c r="H209" s="77"/>
      <c r="I209" s="77"/>
      <c r="J209" s="77"/>
      <c r="K209" s="77"/>
      <c r="L209" s="77"/>
      <c r="M209" s="35"/>
      <c r="N209" s="35"/>
      <c r="O209" s="35"/>
      <c r="P209" s="35"/>
      <c r="Q209" s="35"/>
      <c r="R209" s="35"/>
      <c r="S209" s="35"/>
      <c r="T209" s="35"/>
      <c r="U209" s="35"/>
      <c r="V209" s="30"/>
      <c r="W209" s="30"/>
      <c r="X209" s="30"/>
      <c r="Y209" s="30"/>
      <c r="Z209" s="30"/>
      <c r="AA209" s="30"/>
      <c r="AB209" s="30"/>
      <c r="AC209" s="30"/>
      <c r="AD209" s="30"/>
      <c r="AE209" s="30"/>
    </row>
    <row r="210" ht="14.25" customHeight="1">
      <c r="A210" s="103"/>
      <c r="B210" s="30"/>
      <c r="D210" s="127"/>
      <c r="E210" s="66"/>
      <c r="G210" s="35"/>
      <c r="H210" s="77"/>
      <c r="I210" s="77"/>
      <c r="J210" s="77"/>
      <c r="K210" s="77"/>
      <c r="L210" s="77"/>
      <c r="M210" s="35"/>
      <c r="N210" s="35"/>
      <c r="O210" s="35"/>
      <c r="P210" s="35"/>
      <c r="Q210" s="35"/>
      <c r="R210" s="35"/>
      <c r="S210" s="35"/>
      <c r="T210" s="35"/>
      <c r="U210" s="35"/>
      <c r="V210" s="30"/>
      <c r="W210" s="30"/>
      <c r="X210" s="30"/>
      <c r="Y210" s="30"/>
      <c r="Z210" s="30"/>
      <c r="AA210" s="30"/>
      <c r="AB210" s="30"/>
      <c r="AC210" s="30"/>
      <c r="AD210" s="30"/>
      <c r="AE210" s="30"/>
    </row>
    <row r="211" ht="14.25" customHeight="1">
      <c r="A211" s="103"/>
      <c r="B211" s="30"/>
      <c r="D211" s="127"/>
      <c r="E211" s="66"/>
      <c r="G211" s="35"/>
      <c r="H211" s="77"/>
      <c r="I211" s="77"/>
      <c r="J211" s="77"/>
      <c r="K211" s="77"/>
      <c r="L211" s="77"/>
      <c r="M211" s="35"/>
      <c r="N211" s="35"/>
      <c r="O211" s="35"/>
      <c r="P211" s="35"/>
      <c r="Q211" s="35"/>
      <c r="R211" s="35"/>
      <c r="S211" s="35"/>
      <c r="T211" s="35"/>
      <c r="U211" s="35"/>
      <c r="V211" s="30"/>
      <c r="W211" s="30"/>
      <c r="X211" s="30"/>
      <c r="Y211" s="30"/>
      <c r="Z211" s="30"/>
      <c r="AA211" s="30"/>
      <c r="AB211" s="30"/>
      <c r="AC211" s="30"/>
      <c r="AD211" s="30"/>
      <c r="AE211" s="30"/>
    </row>
    <row r="212" ht="14.25" customHeight="1">
      <c r="A212" s="103"/>
      <c r="B212" s="30"/>
      <c r="D212" s="127"/>
      <c r="E212" s="66"/>
      <c r="G212" s="35"/>
      <c r="H212" s="77"/>
      <c r="I212" s="77"/>
      <c r="J212" s="77"/>
      <c r="K212" s="77"/>
      <c r="L212" s="77"/>
      <c r="M212" s="35"/>
      <c r="N212" s="35"/>
      <c r="O212" s="35"/>
      <c r="P212" s="35"/>
      <c r="Q212" s="35"/>
      <c r="R212" s="35"/>
      <c r="S212" s="35"/>
      <c r="T212" s="35"/>
      <c r="U212" s="35"/>
      <c r="V212" s="30"/>
      <c r="W212" s="30"/>
      <c r="X212" s="30"/>
      <c r="Y212" s="30"/>
      <c r="Z212" s="30"/>
      <c r="AA212" s="30"/>
      <c r="AB212" s="30"/>
      <c r="AC212" s="30"/>
      <c r="AD212" s="30"/>
      <c r="AE212" s="30"/>
    </row>
    <row r="213" ht="14.25" customHeight="1">
      <c r="A213" s="103"/>
      <c r="B213" s="30"/>
      <c r="D213" s="127"/>
      <c r="E213" s="66"/>
      <c r="G213" s="35"/>
      <c r="H213" s="77"/>
      <c r="I213" s="77"/>
      <c r="J213" s="77"/>
      <c r="K213" s="77"/>
      <c r="L213" s="77"/>
      <c r="M213" s="35"/>
      <c r="N213" s="35"/>
      <c r="O213" s="35"/>
      <c r="P213" s="35"/>
      <c r="Q213" s="35"/>
      <c r="R213" s="35"/>
      <c r="S213" s="35"/>
      <c r="T213" s="35"/>
      <c r="U213" s="35"/>
      <c r="V213" s="30"/>
      <c r="W213" s="30"/>
      <c r="X213" s="30"/>
      <c r="Y213" s="30"/>
      <c r="Z213" s="30"/>
      <c r="AA213" s="30"/>
      <c r="AB213" s="30"/>
      <c r="AC213" s="30"/>
      <c r="AD213" s="30"/>
      <c r="AE213" s="30"/>
    </row>
    <row r="214" ht="14.25" customHeight="1">
      <c r="A214" s="103"/>
      <c r="B214" s="30"/>
      <c r="D214" s="127"/>
      <c r="E214" s="66"/>
      <c r="G214" s="35"/>
      <c r="H214" s="77"/>
      <c r="I214" s="77"/>
      <c r="J214" s="77"/>
      <c r="K214" s="77"/>
      <c r="L214" s="77"/>
      <c r="M214" s="35"/>
      <c r="N214" s="35"/>
      <c r="O214" s="35"/>
      <c r="P214" s="35"/>
      <c r="Q214" s="35"/>
      <c r="R214" s="35"/>
      <c r="S214" s="35"/>
      <c r="T214" s="35"/>
      <c r="U214" s="35"/>
      <c r="V214" s="30"/>
      <c r="W214" s="30"/>
      <c r="X214" s="30"/>
      <c r="Y214" s="30"/>
      <c r="Z214" s="30"/>
      <c r="AA214" s="30"/>
      <c r="AB214" s="30"/>
      <c r="AC214" s="30"/>
      <c r="AD214" s="30"/>
      <c r="AE214" s="30"/>
    </row>
    <row r="215" ht="14.25" customHeight="1">
      <c r="A215" s="103"/>
      <c r="B215" s="30"/>
      <c r="D215" s="127"/>
      <c r="E215" s="66"/>
      <c r="G215" s="35"/>
      <c r="H215" s="77"/>
      <c r="I215" s="77"/>
      <c r="J215" s="77"/>
      <c r="K215" s="77"/>
      <c r="L215" s="77"/>
      <c r="M215" s="35"/>
      <c r="N215" s="35"/>
      <c r="O215" s="35"/>
      <c r="P215" s="35"/>
      <c r="Q215" s="35"/>
      <c r="R215" s="35"/>
      <c r="S215" s="35"/>
      <c r="T215" s="35"/>
      <c r="U215" s="35"/>
      <c r="V215" s="30"/>
      <c r="W215" s="30"/>
      <c r="X215" s="30"/>
      <c r="Y215" s="30"/>
      <c r="Z215" s="30"/>
      <c r="AA215" s="30"/>
      <c r="AB215" s="30"/>
      <c r="AC215" s="30"/>
      <c r="AD215" s="30"/>
      <c r="AE215" s="30"/>
    </row>
    <row r="216" ht="14.25" customHeight="1">
      <c r="A216" s="103"/>
      <c r="B216" s="30"/>
      <c r="D216" s="127"/>
      <c r="E216" s="66"/>
      <c r="G216" s="35"/>
      <c r="H216" s="77"/>
      <c r="I216" s="77"/>
      <c r="J216" s="77"/>
      <c r="K216" s="77"/>
      <c r="L216" s="77"/>
      <c r="M216" s="35"/>
      <c r="N216" s="35"/>
      <c r="O216" s="35"/>
      <c r="P216" s="35"/>
      <c r="Q216" s="35"/>
      <c r="R216" s="35"/>
      <c r="S216" s="35"/>
      <c r="T216" s="35"/>
      <c r="U216" s="35"/>
      <c r="V216" s="30"/>
      <c r="W216" s="30"/>
      <c r="X216" s="30"/>
      <c r="Y216" s="30"/>
      <c r="Z216" s="30"/>
      <c r="AA216" s="30"/>
      <c r="AB216" s="30"/>
      <c r="AC216" s="30"/>
      <c r="AD216" s="30"/>
      <c r="AE216" s="30"/>
    </row>
    <row r="217" ht="14.25" customHeight="1">
      <c r="A217" s="103"/>
      <c r="B217" s="30"/>
      <c r="D217" s="127"/>
      <c r="E217" s="66"/>
      <c r="G217" s="35"/>
      <c r="H217" s="77"/>
      <c r="I217" s="77"/>
      <c r="J217" s="77"/>
      <c r="K217" s="77"/>
      <c r="L217" s="77"/>
      <c r="M217" s="35"/>
      <c r="N217" s="35"/>
      <c r="O217" s="35"/>
      <c r="P217" s="35"/>
      <c r="Q217" s="35"/>
      <c r="R217" s="35"/>
      <c r="S217" s="35"/>
      <c r="T217" s="35"/>
      <c r="U217" s="35"/>
      <c r="V217" s="30"/>
      <c r="W217" s="30"/>
      <c r="X217" s="30"/>
      <c r="Y217" s="30"/>
      <c r="Z217" s="30"/>
      <c r="AA217" s="30"/>
      <c r="AB217" s="30"/>
      <c r="AC217" s="30"/>
      <c r="AD217" s="30"/>
      <c r="AE217" s="30"/>
    </row>
    <row r="218" ht="14.25" customHeight="1">
      <c r="A218" s="103"/>
      <c r="B218" s="30"/>
      <c r="D218" s="127"/>
      <c r="E218" s="66"/>
      <c r="G218" s="35"/>
      <c r="H218" s="77"/>
      <c r="I218" s="77"/>
      <c r="J218" s="77"/>
      <c r="K218" s="77"/>
      <c r="L218" s="77"/>
      <c r="M218" s="35"/>
      <c r="N218" s="35"/>
      <c r="O218" s="35"/>
      <c r="P218" s="35"/>
      <c r="Q218" s="35"/>
      <c r="R218" s="35"/>
      <c r="S218" s="35"/>
      <c r="T218" s="35"/>
      <c r="U218" s="35"/>
      <c r="V218" s="30"/>
      <c r="W218" s="30"/>
      <c r="X218" s="30"/>
      <c r="Y218" s="30"/>
      <c r="Z218" s="30"/>
      <c r="AA218" s="30"/>
      <c r="AB218" s="30"/>
      <c r="AC218" s="30"/>
      <c r="AD218" s="30"/>
      <c r="AE218" s="30"/>
    </row>
    <row r="219" ht="14.25" customHeight="1">
      <c r="A219" s="103"/>
      <c r="B219" s="30"/>
      <c r="D219" s="127"/>
      <c r="E219" s="66"/>
      <c r="G219" s="35"/>
      <c r="H219" s="77"/>
      <c r="I219" s="77"/>
      <c r="J219" s="77"/>
      <c r="K219" s="77"/>
      <c r="L219" s="77"/>
      <c r="M219" s="35"/>
      <c r="N219" s="35"/>
      <c r="O219" s="35"/>
      <c r="P219" s="35"/>
      <c r="Q219" s="35"/>
      <c r="R219" s="35"/>
      <c r="S219" s="35"/>
      <c r="T219" s="35"/>
      <c r="U219" s="35"/>
      <c r="V219" s="30"/>
      <c r="W219" s="30"/>
      <c r="X219" s="30"/>
      <c r="Y219" s="30"/>
      <c r="Z219" s="30"/>
      <c r="AA219" s="30"/>
      <c r="AB219" s="30"/>
      <c r="AC219" s="30"/>
      <c r="AD219" s="30"/>
      <c r="AE219" s="30"/>
    </row>
    <row r="220" ht="14.25" customHeight="1">
      <c r="A220" s="103"/>
      <c r="B220" s="30"/>
      <c r="D220" s="127"/>
      <c r="E220" s="66"/>
      <c r="G220" s="35"/>
      <c r="H220" s="77"/>
      <c r="I220" s="77"/>
      <c r="J220" s="77"/>
      <c r="K220" s="77"/>
      <c r="L220" s="77"/>
      <c r="M220" s="35"/>
      <c r="N220" s="35"/>
      <c r="O220" s="35"/>
      <c r="P220" s="35"/>
      <c r="Q220" s="35"/>
      <c r="R220" s="35"/>
      <c r="S220" s="35"/>
      <c r="T220" s="35"/>
      <c r="U220" s="35"/>
      <c r="V220" s="30"/>
      <c r="W220" s="30"/>
      <c r="X220" s="30"/>
      <c r="Y220" s="30"/>
      <c r="Z220" s="30"/>
      <c r="AA220" s="30"/>
      <c r="AB220" s="30"/>
      <c r="AC220" s="30"/>
      <c r="AD220" s="30"/>
      <c r="AE220" s="30"/>
    </row>
    <row r="221" ht="14.25" customHeight="1">
      <c r="A221" s="103"/>
      <c r="B221" s="30"/>
      <c r="D221" s="127"/>
      <c r="E221" s="66"/>
      <c r="G221" s="35"/>
      <c r="H221" s="77"/>
      <c r="I221" s="77"/>
      <c r="J221" s="77"/>
      <c r="K221" s="77"/>
      <c r="L221" s="77"/>
      <c r="M221" s="35"/>
      <c r="N221" s="35"/>
      <c r="O221" s="35"/>
      <c r="P221" s="35"/>
      <c r="Q221" s="35"/>
      <c r="R221" s="35"/>
      <c r="S221" s="35"/>
      <c r="T221" s="35"/>
      <c r="U221" s="35"/>
      <c r="V221" s="30"/>
      <c r="W221" s="30"/>
      <c r="X221" s="30"/>
      <c r="Y221" s="30"/>
      <c r="Z221" s="30"/>
      <c r="AA221" s="30"/>
      <c r="AB221" s="30"/>
      <c r="AC221" s="30"/>
      <c r="AD221" s="30"/>
      <c r="AE221" s="30"/>
    </row>
    <row r="222" ht="14.25" customHeight="1">
      <c r="A222" s="103"/>
      <c r="B222" s="30"/>
      <c r="D222" s="127"/>
      <c r="E222" s="66"/>
      <c r="G222" s="35"/>
      <c r="H222" s="77"/>
      <c r="I222" s="77"/>
      <c r="J222" s="77"/>
      <c r="K222" s="77"/>
      <c r="L222" s="77"/>
      <c r="M222" s="35"/>
      <c r="N222" s="35"/>
      <c r="O222" s="35"/>
      <c r="P222" s="35"/>
      <c r="Q222" s="35"/>
      <c r="R222" s="35"/>
      <c r="S222" s="35"/>
      <c r="T222" s="35"/>
      <c r="U222" s="35"/>
      <c r="V222" s="30"/>
      <c r="W222" s="30"/>
      <c r="X222" s="30"/>
      <c r="Y222" s="30"/>
      <c r="Z222" s="30"/>
      <c r="AA222" s="30"/>
      <c r="AB222" s="30"/>
      <c r="AC222" s="30"/>
      <c r="AD222" s="30"/>
      <c r="AE222" s="30"/>
    </row>
    <row r="223" ht="14.25" customHeight="1">
      <c r="A223" s="103"/>
      <c r="B223" s="30"/>
      <c r="D223" s="127"/>
      <c r="E223" s="66"/>
      <c r="G223" s="35"/>
      <c r="H223" s="77"/>
      <c r="I223" s="77"/>
      <c r="J223" s="77"/>
      <c r="K223" s="77"/>
      <c r="L223" s="77"/>
      <c r="M223" s="35"/>
      <c r="N223" s="35"/>
      <c r="O223" s="35"/>
      <c r="P223" s="35"/>
      <c r="Q223" s="35"/>
      <c r="R223" s="35"/>
      <c r="S223" s="35"/>
      <c r="T223" s="35"/>
      <c r="U223" s="35"/>
      <c r="V223" s="30"/>
      <c r="W223" s="30"/>
      <c r="X223" s="30"/>
      <c r="Y223" s="30"/>
      <c r="Z223" s="30"/>
      <c r="AA223" s="30"/>
      <c r="AB223" s="30"/>
      <c r="AC223" s="30"/>
      <c r="AD223" s="30"/>
      <c r="AE223" s="30"/>
    </row>
    <row r="224" ht="14.25" customHeight="1">
      <c r="A224" s="103"/>
      <c r="B224" s="30"/>
      <c r="D224" s="127"/>
      <c r="E224" s="66"/>
      <c r="G224" s="35"/>
      <c r="H224" s="77"/>
      <c r="I224" s="77"/>
      <c r="J224" s="77"/>
      <c r="K224" s="77"/>
      <c r="L224" s="77"/>
      <c r="M224" s="35"/>
      <c r="N224" s="35"/>
      <c r="O224" s="35"/>
      <c r="P224" s="35"/>
      <c r="Q224" s="35"/>
      <c r="R224" s="35"/>
      <c r="S224" s="35"/>
      <c r="T224" s="35"/>
      <c r="U224" s="35"/>
      <c r="V224" s="30"/>
      <c r="W224" s="30"/>
      <c r="X224" s="30"/>
      <c r="Y224" s="30"/>
      <c r="Z224" s="30"/>
      <c r="AA224" s="30"/>
      <c r="AB224" s="30"/>
      <c r="AC224" s="30"/>
      <c r="AD224" s="30"/>
      <c r="AE224" s="3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24"/>
    <mergeCell ref="C1:C2"/>
  </mergeCells>
  <printOptions verticalCentered="1"/>
  <pageMargins bottom="0.7480314960629921" footer="0.0" header="0.0" left="0.2362204724409449" right="0.2362204724409449" top="0.7480314960629921"/>
  <pageSetup paperSize="9" scale="87"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33.43"/>
    <col customWidth="1" min="2" max="2" width="13.0"/>
    <col customWidth="1" min="3" max="3" width="8.86"/>
    <col customWidth="1" min="4" max="4" width="98.43"/>
    <col customWidth="1" min="5" max="5" width="53.29"/>
    <col customWidth="1" min="6" max="6" width="20.14"/>
    <col customWidth="1" hidden="1" min="7" max="7" width="15.71" outlineLevel="1"/>
    <col customWidth="1" hidden="1" min="8" max="8" width="0.43" outlineLevel="1"/>
    <col customWidth="1" min="9" max="9" width="11.86"/>
    <col customWidth="1" hidden="1" min="10" max="10" width="15.71" outlineLevel="1"/>
    <col customWidth="1" min="11" max="11" width="11.86"/>
    <col customWidth="1" hidden="1" min="12" max="12" width="15.71" outlineLevel="1"/>
    <col customWidth="1" min="13" max="13" width="11.86"/>
    <col customWidth="1" hidden="1" min="14" max="25" width="11.86" outlineLevel="1"/>
    <col customWidth="1" min="26" max="26" width="12.0"/>
    <col customWidth="1" min="27" max="27" width="22.14" outlineLevel="1"/>
    <col customWidth="1" min="28" max="36" width="12.0" outlineLevel="1"/>
    <col customWidth="1" min="37" max="40" width="14.86"/>
  </cols>
  <sheetData>
    <row r="1" ht="6.75" customHeight="1">
      <c r="A1" s="30"/>
      <c r="B1" s="128"/>
      <c r="C1" s="128"/>
      <c r="D1" s="128"/>
      <c r="E1" s="128"/>
      <c r="F1" s="128"/>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129"/>
      <c r="AM1" s="129"/>
      <c r="AN1" s="129"/>
    </row>
    <row r="2" ht="21.75" customHeight="1">
      <c r="A2" s="36"/>
      <c r="B2" s="130"/>
      <c r="C2" s="17"/>
      <c r="D2" s="17"/>
      <c r="E2" s="17"/>
      <c r="F2" s="17"/>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129"/>
      <c r="AM2" s="129"/>
      <c r="AN2" s="131" t="s">
        <v>88</v>
      </c>
    </row>
    <row r="3" ht="60.75" customHeight="1">
      <c r="A3" s="30"/>
      <c r="B3" s="132"/>
      <c r="C3" s="17"/>
      <c r="D3" s="17"/>
      <c r="E3" s="17"/>
      <c r="F3" s="17"/>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129"/>
      <c r="AM3" s="129"/>
      <c r="AN3" s="129"/>
    </row>
    <row r="4" ht="57.0" customHeight="1">
      <c r="A4" s="30"/>
      <c r="B4" s="128"/>
      <c r="C4" s="128"/>
      <c r="D4" s="128"/>
      <c r="E4" s="128"/>
      <c r="F4" s="128"/>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129"/>
      <c r="AM4" s="129"/>
      <c r="AN4" s="129"/>
    </row>
    <row r="5" ht="45.75" customHeight="1">
      <c r="A5" s="30"/>
      <c r="B5" s="133" t="s">
        <v>89</v>
      </c>
      <c r="C5" s="133" t="s">
        <v>90</v>
      </c>
      <c r="D5" s="133" t="s">
        <v>91</v>
      </c>
      <c r="E5" s="133" t="s">
        <v>92</v>
      </c>
      <c r="F5" s="133" t="s">
        <v>93</v>
      </c>
      <c r="G5" s="134" t="s">
        <v>94</v>
      </c>
      <c r="H5" s="135">
        <v>43435.0</v>
      </c>
      <c r="I5" s="134" t="s">
        <v>95</v>
      </c>
      <c r="J5" s="134" t="s">
        <v>96</v>
      </c>
      <c r="K5" s="134" t="s">
        <v>97</v>
      </c>
      <c r="L5" s="134" t="s">
        <v>98</v>
      </c>
      <c r="M5" s="134" t="s">
        <v>99</v>
      </c>
      <c r="N5" s="135">
        <v>44197.0</v>
      </c>
      <c r="O5" s="135">
        <v>44228.0</v>
      </c>
      <c r="P5" s="135">
        <v>44256.0</v>
      </c>
      <c r="Q5" s="135">
        <v>44287.0</v>
      </c>
      <c r="R5" s="135">
        <v>44317.0</v>
      </c>
      <c r="S5" s="135">
        <v>44348.0</v>
      </c>
      <c r="T5" s="135">
        <v>44378.0</v>
      </c>
      <c r="U5" s="135">
        <v>44409.0</v>
      </c>
      <c r="V5" s="135">
        <v>44440.0</v>
      </c>
      <c r="W5" s="135">
        <v>44470.0</v>
      </c>
      <c r="X5" s="135">
        <v>44501.0</v>
      </c>
      <c r="Y5" s="135">
        <v>44531.0</v>
      </c>
      <c r="Z5" s="134" t="s">
        <v>100</v>
      </c>
      <c r="AA5" s="134" t="s">
        <v>101</v>
      </c>
      <c r="AB5" s="134"/>
      <c r="AC5" s="134"/>
      <c r="AD5" s="134"/>
      <c r="AE5" s="134"/>
      <c r="AF5" s="134"/>
      <c r="AG5" s="134"/>
      <c r="AH5" s="134"/>
      <c r="AI5" s="134"/>
      <c r="AJ5" s="134"/>
      <c r="AK5" s="134" t="s">
        <v>102</v>
      </c>
      <c r="AL5" s="134"/>
      <c r="AM5" s="134"/>
      <c r="AN5" s="134" t="s">
        <v>103</v>
      </c>
    </row>
    <row r="6" ht="8.25" customHeight="1">
      <c r="A6" s="30"/>
      <c r="B6" s="104"/>
      <c r="C6" s="104"/>
      <c r="D6" s="104"/>
      <c r="E6" s="104"/>
      <c r="F6" s="104"/>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136"/>
      <c r="AM6" s="136"/>
      <c r="AN6" s="136"/>
    </row>
    <row r="7" ht="27.0" customHeight="1">
      <c r="A7" s="30"/>
      <c r="B7" s="137" t="s">
        <v>104</v>
      </c>
      <c r="C7" s="138">
        <v>1.0</v>
      </c>
      <c r="D7" s="139"/>
      <c r="E7" s="139"/>
      <c r="F7" s="138"/>
      <c r="G7" s="140"/>
      <c r="H7" s="141"/>
      <c r="I7" s="140"/>
      <c r="J7" s="140"/>
      <c r="K7" s="140"/>
      <c r="L7" s="140"/>
      <c r="M7" s="140"/>
      <c r="N7" s="141"/>
      <c r="O7" s="141"/>
      <c r="P7" s="141"/>
      <c r="Q7" s="141"/>
      <c r="R7" s="141"/>
      <c r="S7" s="141"/>
      <c r="T7" s="141"/>
      <c r="U7" s="141"/>
      <c r="V7" s="141"/>
      <c r="W7" s="141"/>
      <c r="X7" s="141"/>
      <c r="Y7" s="141"/>
      <c r="Z7" s="142"/>
      <c r="AA7" s="140">
        <v>210000.0</v>
      </c>
      <c r="AB7" s="140">
        <v>210000.0</v>
      </c>
      <c r="AC7" s="140">
        <v>210000.0</v>
      </c>
      <c r="AD7" s="140">
        <v>210000.0</v>
      </c>
      <c r="AE7" s="140">
        <v>210000.0</v>
      </c>
      <c r="AF7" s="140">
        <v>210000.0</v>
      </c>
      <c r="AG7" s="140">
        <v>210000.0</v>
      </c>
      <c r="AH7" s="140">
        <v>210000.0</v>
      </c>
      <c r="AI7" s="140">
        <v>210000.0</v>
      </c>
      <c r="AJ7" s="140">
        <v>210000.0</v>
      </c>
      <c r="AK7" s="143">
        <f t="shared" ref="AK7:AK11" si="1">Z7*1.25</f>
        <v>0</v>
      </c>
      <c r="AL7" s="144"/>
      <c r="AM7" s="144"/>
      <c r="AN7" s="145" t="s">
        <v>105</v>
      </c>
    </row>
    <row r="8" ht="22.5" customHeight="1">
      <c r="A8" s="30"/>
      <c r="B8" s="146"/>
      <c r="C8" s="138">
        <v>2.0</v>
      </c>
      <c r="D8" s="147"/>
      <c r="E8" s="147"/>
      <c r="F8" s="138"/>
      <c r="G8" s="141"/>
      <c r="H8" s="141"/>
      <c r="I8" s="148"/>
      <c r="J8" s="141"/>
      <c r="K8" s="148"/>
      <c r="L8" s="141"/>
      <c r="M8" s="148"/>
      <c r="N8" s="141"/>
      <c r="O8" s="141"/>
      <c r="P8" s="141"/>
      <c r="Q8" s="141"/>
      <c r="R8" s="141"/>
      <c r="S8" s="141"/>
      <c r="T8" s="141"/>
      <c r="U8" s="141"/>
      <c r="V8" s="141"/>
      <c r="W8" s="141"/>
      <c r="X8" s="141"/>
      <c r="Y8" s="141"/>
      <c r="Z8" s="142"/>
      <c r="AA8" s="148">
        <v>150000.0</v>
      </c>
      <c r="AB8" s="148">
        <v>150000.0</v>
      </c>
      <c r="AC8" s="148">
        <v>150000.0</v>
      </c>
      <c r="AD8" s="148">
        <v>150000.0</v>
      </c>
      <c r="AE8" s="148">
        <v>150000.0</v>
      </c>
      <c r="AF8" s="148">
        <v>150000.0</v>
      </c>
      <c r="AG8" s="148">
        <v>150000.0</v>
      </c>
      <c r="AH8" s="148">
        <v>150000.0</v>
      </c>
      <c r="AI8" s="148">
        <v>150000.0</v>
      </c>
      <c r="AJ8" s="148">
        <v>150000.0</v>
      </c>
      <c r="AK8" s="143">
        <f t="shared" si="1"/>
        <v>0</v>
      </c>
      <c r="AL8" s="144"/>
      <c r="AM8" s="144"/>
      <c r="AN8" s="145" t="s">
        <v>105</v>
      </c>
    </row>
    <row r="9" ht="18.75" customHeight="1">
      <c r="A9" s="30"/>
      <c r="B9" s="146"/>
      <c r="C9" s="138">
        <v>3.0</v>
      </c>
      <c r="D9" s="147"/>
      <c r="E9" s="138"/>
      <c r="F9" s="138"/>
      <c r="G9" s="141"/>
      <c r="H9" s="141"/>
      <c r="I9" s="148"/>
      <c r="J9" s="141"/>
      <c r="K9" s="148"/>
      <c r="L9" s="141"/>
      <c r="M9" s="148"/>
      <c r="N9" s="141"/>
      <c r="O9" s="141"/>
      <c r="P9" s="141"/>
      <c r="Q9" s="141"/>
      <c r="R9" s="141"/>
      <c r="S9" s="141"/>
      <c r="T9" s="141"/>
      <c r="U9" s="141"/>
      <c r="V9" s="141"/>
      <c r="W9" s="141"/>
      <c r="X9" s="141"/>
      <c r="Y9" s="141"/>
      <c r="Z9" s="142"/>
      <c r="AA9" s="148">
        <v>360000.0</v>
      </c>
      <c r="AB9" s="148">
        <v>360000.0</v>
      </c>
      <c r="AC9" s="148">
        <v>360000.0</v>
      </c>
      <c r="AD9" s="148">
        <v>360000.0</v>
      </c>
      <c r="AE9" s="148">
        <v>360000.0</v>
      </c>
      <c r="AF9" s="148">
        <v>360000.0</v>
      </c>
      <c r="AG9" s="148">
        <v>360000.0</v>
      </c>
      <c r="AH9" s="148">
        <v>360000.0</v>
      </c>
      <c r="AI9" s="148">
        <v>360000.0</v>
      </c>
      <c r="AJ9" s="148">
        <v>360000.0</v>
      </c>
      <c r="AK9" s="143">
        <f t="shared" si="1"/>
        <v>0</v>
      </c>
      <c r="AL9" s="144"/>
      <c r="AM9" s="144"/>
      <c r="AN9" s="145" t="s">
        <v>105</v>
      </c>
    </row>
    <row r="10" ht="21.0" customHeight="1">
      <c r="A10" s="30"/>
      <c r="B10" s="146"/>
      <c r="C10" s="138">
        <v>4.0</v>
      </c>
      <c r="D10" s="147"/>
      <c r="E10" s="138"/>
      <c r="F10" s="138"/>
      <c r="G10" s="141"/>
      <c r="H10" s="141"/>
      <c r="I10" s="148"/>
      <c r="J10" s="141"/>
      <c r="K10" s="148"/>
      <c r="L10" s="141"/>
      <c r="M10" s="148"/>
      <c r="N10" s="141"/>
      <c r="O10" s="141"/>
      <c r="P10" s="141"/>
      <c r="Q10" s="141"/>
      <c r="R10" s="141"/>
      <c r="S10" s="141"/>
      <c r="T10" s="141"/>
      <c r="U10" s="141"/>
      <c r="V10" s="141"/>
      <c r="W10" s="141"/>
      <c r="X10" s="141"/>
      <c r="Y10" s="141"/>
      <c r="Z10" s="142"/>
      <c r="AA10" s="149">
        <v>150000.0</v>
      </c>
      <c r="AB10" s="149">
        <v>150000.0</v>
      </c>
      <c r="AC10" s="149">
        <v>150000.0</v>
      </c>
      <c r="AD10" s="149">
        <v>150000.0</v>
      </c>
      <c r="AE10" s="149">
        <v>150000.0</v>
      </c>
      <c r="AF10" s="149">
        <v>150000.0</v>
      </c>
      <c r="AG10" s="149">
        <v>150000.0</v>
      </c>
      <c r="AH10" s="149">
        <v>150000.0</v>
      </c>
      <c r="AI10" s="149">
        <v>150000.0</v>
      </c>
      <c r="AJ10" s="149">
        <v>150000.0</v>
      </c>
      <c r="AK10" s="143">
        <f t="shared" si="1"/>
        <v>0</v>
      </c>
      <c r="AL10" s="144"/>
      <c r="AM10" s="144"/>
      <c r="AN10" s="145" t="s">
        <v>105</v>
      </c>
    </row>
    <row r="11" ht="21.0" customHeight="1">
      <c r="A11" s="30"/>
      <c r="B11" s="150"/>
      <c r="C11" s="138">
        <v>5.0</v>
      </c>
      <c r="D11" s="138"/>
      <c r="E11" s="138"/>
      <c r="F11" s="138"/>
      <c r="G11" s="141"/>
      <c r="H11" s="141"/>
      <c r="I11" s="141"/>
      <c r="J11" s="141"/>
      <c r="K11" s="141"/>
      <c r="L11" s="141"/>
      <c r="M11" s="141"/>
      <c r="N11" s="141"/>
      <c r="O11" s="141"/>
      <c r="P11" s="141"/>
      <c r="Q11" s="141"/>
      <c r="R11" s="141"/>
      <c r="S11" s="141"/>
      <c r="T11" s="141"/>
      <c r="U11" s="141"/>
      <c r="V11" s="141"/>
      <c r="W11" s="141"/>
      <c r="X11" s="141"/>
      <c r="Y11" s="141"/>
      <c r="Z11" s="142"/>
      <c r="AA11" s="151"/>
      <c r="AB11" s="151"/>
      <c r="AC11" s="151"/>
      <c r="AD11" s="151"/>
      <c r="AE11" s="151"/>
      <c r="AF11" s="151"/>
      <c r="AG11" s="151"/>
      <c r="AH11" s="151"/>
      <c r="AI11" s="151"/>
      <c r="AJ11" s="151"/>
      <c r="AK11" s="143">
        <f t="shared" si="1"/>
        <v>0</v>
      </c>
      <c r="AL11" s="145"/>
      <c r="AM11" s="145"/>
      <c r="AN11" s="145" t="s">
        <v>105</v>
      </c>
    </row>
    <row r="12" ht="6.0" customHeight="1">
      <c r="A12" s="30"/>
      <c r="B12" s="152"/>
      <c r="C12" s="104"/>
      <c r="D12" s="104"/>
      <c r="E12" s="104"/>
      <c r="F12" s="104"/>
      <c r="G12" s="30"/>
      <c r="H12" s="30"/>
      <c r="I12" s="30"/>
      <c r="J12" s="30"/>
      <c r="K12" s="30"/>
      <c r="L12" s="30"/>
      <c r="M12" s="30"/>
      <c r="N12" s="30"/>
      <c r="O12" s="30"/>
      <c r="P12" s="30"/>
      <c r="Q12" s="30"/>
      <c r="R12" s="30"/>
      <c r="S12" s="30"/>
      <c r="T12" s="30"/>
      <c r="U12" s="30"/>
      <c r="V12" s="30"/>
      <c r="W12" s="30"/>
      <c r="X12" s="30"/>
      <c r="Y12" s="30"/>
      <c r="Z12" s="153"/>
      <c r="AA12" s="153"/>
      <c r="AB12" s="153"/>
      <c r="AC12" s="153"/>
      <c r="AD12" s="153"/>
      <c r="AE12" s="153"/>
      <c r="AF12" s="153"/>
      <c r="AG12" s="153"/>
      <c r="AH12" s="153"/>
      <c r="AI12" s="153"/>
      <c r="AJ12" s="153"/>
      <c r="AK12" s="153"/>
      <c r="AL12" s="136"/>
      <c r="AM12" s="136"/>
      <c r="AN12" s="136"/>
    </row>
    <row r="13" ht="25.5" customHeight="1">
      <c r="A13" s="30"/>
      <c r="B13" s="154" t="s">
        <v>106</v>
      </c>
      <c r="C13" s="138">
        <v>1.0</v>
      </c>
      <c r="D13" s="138"/>
      <c r="E13" s="138"/>
      <c r="F13" s="138"/>
      <c r="G13" s="141"/>
      <c r="H13" s="141"/>
      <c r="I13" s="141"/>
      <c r="J13" s="141"/>
      <c r="K13" s="141"/>
      <c r="L13" s="141"/>
      <c r="M13" s="141"/>
      <c r="N13" s="141"/>
      <c r="O13" s="141"/>
      <c r="P13" s="141"/>
      <c r="Q13" s="141"/>
      <c r="R13" s="141"/>
      <c r="S13" s="141"/>
      <c r="T13" s="141"/>
      <c r="U13" s="141"/>
      <c r="V13" s="141"/>
      <c r="W13" s="141"/>
      <c r="X13" s="141"/>
      <c r="Y13" s="141"/>
      <c r="Z13" s="155"/>
      <c r="AA13" s="155"/>
      <c r="AB13" s="155"/>
      <c r="AC13" s="155"/>
      <c r="AD13" s="155"/>
      <c r="AE13" s="155"/>
      <c r="AF13" s="155"/>
      <c r="AG13" s="155">
        <v>200.0</v>
      </c>
      <c r="AH13" s="155">
        <v>200.0</v>
      </c>
      <c r="AI13" s="155">
        <v>200.0</v>
      </c>
      <c r="AJ13" s="155">
        <v>200.0</v>
      </c>
      <c r="AK13" s="155">
        <f t="shared" ref="AK13:AK17" si="2">Z13*1.25</f>
        <v>0</v>
      </c>
      <c r="AL13" s="145"/>
      <c r="AM13" s="145"/>
      <c r="AN13" s="145" t="s">
        <v>105</v>
      </c>
    </row>
    <row r="14" ht="25.5" customHeight="1">
      <c r="A14" s="59"/>
      <c r="B14" s="146"/>
      <c r="C14" s="138">
        <v>2.0</v>
      </c>
      <c r="D14" s="138"/>
      <c r="E14" s="147"/>
      <c r="F14" s="138"/>
      <c r="G14" s="141"/>
      <c r="H14" s="141"/>
      <c r="I14" s="141"/>
      <c r="J14" s="141"/>
      <c r="K14" s="141"/>
      <c r="L14" s="141"/>
      <c r="M14" s="141"/>
      <c r="N14" s="141"/>
      <c r="O14" s="141"/>
      <c r="P14" s="141"/>
      <c r="Q14" s="141"/>
      <c r="R14" s="141"/>
      <c r="S14" s="141"/>
      <c r="T14" s="141"/>
      <c r="U14" s="141"/>
      <c r="V14" s="141"/>
      <c r="W14" s="141"/>
      <c r="X14" s="141"/>
      <c r="Y14" s="141"/>
      <c r="Z14" s="151"/>
      <c r="AA14" s="151"/>
      <c r="AB14" s="151"/>
      <c r="AC14" s="151"/>
      <c r="AD14" s="151"/>
      <c r="AE14" s="151"/>
      <c r="AF14" s="151"/>
      <c r="AG14" s="151">
        <v>200.0</v>
      </c>
      <c r="AH14" s="151">
        <v>200.0</v>
      </c>
      <c r="AI14" s="151">
        <v>200.0</v>
      </c>
      <c r="AJ14" s="151">
        <v>200.0</v>
      </c>
      <c r="AK14" s="155">
        <f t="shared" si="2"/>
        <v>0</v>
      </c>
      <c r="AL14" s="145"/>
      <c r="AM14" s="145"/>
      <c r="AN14" s="145" t="s">
        <v>105</v>
      </c>
    </row>
    <row r="15" ht="29.25" customHeight="1">
      <c r="A15" s="59"/>
      <c r="B15" s="146"/>
      <c r="C15" s="138">
        <v>3.0</v>
      </c>
      <c r="D15" s="138"/>
      <c r="E15" s="138"/>
      <c r="F15" s="138"/>
      <c r="G15" s="141"/>
      <c r="H15" s="141"/>
      <c r="I15" s="141"/>
      <c r="J15" s="141"/>
      <c r="K15" s="141"/>
      <c r="L15" s="141"/>
      <c r="M15" s="141"/>
      <c r="N15" s="141"/>
      <c r="O15" s="141"/>
      <c r="P15" s="141"/>
      <c r="Q15" s="141"/>
      <c r="R15" s="141"/>
      <c r="S15" s="141"/>
      <c r="T15" s="141"/>
      <c r="U15" s="141"/>
      <c r="V15" s="141"/>
      <c r="W15" s="141"/>
      <c r="X15" s="141"/>
      <c r="Y15" s="141"/>
      <c r="Z15" s="151"/>
      <c r="AA15" s="151"/>
      <c r="AB15" s="151"/>
      <c r="AC15" s="151"/>
      <c r="AD15" s="151"/>
      <c r="AE15" s="151"/>
      <c r="AF15" s="151"/>
      <c r="AG15" s="151">
        <v>200.0</v>
      </c>
      <c r="AH15" s="151">
        <v>200.0</v>
      </c>
      <c r="AI15" s="151">
        <v>200.0</v>
      </c>
      <c r="AJ15" s="151">
        <v>200.0</v>
      </c>
      <c r="AK15" s="155">
        <f t="shared" si="2"/>
        <v>0</v>
      </c>
      <c r="AL15" s="141"/>
      <c r="AM15" s="141"/>
      <c r="AN15" s="145" t="s">
        <v>105</v>
      </c>
    </row>
    <row r="16" ht="29.25" customHeight="1">
      <c r="A16" s="30"/>
      <c r="B16" s="146"/>
      <c r="C16" s="138">
        <v>4.0</v>
      </c>
      <c r="D16" s="138"/>
      <c r="E16" s="138"/>
      <c r="F16" s="138"/>
      <c r="G16" s="141"/>
      <c r="H16" s="141"/>
      <c r="I16" s="141"/>
      <c r="J16" s="141"/>
      <c r="K16" s="141"/>
      <c r="L16" s="141"/>
      <c r="M16" s="141"/>
      <c r="N16" s="141"/>
      <c r="O16" s="141"/>
      <c r="P16" s="141"/>
      <c r="Q16" s="141"/>
      <c r="R16" s="141"/>
      <c r="S16" s="141"/>
      <c r="T16" s="141"/>
      <c r="U16" s="141"/>
      <c r="V16" s="141"/>
      <c r="W16" s="141"/>
      <c r="X16" s="141"/>
      <c r="Y16" s="141"/>
      <c r="Z16" s="151"/>
      <c r="AA16" s="151"/>
      <c r="AB16" s="151"/>
      <c r="AC16" s="151"/>
      <c r="AD16" s="151"/>
      <c r="AE16" s="151"/>
      <c r="AF16" s="151"/>
      <c r="AG16" s="151">
        <v>200.0</v>
      </c>
      <c r="AH16" s="151">
        <v>200.0</v>
      </c>
      <c r="AI16" s="151">
        <v>200.0</v>
      </c>
      <c r="AJ16" s="151">
        <v>200.0</v>
      </c>
      <c r="AK16" s="155">
        <f t="shared" si="2"/>
        <v>0</v>
      </c>
      <c r="AL16" s="145"/>
      <c r="AM16" s="145"/>
      <c r="AN16" s="145" t="s">
        <v>105</v>
      </c>
    </row>
    <row r="17" ht="29.25" customHeight="1">
      <c r="A17" s="30"/>
      <c r="B17" s="150"/>
      <c r="C17" s="138">
        <v>5.0</v>
      </c>
      <c r="D17" s="138"/>
      <c r="E17" s="138"/>
      <c r="F17" s="138"/>
      <c r="G17" s="141"/>
      <c r="H17" s="141"/>
      <c r="I17" s="141"/>
      <c r="J17" s="141"/>
      <c r="K17" s="141"/>
      <c r="L17" s="141"/>
      <c r="M17" s="141"/>
      <c r="N17" s="141"/>
      <c r="O17" s="141"/>
      <c r="P17" s="141"/>
      <c r="Q17" s="141"/>
      <c r="R17" s="141"/>
      <c r="S17" s="141"/>
      <c r="T17" s="141"/>
      <c r="U17" s="141"/>
      <c r="V17" s="141"/>
      <c r="W17" s="141"/>
      <c r="X17" s="141"/>
      <c r="Y17" s="141"/>
      <c r="Z17" s="151"/>
      <c r="AA17" s="151"/>
      <c r="AB17" s="151"/>
      <c r="AC17" s="151"/>
      <c r="AD17" s="151"/>
      <c r="AE17" s="151"/>
      <c r="AF17" s="151"/>
      <c r="AG17" s="151">
        <v>200.0</v>
      </c>
      <c r="AH17" s="151">
        <v>200.0</v>
      </c>
      <c r="AI17" s="151">
        <v>200.0</v>
      </c>
      <c r="AJ17" s="151">
        <v>200.0</v>
      </c>
      <c r="AK17" s="151">
        <f t="shared" si="2"/>
        <v>0</v>
      </c>
      <c r="AL17" s="145"/>
      <c r="AM17" s="145"/>
      <c r="AN17" s="145" t="s">
        <v>105</v>
      </c>
    </row>
    <row r="18" ht="6.0" customHeight="1">
      <c r="A18" s="30"/>
      <c r="B18" s="152"/>
      <c r="C18" s="104"/>
      <c r="D18" s="104"/>
      <c r="E18" s="104"/>
      <c r="F18" s="104"/>
      <c r="G18" s="30"/>
      <c r="H18" s="30"/>
      <c r="I18" s="30"/>
      <c r="J18" s="30"/>
      <c r="K18" s="30"/>
      <c r="L18" s="30"/>
      <c r="M18" s="30"/>
      <c r="N18" s="30"/>
      <c r="O18" s="30"/>
      <c r="P18" s="30"/>
      <c r="Q18" s="30"/>
      <c r="R18" s="30"/>
      <c r="S18" s="30"/>
      <c r="T18" s="30"/>
      <c r="U18" s="30"/>
      <c r="V18" s="30"/>
      <c r="W18" s="30"/>
      <c r="X18" s="30"/>
      <c r="Y18" s="30"/>
      <c r="Z18" s="153"/>
      <c r="AA18" s="153"/>
      <c r="AB18" s="153"/>
      <c r="AC18" s="153"/>
      <c r="AD18" s="153"/>
      <c r="AE18" s="153"/>
      <c r="AF18" s="153"/>
      <c r="AG18" s="153"/>
      <c r="AH18" s="153"/>
      <c r="AI18" s="153"/>
      <c r="AJ18" s="153"/>
      <c r="AK18" s="153"/>
      <c r="AL18" s="136"/>
      <c r="AM18" s="136"/>
      <c r="AN18" s="136"/>
    </row>
    <row r="19" ht="29.25" customHeight="1">
      <c r="A19" s="30"/>
      <c r="B19" s="156" t="s">
        <v>106</v>
      </c>
      <c r="C19" s="138">
        <v>1.0</v>
      </c>
      <c r="D19" s="138"/>
      <c r="E19" s="138"/>
      <c r="F19" s="138"/>
      <c r="G19" s="141"/>
      <c r="H19" s="141"/>
      <c r="I19" s="141"/>
      <c r="J19" s="141"/>
      <c r="K19" s="141"/>
      <c r="L19" s="141"/>
      <c r="M19" s="141"/>
      <c r="N19" s="141"/>
      <c r="O19" s="141"/>
      <c r="P19" s="141"/>
      <c r="Q19" s="141"/>
      <c r="R19" s="141"/>
      <c r="S19" s="141"/>
      <c r="T19" s="141"/>
      <c r="U19" s="141"/>
      <c r="V19" s="141"/>
      <c r="W19" s="141"/>
      <c r="X19" s="141"/>
      <c r="Y19" s="141"/>
      <c r="Z19" s="151"/>
      <c r="AA19" s="151"/>
      <c r="AB19" s="151"/>
      <c r="AC19" s="151"/>
      <c r="AD19" s="151"/>
      <c r="AE19" s="151"/>
      <c r="AF19" s="151"/>
      <c r="AG19" s="151"/>
      <c r="AH19" s="151"/>
      <c r="AI19" s="151"/>
      <c r="AJ19" s="151"/>
      <c r="AK19" s="151"/>
      <c r="AL19" s="145"/>
      <c r="AM19" s="145"/>
      <c r="AN19" s="145" t="s">
        <v>105</v>
      </c>
    </row>
    <row r="20" ht="29.25" customHeight="1">
      <c r="A20" s="30"/>
      <c r="B20" s="146"/>
      <c r="C20" s="138">
        <v>2.0</v>
      </c>
      <c r="D20" s="138"/>
      <c r="E20" s="138"/>
      <c r="F20" s="138"/>
      <c r="G20" s="141"/>
      <c r="H20" s="141"/>
      <c r="I20" s="141"/>
      <c r="J20" s="141"/>
      <c r="K20" s="141"/>
      <c r="L20" s="141"/>
      <c r="M20" s="141"/>
      <c r="N20" s="141"/>
      <c r="O20" s="141"/>
      <c r="P20" s="141"/>
      <c r="Q20" s="141"/>
      <c r="R20" s="141"/>
      <c r="S20" s="141"/>
      <c r="T20" s="141"/>
      <c r="U20" s="141"/>
      <c r="V20" s="141"/>
      <c r="W20" s="141"/>
      <c r="X20" s="141"/>
      <c r="Y20" s="141"/>
      <c r="Z20" s="151"/>
      <c r="AA20" s="151"/>
      <c r="AB20" s="151"/>
      <c r="AC20" s="151"/>
      <c r="AD20" s="151"/>
      <c r="AE20" s="151"/>
      <c r="AF20" s="151"/>
      <c r="AG20" s="151"/>
      <c r="AH20" s="151"/>
      <c r="AI20" s="151"/>
      <c r="AJ20" s="151"/>
      <c r="AK20" s="151"/>
      <c r="AL20" s="145"/>
      <c r="AM20" s="145"/>
      <c r="AN20" s="145" t="s">
        <v>105</v>
      </c>
    </row>
    <row r="21" ht="29.25" customHeight="1">
      <c r="A21" s="30"/>
      <c r="B21" s="146"/>
      <c r="C21" s="138">
        <v>3.0</v>
      </c>
      <c r="D21" s="138"/>
      <c r="E21" s="138"/>
      <c r="F21" s="138"/>
      <c r="G21" s="141"/>
      <c r="H21" s="141"/>
      <c r="I21" s="141"/>
      <c r="J21" s="141"/>
      <c r="K21" s="141"/>
      <c r="L21" s="141"/>
      <c r="M21" s="141"/>
      <c r="N21" s="141"/>
      <c r="O21" s="141"/>
      <c r="P21" s="141"/>
      <c r="Q21" s="141"/>
      <c r="R21" s="141"/>
      <c r="S21" s="141"/>
      <c r="T21" s="141"/>
      <c r="U21" s="141"/>
      <c r="V21" s="141"/>
      <c r="W21" s="141"/>
      <c r="X21" s="141"/>
      <c r="Y21" s="141"/>
      <c r="Z21" s="151"/>
      <c r="AA21" s="151"/>
      <c r="AB21" s="151"/>
      <c r="AC21" s="151"/>
      <c r="AD21" s="151"/>
      <c r="AE21" s="151"/>
      <c r="AF21" s="151"/>
      <c r="AG21" s="151"/>
      <c r="AH21" s="151"/>
      <c r="AI21" s="151"/>
      <c r="AJ21" s="151"/>
      <c r="AK21" s="151"/>
      <c r="AL21" s="145"/>
      <c r="AM21" s="145"/>
      <c r="AN21" s="145" t="s">
        <v>105</v>
      </c>
    </row>
    <row r="22" ht="29.25" customHeight="1">
      <c r="A22" s="30"/>
      <c r="B22" s="146"/>
      <c r="C22" s="138">
        <v>4.0</v>
      </c>
      <c r="D22" s="138"/>
      <c r="E22" s="138"/>
      <c r="F22" s="138"/>
      <c r="G22" s="141"/>
      <c r="H22" s="141"/>
      <c r="I22" s="141"/>
      <c r="J22" s="141"/>
      <c r="K22" s="141"/>
      <c r="L22" s="141"/>
      <c r="M22" s="141"/>
      <c r="N22" s="141"/>
      <c r="O22" s="141"/>
      <c r="P22" s="141"/>
      <c r="Q22" s="141"/>
      <c r="R22" s="141"/>
      <c r="S22" s="141"/>
      <c r="T22" s="141"/>
      <c r="U22" s="141"/>
      <c r="V22" s="141"/>
      <c r="W22" s="141"/>
      <c r="X22" s="141"/>
      <c r="Y22" s="141"/>
      <c r="Z22" s="151"/>
      <c r="AA22" s="151"/>
      <c r="AB22" s="151"/>
      <c r="AC22" s="151"/>
      <c r="AD22" s="151"/>
      <c r="AE22" s="151"/>
      <c r="AF22" s="151"/>
      <c r="AG22" s="151"/>
      <c r="AH22" s="151"/>
      <c r="AI22" s="151"/>
      <c r="AJ22" s="151"/>
      <c r="AK22" s="151"/>
      <c r="AL22" s="145"/>
      <c r="AM22" s="145"/>
      <c r="AN22" s="145" t="s">
        <v>105</v>
      </c>
    </row>
    <row r="23" ht="29.25" customHeight="1">
      <c r="A23" s="59"/>
      <c r="B23" s="150"/>
      <c r="C23" s="138">
        <v>5.0</v>
      </c>
      <c r="D23" s="138"/>
      <c r="E23" s="138"/>
      <c r="F23" s="138"/>
      <c r="G23" s="141"/>
      <c r="H23" s="141"/>
      <c r="I23" s="141"/>
      <c r="J23" s="141"/>
      <c r="K23" s="141"/>
      <c r="L23" s="141"/>
      <c r="M23" s="141"/>
      <c r="N23" s="141"/>
      <c r="O23" s="141"/>
      <c r="P23" s="141"/>
      <c r="Q23" s="141"/>
      <c r="R23" s="141"/>
      <c r="S23" s="141"/>
      <c r="T23" s="141"/>
      <c r="U23" s="141"/>
      <c r="V23" s="141"/>
      <c r="W23" s="141"/>
      <c r="X23" s="141"/>
      <c r="Y23" s="141"/>
      <c r="Z23" s="151"/>
      <c r="AA23" s="151"/>
      <c r="AB23" s="151"/>
      <c r="AC23" s="151"/>
      <c r="AD23" s="151"/>
      <c r="AE23" s="151"/>
      <c r="AF23" s="151"/>
      <c r="AG23" s="151"/>
      <c r="AH23" s="151"/>
      <c r="AI23" s="151"/>
      <c r="AJ23" s="151"/>
      <c r="AK23" s="151"/>
      <c r="AL23" s="145"/>
      <c r="AM23" s="145"/>
      <c r="AN23" s="145" t="s">
        <v>107</v>
      </c>
    </row>
    <row r="24" ht="6.0" customHeight="1">
      <c r="A24" s="59"/>
      <c r="B24" s="152"/>
      <c r="C24" s="104"/>
      <c r="D24" s="104"/>
      <c r="E24" s="104"/>
      <c r="F24" s="104"/>
      <c r="G24" s="30"/>
      <c r="H24" s="30"/>
      <c r="I24" s="30"/>
      <c r="J24" s="30"/>
      <c r="K24" s="30"/>
      <c r="L24" s="30"/>
      <c r="M24" s="30"/>
      <c r="N24" s="30"/>
      <c r="O24" s="30"/>
      <c r="P24" s="30"/>
      <c r="Q24" s="30"/>
      <c r="R24" s="30"/>
      <c r="S24" s="30"/>
      <c r="T24" s="30"/>
      <c r="U24" s="30"/>
      <c r="V24" s="30"/>
      <c r="W24" s="30"/>
      <c r="X24" s="30"/>
      <c r="Y24" s="30"/>
      <c r="Z24" s="153"/>
      <c r="AA24" s="153"/>
      <c r="AB24" s="153"/>
      <c r="AC24" s="153"/>
      <c r="AD24" s="153"/>
      <c r="AE24" s="153"/>
      <c r="AF24" s="153"/>
      <c r="AG24" s="153"/>
      <c r="AH24" s="153"/>
      <c r="AI24" s="153"/>
      <c r="AJ24" s="153"/>
      <c r="AK24" s="153"/>
      <c r="AL24" s="136"/>
      <c r="AM24" s="136"/>
      <c r="AN24" s="136"/>
    </row>
    <row r="25" ht="29.25" customHeight="1">
      <c r="A25" s="30"/>
      <c r="B25" s="157" t="s">
        <v>108</v>
      </c>
      <c r="C25" s="138">
        <v>1.0</v>
      </c>
      <c r="D25" s="138"/>
      <c r="E25" s="138"/>
      <c r="F25" s="138"/>
      <c r="G25" s="141"/>
      <c r="H25" s="141"/>
      <c r="I25" s="141"/>
      <c r="J25" s="141"/>
      <c r="K25" s="141"/>
      <c r="L25" s="141"/>
      <c r="M25" s="141"/>
      <c r="N25" s="141"/>
      <c r="O25" s="141"/>
      <c r="P25" s="141"/>
      <c r="Q25" s="141"/>
      <c r="R25" s="141"/>
      <c r="S25" s="141"/>
      <c r="T25" s="141"/>
      <c r="U25" s="141"/>
      <c r="V25" s="141"/>
      <c r="W25" s="141"/>
      <c r="X25" s="141"/>
      <c r="Y25" s="141"/>
      <c r="Z25" s="151"/>
      <c r="AA25" s="151"/>
      <c r="AB25" s="151"/>
      <c r="AC25" s="151"/>
      <c r="AD25" s="151"/>
      <c r="AE25" s="151"/>
      <c r="AF25" s="151"/>
      <c r="AG25" s="151"/>
      <c r="AH25" s="151"/>
      <c r="AI25" s="151"/>
      <c r="AJ25" s="151"/>
      <c r="AK25" s="151"/>
      <c r="AL25" s="145"/>
      <c r="AM25" s="145"/>
      <c r="AN25" s="145" t="s">
        <v>105</v>
      </c>
    </row>
    <row r="26" ht="29.25" customHeight="1">
      <c r="A26" s="30"/>
      <c r="B26" s="146"/>
      <c r="C26" s="138">
        <v>2.0</v>
      </c>
      <c r="D26" s="138"/>
      <c r="E26" s="138"/>
      <c r="F26" s="138"/>
      <c r="G26" s="141"/>
      <c r="H26" s="141"/>
      <c r="I26" s="141"/>
      <c r="J26" s="141"/>
      <c r="K26" s="141"/>
      <c r="L26" s="141"/>
      <c r="M26" s="141"/>
      <c r="N26" s="141"/>
      <c r="O26" s="141"/>
      <c r="P26" s="141"/>
      <c r="Q26" s="141"/>
      <c r="R26" s="141"/>
      <c r="S26" s="141"/>
      <c r="T26" s="141"/>
      <c r="U26" s="141"/>
      <c r="V26" s="141"/>
      <c r="W26" s="141"/>
      <c r="X26" s="141"/>
      <c r="Y26" s="141"/>
      <c r="Z26" s="151"/>
      <c r="AA26" s="151"/>
      <c r="AB26" s="151"/>
      <c r="AC26" s="151"/>
      <c r="AD26" s="151"/>
      <c r="AE26" s="151"/>
      <c r="AF26" s="151"/>
      <c r="AG26" s="151"/>
      <c r="AH26" s="151"/>
      <c r="AI26" s="151"/>
      <c r="AJ26" s="151"/>
      <c r="AK26" s="151"/>
      <c r="AL26" s="145"/>
      <c r="AM26" s="145"/>
      <c r="AN26" s="145" t="s">
        <v>105</v>
      </c>
    </row>
    <row r="27" ht="29.25" customHeight="1">
      <c r="A27" s="30"/>
      <c r="B27" s="146"/>
      <c r="C27" s="138">
        <v>3.0</v>
      </c>
      <c r="D27" s="138"/>
      <c r="E27" s="138"/>
      <c r="F27" s="138"/>
      <c r="G27" s="141"/>
      <c r="H27" s="141"/>
      <c r="I27" s="141"/>
      <c r="J27" s="141"/>
      <c r="K27" s="141"/>
      <c r="L27" s="141"/>
      <c r="M27" s="141"/>
      <c r="N27" s="141"/>
      <c r="O27" s="141"/>
      <c r="P27" s="141"/>
      <c r="Q27" s="141"/>
      <c r="R27" s="141"/>
      <c r="S27" s="141"/>
      <c r="T27" s="141"/>
      <c r="U27" s="141"/>
      <c r="V27" s="141"/>
      <c r="W27" s="141"/>
      <c r="X27" s="141"/>
      <c r="Y27" s="141"/>
      <c r="Z27" s="151"/>
      <c r="AA27" s="151"/>
      <c r="AB27" s="151"/>
      <c r="AC27" s="151"/>
      <c r="AD27" s="151"/>
      <c r="AE27" s="151"/>
      <c r="AF27" s="151"/>
      <c r="AG27" s="151"/>
      <c r="AH27" s="151"/>
      <c r="AI27" s="151"/>
      <c r="AJ27" s="151"/>
      <c r="AK27" s="151"/>
      <c r="AL27" s="145"/>
      <c r="AM27" s="145"/>
      <c r="AN27" s="145" t="s">
        <v>105</v>
      </c>
    </row>
    <row r="28" ht="29.25" customHeight="1">
      <c r="A28" s="30"/>
      <c r="B28" s="146"/>
      <c r="C28" s="138">
        <v>4.0</v>
      </c>
      <c r="D28" s="138"/>
      <c r="E28" s="138"/>
      <c r="F28" s="138"/>
      <c r="G28" s="141"/>
      <c r="H28" s="141"/>
      <c r="I28" s="141"/>
      <c r="J28" s="141"/>
      <c r="K28" s="141"/>
      <c r="L28" s="141"/>
      <c r="M28" s="141"/>
      <c r="N28" s="141"/>
      <c r="O28" s="141"/>
      <c r="P28" s="141"/>
      <c r="Q28" s="141"/>
      <c r="R28" s="141"/>
      <c r="S28" s="141"/>
      <c r="T28" s="141"/>
      <c r="U28" s="141"/>
      <c r="V28" s="141"/>
      <c r="W28" s="141"/>
      <c r="X28" s="141"/>
      <c r="Y28" s="141"/>
      <c r="Z28" s="151"/>
      <c r="AA28" s="151"/>
      <c r="AB28" s="151"/>
      <c r="AC28" s="151"/>
      <c r="AD28" s="151"/>
      <c r="AE28" s="151"/>
      <c r="AF28" s="151"/>
      <c r="AG28" s="151"/>
      <c r="AH28" s="151"/>
      <c r="AI28" s="151"/>
      <c r="AJ28" s="151"/>
      <c r="AK28" s="151"/>
      <c r="AL28" s="145"/>
      <c r="AM28" s="145"/>
      <c r="AN28" s="145" t="s">
        <v>105</v>
      </c>
    </row>
    <row r="29" ht="29.25" customHeight="1">
      <c r="A29" s="30"/>
      <c r="B29" s="150"/>
      <c r="C29" s="138">
        <v>5.0</v>
      </c>
      <c r="D29" s="138"/>
      <c r="E29" s="138"/>
      <c r="F29" s="138"/>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5"/>
      <c r="AM29" s="145"/>
      <c r="AN29" s="145" t="s">
        <v>107</v>
      </c>
    </row>
    <row r="30" ht="14.25" customHeight="1">
      <c r="A30" s="30"/>
      <c r="B30" s="104"/>
      <c r="C30" s="104"/>
      <c r="D30" s="104"/>
      <c r="E30" s="104"/>
      <c r="F30" s="104"/>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136"/>
      <c r="AM30" s="136"/>
      <c r="AN30" s="136"/>
    </row>
    <row r="31" ht="14.25" customHeight="1">
      <c r="A31" s="30"/>
      <c r="B31" s="104"/>
      <c r="C31" s="104"/>
      <c r="D31" s="104"/>
      <c r="E31" s="104"/>
      <c r="F31" s="104"/>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136"/>
      <c r="AM31" s="136"/>
      <c r="AN31" s="136"/>
    </row>
    <row r="32" ht="14.25" customHeight="1">
      <c r="A32" s="30"/>
      <c r="B32" s="104"/>
      <c r="C32" s="104"/>
      <c r="D32" s="104"/>
      <c r="E32" s="104"/>
      <c r="F32" s="104"/>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136"/>
      <c r="AM32" s="136"/>
      <c r="AN32" s="136"/>
    </row>
    <row r="33" ht="14.25" customHeight="1">
      <c r="A33" s="30"/>
      <c r="B33" s="104"/>
      <c r="C33" s="104"/>
      <c r="D33" s="104"/>
      <c r="E33" s="104"/>
      <c r="F33" s="104"/>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136"/>
      <c r="AM33" s="136"/>
      <c r="AN33" s="136"/>
    </row>
    <row r="34" ht="14.25" customHeight="1">
      <c r="A34" s="30"/>
      <c r="B34" s="104"/>
      <c r="C34" s="104"/>
      <c r="D34" s="104"/>
      <c r="E34" s="104"/>
      <c r="F34" s="104"/>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136"/>
      <c r="AM34" s="136"/>
      <c r="AN34" s="136"/>
    </row>
    <row r="35" ht="14.25" customHeight="1">
      <c r="A35" s="30"/>
      <c r="B35" s="104"/>
      <c r="C35" s="104"/>
      <c r="D35" s="104"/>
      <c r="E35" s="104"/>
      <c r="F35" s="104"/>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136"/>
      <c r="AM35" s="136"/>
      <c r="AN35" s="136"/>
    </row>
    <row r="36" ht="14.25" customHeight="1">
      <c r="A36" s="30"/>
      <c r="B36" s="104"/>
      <c r="C36" s="104"/>
      <c r="D36" s="104"/>
      <c r="E36" s="104"/>
      <c r="F36" s="104"/>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136"/>
      <c r="AM36" s="136"/>
      <c r="AN36" s="136"/>
    </row>
    <row r="37" ht="14.25" customHeight="1">
      <c r="A37" s="30"/>
      <c r="B37" s="104"/>
      <c r="C37" s="104"/>
      <c r="D37" s="104"/>
      <c r="E37" s="104"/>
      <c r="F37" s="104"/>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136"/>
      <c r="AM37" s="136"/>
      <c r="AN37" s="136"/>
    </row>
    <row r="38" ht="14.25" customHeight="1">
      <c r="A38" s="30"/>
      <c r="B38" s="104"/>
      <c r="C38" s="104"/>
      <c r="D38" s="104"/>
      <c r="E38" s="104"/>
      <c r="F38" s="104"/>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136"/>
      <c r="AM38" s="136"/>
      <c r="AN38" s="136"/>
    </row>
    <row r="39" ht="14.25" customHeight="1">
      <c r="A39" s="30"/>
      <c r="B39" s="104"/>
      <c r="C39" s="104"/>
      <c r="D39" s="104"/>
      <c r="E39" s="104"/>
      <c r="F39" s="104"/>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136"/>
      <c r="AM39" s="136"/>
      <c r="AN39" s="136"/>
    </row>
    <row r="40" ht="14.25" customHeight="1">
      <c r="A40" s="30"/>
      <c r="B40" s="104"/>
      <c r="C40" s="104"/>
      <c r="D40" s="104"/>
      <c r="E40" s="104"/>
      <c r="F40" s="104"/>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136"/>
      <c r="AM40" s="136"/>
      <c r="AN40" s="136"/>
    </row>
    <row r="41" ht="14.25" customHeight="1">
      <c r="A41" s="30"/>
      <c r="B41" s="104"/>
      <c r="C41" s="104"/>
      <c r="D41" s="104"/>
      <c r="E41" s="104"/>
      <c r="F41" s="104"/>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136"/>
      <c r="AM41" s="136"/>
      <c r="AN41" s="136"/>
    </row>
    <row r="42" ht="14.25" customHeight="1">
      <c r="A42" s="30"/>
      <c r="B42" s="104"/>
      <c r="C42" s="104"/>
      <c r="D42" s="104"/>
      <c r="E42" s="104"/>
      <c r="F42" s="104"/>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136"/>
      <c r="AM42" s="136"/>
      <c r="AN42" s="136"/>
    </row>
    <row r="43" ht="14.25" customHeight="1">
      <c r="A43" s="30"/>
      <c r="B43" s="104"/>
      <c r="C43" s="104"/>
      <c r="D43" s="104"/>
      <c r="E43" s="104"/>
      <c r="F43" s="104"/>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136"/>
      <c r="AM43" s="136"/>
      <c r="AN43" s="136"/>
    </row>
    <row r="44" ht="14.25" customHeight="1">
      <c r="A44" s="30"/>
      <c r="B44" s="104"/>
      <c r="C44" s="104"/>
      <c r="D44" s="104"/>
      <c r="E44" s="104"/>
      <c r="F44" s="104"/>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136"/>
      <c r="AM44" s="136"/>
      <c r="AN44" s="136"/>
    </row>
    <row r="45" ht="14.25" customHeight="1">
      <c r="A45" s="30"/>
      <c r="B45" s="104"/>
      <c r="C45" s="104"/>
      <c r="D45" s="104"/>
      <c r="E45" s="104"/>
      <c r="F45" s="104"/>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136"/>
      <c r="AM45" s="136"/>
      <c r="AN45" s="136"/>
    </row>
    <row r="46" ht="14.25" customHeight="1">
      <c r="A46" s="30"/>
      <c r="B46" s="104"/>
      <c r="C46" s="104"/>
      <c r="D46" s="104"/>
      <c r="E46" s="104"/>
      <c r="F46" s="104"/>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136"/>
      <c r="AM46" s="136"/>
      <c r="AN46" s="136"/>
    </row>
    <row r="47" ht="14.25" customHeight="1">
      <c r="A47" s="30"/>
      <c r="B47" s="104"/>
      <c r="C47" s="104"/>
      <c r="D47" s="104"/>
      <c r="E47" s="104"/>
      <c r="F47" s="104"/>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136"/>
      <c r="AM47" s="136"/>
      <c r="AN47" s="136"/>
    </row>
    <row r="48" ht="14.25" customHeight="1">
      <c r="A48" s="30"/>
      <c r="B48" s="104"/>
      <c r="C48" s="104"/>
      <c r="D48" s="104"/>
      <c r="E48" s="104"/>
      <c r="F48" s="104"/>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136"/>
      <c r="AM48" s="136"/>
      <c r="AN48" s="136"/>
    </row>
    <row r="49" ht="14.25" customHeight="1">
      <c r="A49" s="30"/>
      <c r="B49" s="104"/>
      <c r="C49" s="104"/>
      <c r="D49" s="104"/>
      <c r="E49" s="104"/>
      <c r="F49" s="104"/>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136"/>
      <c r="AM49" s="136"/>
      <c r="AN49" s="136"/>
    </row>
    <row r="50" ht="14.25" customHeight="1">
      <c r="A50" s="30"/>
      <c r="B50" s="104"/>
      <c r="C50" s="104"/>
      <c r="D50" s="104"/>
      <c r="E50" s="104"/>
      <c r="F50" s="104"/>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136"/>
      <c r="AM50" s="136"/>
      <c r="AN50" s="136"/>
    </row>
    <row r="51" ht="14.25" customHeight="1">
      <c r="A51" s="30"/>
      <c r="B51" s="104"/>
      <c r="C51" s="104"/>
      <c r="D51" s="104"/>
      <c r="E51" s="104"/>
      <c r="F51" s="104"/>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136"/>
      <c r="AM51" s="136"/>
      <c r="AN51" s="136"/>
    </row>
    <row r="52" ht="14.25" customHeight="1">
      <c r="A52" s="30"/>
      <c r="B52" s="104"/>
      <c r="C52" s="104"/>
      <c r="D52" s="104"/>
      <c r="E52" s="104"/>
      <c r="F52" s="104"/>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136"/>
      <c r="AM52" s="136"/>
      <c r="AN52" s="136"/>
    </row>
    <row r="53" ht="14.25" customHeight="1">
      <c r="A53" s="30"/>
      <c r="B53" s="104"/>
      <c r="C53" s="104"/>
      <c r="D53" s="104"/>
      <c r="E53" s="104"/>
      <c r="F53" s="104"/>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136"/>
      <c r="AM53" s="136"/>
      <c r="AN53" s="136"/>
    </row>
    <row r="54" ht="14.25" customHeight="1">
      <c r="A54" s="30"/>
      <c r="B54" s="104"/>
      <c r="C54" s="104"/>
      <c r="D54" s="104"/>
      <c r="E54" s="104"/>
      <c r="F54" s="104"/>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136"/>
      <c r="AM54" s="136"/>
      <c r="AN54" s="136"/>
    </row>
    <row r="55" ht="14.25" customHeight="1">
      <c r="A55" s="59"/>
      <c r="B55" s="104"/>
      <c r="C55" s="104"/>
      <c r="D55" s="104"/>
      <c r="E55" s="104"/>
      <c r="F55" s="104"/>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136"/>
      <c r="AM55" s="136"/>
      <c r="AN55" s="136"/>
    </row>
    <row r="56" ht="14.25" customHeight="1">
      <c r="A56" s="59"/>
      <c r="B56" s="104"/>
      <c r="C56" s="104"/>
      <c r="D56" s="104"/>
      <c r="E56" s="104"/>
      <c r="F56" s="104"/>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136"/>
      <c r="AM56" s="136"/>
      <c r="AN56" s="136"/>
    </row>
    <row r="57" ht="14.25" customHeight="1">
      <c r="A57" s="59"/>
      <c r="B57" s="104"/>
      <c r="C57" s="104"/>
      <c r="D57" s="104"/>
      <c r="E57" s="104"/>
      <c r="F57" s="104"/>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136"/>
      <c r="AM57" s="136"/>
      <c r="AN57" s="136"/>
    </row>
    <row r="58" ht="14.25" customHeight="1">
      <c r="A58" s="30"/>
      <c r="B58" s="104"/>
      <c r="C58" s="104"/>
      <c r="D58" s="104"/>
      <c r="E58" s="104"/>
      <c r="F58" s="104"/>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136"/>
      <c r="AM58" s="136"/>
      <c r="AN58" s="136"/>
    </row>
    <row r="59" ht="14.25" customHeight="1">
      <c r="A59" s="30"/>
      <c r="B59" s="104"/>
      <c r="C59" s="104"/>
      <c r="D59" s="104"/>
      <c r="E59" s="104"/>
      <c r="F59" s="104"/>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136"/>
      <c r="AM59" s="136"/>
      <c r="AN59" s="136"/>
    </row>
    <row r="60" ht="14.25" customHeight="1">
      <c r="A60" s="30"/>
      <c r="B60" s="104"/>
      <c r="C60" s="104"/>
      <c r="D60" s="104"/>
      <c r="E60" s="104"/>
      <c r="F60" s="104"/>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136"/>
      <c r="AM60" s="136"/>
      <c r="AN60" s="136"/>
    </row>
    <row r="61" ht="14.25" customHeight="1">
      <c r="A61" s="30"/>
      <c r="B61" s="104"/>
      <c r="C61" s="104"/>
      <c r="D61" s="104"/>
      <c r="E61" s="104"/>
      <c r="F61" s="104"/>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136"/>
      <c r="AM61" s="136"/>
      <c r="AN61" s="136"/>
    </row>
    <row r="62" ht="14.25" customHeight="1">
      <c r="A62" s="30"/>
      <c r="B62" s="104"/>
      <c r="C62" s="104"/>
      <c r="D62" s="104"/>
      <c r="E62" s="104"/>
      <c r="F62" s="104"/>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136"/>
      <c r="AM62" s="136"/>
      <c r="AN62" s="136"/>
    </row>
    <row r="63" ht="14.25" customHeight="1">
      <c r="A63" s="30"/>
      <c r="B63" s="104"/>
      <c r="C63" s="104"/>
      <c r="D63" s="104"/>
      <c r="E63" s="104"/>
      <c r="F63" s="104"/>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136"/>
      <c r="AM63" s="136"/>
      <c r="AN63" s="136"/>
    </row>
    <row r="64" ht="14.25" customHeight="1">
      <c r="A64" s="30"/>
      <c r="B64" s="104"/>
      <c r="C64" s="104"/>
      <c r="D64" s="104"/>
      <c r="E64" s="104"/>
      <c r="F64" s="104"/>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136"/>
      <c r="AM64" s="136"/>
      <c r="AN64" s="136"/>
    </row>
    <row r="65" ht="14.25" customHeight="1">
      <c r="A65" s="30"/>
      <c r="B65" s="104"/>
      <c r="C65" s="104"/>
      <c r="D65" s="104"/>
      <c r="E65" s="104"/>
      <c r="F65" s="104"/>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136"/>
      <c r="AM65" s="136"/>
      <c r="AN65" s="136"/>
    </row>
    <row r="66" ht="14.25" customHeight="1">
      <c r="A66" s="30"/>
      <c r="B66" s="104"/>
      <c r="C66" s="104"/>
      <c r="D66" s="104"/>
      <c r="E66" s="104"/>
      <c r="F66" s="104"/>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136"/>
      <c r="AM66" s="136"/>
      <c r="AN66" s="136"/>
    </row>
    <row r="67" ht="14.25" customHeight="1">
      <c r="A67" s="30"/>
      <c r="B67" s="104"/>
      <c r="C67" s="104"/>
      <c r="D67" s="104"/>
      <c r="E67" s="104"/>
      <c r="F67" s="104"/>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136"/>
      <c r="AM67" s="136"/>
      <c r="AN67" s="136"/>
    </row>
    <row r="68" ht="14.25" customHeight="1">
      <c r="A68" s="30"/>
      <c r="B68" s="104"/>
      <c r="C68" s="104"/>
      <c r="D68" s="104"/>
      <c r="E68" s="104"/>
      <c r="F68" s="104"/>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136"/>
      <c r="AM68" s="136"/>
      <c r="AN68" s="136"/>
    </row>
    <row r="69" ht="14.25" customHeight="1">
      <c r="A69" s="30"/>
      <c r="B69" s="104"/>
      <c r="C69" s="104"/>
      <c r="D69" s="104"/>
      <c r="E69" s="104"/>
      <c r="F69" s="104"/>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136"/>
      <c r="AM69" s="136"/>
      <c r="AN69" s="136"/>
    </row>
    <row r="70" ht="14.25" customHeight="1">
      <c r="A70" s="30"/>
      <c r="B70" s="104"/>
      <c r="C70" s="104"/>
      <c r="D70" s="104"/>
      <c r="E70" s="104"/>
      <c r="F70" s="104"/>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136"/>
      <c r="AM70" s="136"/>
      <c r="AN70" s="136"/>
    </row>
    <row r="71" ht="14.25" customHeight="1">
      <c r="A71" s="30"/>
      <c r="B71" s="104"/>
      <c r="C71" s="104"/>
      <c r="D71" s="104"/>
      <c r="E71" s="104"/>
      <c r="F71" s="104"/>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136"/>
      <c r="AM71" s="136"/>
      <c r="AN71" s="136"/>
    </row>
    <row r="72" ht="14.25" customHeight="1">
      <c r="A72" s="30"/>
      <c r="B72" s="104"/>
      <c r="C72" s="104"/>
      <c r="D72" s="104"/>
      <c r="E72" s="104"/>
      <c r="F72" s="104"/>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136"/>
      <c r="AM72" s="136"/>
      <c r="AN72" s="136"/>
    </row>
    <row r="73" ht="14.25" customHeight="1">
      <c r="A73" s="30"/>
      <c r="B73" s="104"/>
      <c r="C73" s="104"/>
      <c r="D73" s="104"/>
      <c r="E73" s="104"/>
      <c r="F73" s="104"/>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136"/>
      <c r="AM73" s="136"/>
      <c r="AN73" s="136"/>
    </row>
    <row r="74" ht="14.25" customHeight="1">
      <c r="A74" s="30"/>
      <c r="B74" s="104"/>
      <c r="C74" s="104"/>
      <c r="D74" s="104"/>
      <c r="E74" s="104"/>
      <c r="F74" s="104"/>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136"/>
      <c r="AM74" s="136"/>
      <c r="AN74" s="136"/>
    </row>
    <row r="75" ht="14.25" customHeight="1">
      <c r="A75" s="30"/>
      <c r="B75" s="104"/>
      <c r="C75" s="104"/>
      <c r="D75" s="104"/>
      <c r="E75" s="104"/>
      <c r="F75" s="104"/>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136"/>
      <c r="AM75" s="136"/>
      <c r="AN75" s="136"/>
    </row>
    <row r="76" ht="14.25" customHeight="1">
      <c r="A76" s="30"/>
      <c r="B76" s="104"/>
      <c r="C76" s="104"/>
      <c r="D76" s="104"/>
      <c r="E76" s="104"/>
      <c r="F76" s="104"/>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136"/>
      <c r="AM76" s="136"/>
      <c r="AN76" s="136"/>
    </row>
    <row r="77" ht="14.25" customHeight="1">
      <c r="A77" s="30"/>
      <c r="B77" s="104"/>
      <c r="C77" s="104"/>
      <c r="D77" s="104"/>
      <c r="E77" s="104"/>
      <c r="F77" s="104"/>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136"/>
      <c r="AM77" s="136"/>
      <c r="AN77" s="136"/>
    </row>
    <row r="78" ht="14.25" customHeight="1">
      <c r="A78" s="30"/>
      <c r="B78" s="104"/>
      <c r="C78" s="104"/>
      <c r="D78" s="104"/>
      <c r="E78" s="104"/>
      <c r="F78" s="104"/>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136"/>
      <c r="AM78" s="136"/>
      <c r="AN78" s="136"/>
    </row>
    <row r="79" ht="14.25" customHeight="1">
      <c r="A79" s="30"/>
      <c r="B79" s="104"/>
      <c r="C79" s="104"/>
      <c r="D79" s="104"/>
      <c r="E79" s="104"/>
      <c r="F79" s="104"/>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136"/>
      <c r="AM79" s="136"/>
      <c r="AN79" s="136"/>
    </row>
    <row r="80" ht="14.25" customHeight="1">
      <c r="A80" s="30"/>
      <c r="B80" s="104"/>
      <c r="C80" s="104"/>
      <c r="D80" s="104"/>
      <c r="E80" s="104"/>
      <c r="F80" s="104"/>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136"/>
      <c r="AM80" s="136"/>
      <c r="AN80" s="136"/>
    </row>
    <row r="81" ht="14.25" customHeight="1">
      <c r="A81" s="30"/>
      <c r="B81" s="104"/>
      <c r="C81" s="104"/>
      <c r="D81" s="104"/>
      <c r="E81" s="104"/>
      <c r="F81" s="104"/>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136"/>
      <c r="AM81" s="136"/>
      <c r="AN81" s="136"/>
    </row>
    <row r="82" ht="14.25" customHeight="1">
      <c r="A82" s="30"/>
      <c r="B82" s="104"/>
      <c r="C82" s="104"/>
      <c r="D82" s="104"/>
      <c r="E82" s="104"/>
      <c r="F82" s="104"/>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136"/>
      <c r="AM82" s="136"/>
      <c r="AN82" s="136"/>
    </row>
    <row r="83" ht="14.25" customHeight="1">
      <c r="A83" s="30"/>
      <c r="B83" s="104"/>
      <c r="C83" s="104"/>
      <c r="D83" s="104"/>
      <c r="E83" s="104"/>
      <c r="F83" s="104"/>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136"/>
      <c r="AM83" s="136"/>
      <c r="AN83" s="136"/>
    </row>
    <row r="84" ht="14.25" customHeight="1">
      <c r="A84" s="30"/>
      <c r="B84" s="104"/>
      <c r="C84" s="104"/>
      <c r="D84" s="104"/>
      <c r="E84" s="104"/>
      <c r="F84" s="104"/>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136"/>
      <c r="AM84" s="136"/>
      <c r="AN84" s="136"/>
    </row>
    <row r="85" ht="14.25" customHeight="1">
      <c r="A85" s="30"/>
      <c r="B85" s="104"/>
      <c r="C85" s="104"/>
      <c r="D85" s="104"/>
      <c r="E85" s="104"/>
      <c r="F85" s="104"/>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136"/>
      <c r="AM85" s="136"/>
      <c r="AN85" s="136"/>
    </row>
    <row r="86" ht="14.25" customHeight="1">
      <c r="A86" s="30"/>
      <c r="B86" s="104"/>
      <c r="C86" s="104"/>
      <c r="D86" s="104"/>
      <c r="E86" s="104"/>
      <c r="F86" s="104"/>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136"/>
      <c r="AM86" s="136"/>
      <c r="AN86" s="136"/>
    </row>
    <row r="87" ht="14.25" customHeight="1">
      <c r="A87" s="30"/>
      <c r="B87" s="104"/>
      <c r="C87" s="104"/>
      <c r="D87" s="104"/>
      <c r="E87" s="104"/>
      <c r="F87" s="104"/>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136"/>
      <c r="AM87" s="136"/>
      <c r="AN87" s="136"/>
    </row>
    <row r="88" ht="14.25" customHeight="1">
      <c r="A88" s="30"/>
      <c r="B88" s="104"/>
      <c r="C88" s="104"/>
      <c r="D88" s="104"/>
      <c r="E88" s="104"/>
      <c r="F88" s="104"/>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136"/>
      <c r="AM88" s="136"/>
      <c r="AN88" s="136"/>
    </row>
    <row r="89" ht="14.25" customHeight="1">
      <c r="A89" s="30"/>
      <c r="B89" s="104"/>
      <c r="C89" s="104"/>
      <c r="D89" s="104"/>
      <c r="E89" s="104"/>
      <c r="F89" s="104"/>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136"/>
      <c r="AM89" s="136"/>
      <c r="AN89" s="136"/>
    </row>
    <row r="90" ht="14.25" customHeight="1">
      <c r="A90" s="30"/>
      <c r="B90" s="104"/>
      <c r="C90" s="104"/>
      <c r="D90" s="104"/>
      <c r="E90" s="104"/>
      <c r="F90" s="104"/>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136"/>
      <c r="AM90" s="136"/>
      <c r="AN90" s="136"/>
    </row>
    <row r="91" ht="14.25" customHeight="1">
      <c r="A91" s="30"/>
      <c r="B91" s="104"/>
      <c r="C91" s="104"/>
      <c r="D91" s="104"/>
      <c r="E91" s="104"/>
      <c r="F91" s="104"/>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136"/>
      <c r="AM91" s="136"/>
      <c r="AN91" s="136"/>
    </row>
    <row r="92" ht="14.25" customHeight="1">
      <c r="A92" s="30"/>
      <c r="B92" s="104"/>
      <c r="C92" s="104"/>
      <c r="D92" s="104"/>
      <c r="E92" s="104"/>
      <c r="F92" s="104"/>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136"/>
      <c r="AM92" s="136"/>
      <c r="AN92" s="136"/>
    </row>
    <row r="93" ht="14.25" customHeight="1">
      <c r="A93" s="30"/>
      <c r="B93" s="104"/>
      <c r="C93" s="104"/>
      <c r="D93" s="104"/>
      <c r="E93" s="104"/>
      <c r="F93" s="104"/>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136"/>
      <c r="AM93" s="136"/>
      <c r="AN93" s="136"/>
    </row>
    <row r="94" ht="14.25" customHeight="1">
      <c r="A94" s="30"/>
      <c r="B94" s="104"/>
      <c r="C94" s="104"/>
      <c r="D94" s="104"/>
      <c r="E94" s="104"/>
      <c r="F94" s="104"/>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136"/>
      <c r="AM94" s="136"/>
      <c r="AN94" s="136"/>
    </row>
    <row r="95" ht="14.25" customHeight="1">
      <c r="A95" s="30"/>
      <c r="B95" s="104"/>
      <c r="C95" s="104"/>
      <c r="D95" s="104"/>
      <c r="E95" s="104"/>
      <c r="F95" s="104"/>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136"/>
      <c r="AM95" s="136"/>
      <c r="AN95" s="136"/>
    </row>
    <row r="96" ht="14.25" customHeight="1">
      <c r="A96" s="30"/>
      <c r="B96" s="104"/>
      <c r="C96" s="104"/>
      <c r="D96" s="104"/>
      <c r="E96" s="104"/>
      <c r="F96" s="104"/>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136"/>
      <c r="AM96" s="136"/>
      <c r="AN96" s="136"/>
    </row>
    <row r="97" ht="14.25" customHeight="1">
      <c r="A97" s="30"/>
      <c r="B97" s="104"/>
      <c r="C97" s="104"/>
      <c r="D97" s="104"/>
      <c r="E97" s="104"/>
      <c r="F97" s="104"/>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136"/>
      <c r="AM97" s="136"/>
      <c r="AN97" s="136"/>
    </row>
    <row r="98" ht="14.25" customHeight="1">
      <c r="A98" s="30"/>
      <c r="B98" s="104"/>
      <c r="C98" s="104"/>
      <c r="D98" s="104"/>
      <c r="E98" s="104"/>
      <c r="F98" s="104"/>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136"/>
      <c r="AM98" s="136"/>
      <c r="AN98" s="136"/>
    </row>
    <row r="99" ht="14.25" customHeight="1">
      <c r="A99" s="30"/>
      <c r="B99" s="104"/>
      <c r="C99" s="104"/>
      <c r="D99" s="104"/>
      <c r="E99" s="104"/>
      <c r="F99" s="104"/>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136"/>
      <c r="AM99" s="136"/>
      <c r="AN99" s="136"/>
    </row>
    <row r="100" ht="14.25" customHeight="1">
      <c r="A100" s="30"/>
      <c r="B100" s="104"/>
      <c r="C100" s="104"/>
      <c r="D100" s="104"/>
      <c r="E100" s="104"/>
      <c r="F100" s="104"/>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136"/>
      <c r="AM100" s="136"/>
      <c r="AN100" s="136"/>
    </row>
    <row r="101" ht="14.25" customHeight="1">
      <c r="A101" s="30"/>
      <c r="B101" s="104"/>
      <c r="C101" s="104"/>
      <c r="D101" s="104"/>
      <c r="E101" s="104"/>
      <c r="F101" s="104"/>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136"/>
      <c r="AM101" s="136"/>
      <c r="AN101" s="136"/>
    </row>
    <row r="102" ht="14.25" customHeight="1">
      <c r="A102" s="30"/>
      <c r="B102" s="104"/>
      <c r="C102" s="104"/>
      <c r="D102" s="104"/>
      <c r="E102" s="104"/>
      <c r="F102" s="104"/>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136"/>
      <c r="AM102" s="136"/>
      <c r="AN102" s="136"/>
    </row>
    <row r="103" ht="14.25" customHeight="1">
      <c r="A103" s="30"/>
      <c r="B103" s="104"/>
      <c r="C103" s="104"/>
      <c r="D103" s="104"/>
      <c r="E103" s="104"/>
      <c r="F103" s="104"/>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136"/>
      <c r="AM103" s="136"/>
      <c r="AN103" s="136"/>
    </row>
    <row r="104" ht="14.25" customHeight="1">
      <c r="A104" s="30"/>
      <c r="B104" s="104"/>
      <c r="C104" s="104"/>
      <c r="D104" s="104"/>
      <c r="E104" s="104"/>
      <c r="F104" s="104"/>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136"/>
      <c r="AM104" s="136"/>
      <c r="AN104" s="136"/>
    </row>
    <row r="105" ht="14.25" customHeight="1">
      <c r="A105" s="30"/>
      <c r="B105" s="104"/>
      <c r="C105" s="104"/>
      <c r="D105" s="104"/>
      <c r="E105" s="104"/>
      <c r="F105" s="104"/>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136"/>
      <c r="AM105" s="136"/>
      <c r="AN105" s="136"/>
    </row>
    <row r="106" ht="14.25" customHeight="1">
      <c r="A106" s="30"/>
      <c r="B106" s="104"/>
      <c r="C106" s="104"/>
      <c r="D106" s="104"/>
      <c r="E106" s="104"/>
      <c r="F106" s="104"/>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136"/>
      <c r="AM106" s="136"/>
      <c r="AN106" s="136"/>
    </row>
    <row r="107" ht="14.25" customHeight="1">
      <c r="A107" s="30"/>
      <c r="B107" s="104"/>
      <c r="C107" s="104"/>
      <c r="D107" s="104"/>
      <c r="E107" s="104"/>
      <c r="F107" s="104"/>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136"/>
      <c r="AM107" s="136"/>
      <c r="AN107" s="136"/>
    </row>
    <row r="108" ht="14.25" customHeight="1">
      <c r="A108" s="30"/>
      <c r="B108" s="104"/>
      <c r="C108" s="104"/>
      <c r="D108" s="104"/>
      <c r="E108" s="104"/>
      <c r="F108" s="104"/>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136"/>
      <c r="AM108" s="136"/>
      <c r="AN108" s="136"/>
    </row>
    <row r="109" ht="14.25" customHeight="1">
      <c r="A109" s="30"/>
      <c r="B109" s="104"/>
      <c r="C109" s="104"/>
      <c r="D109" s="104"/>
      <c r="E109" s="104"/>
      <c r="F109" s="104"/>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136"/>
      <c r="AM109" s="136"/>
      <c r="AN109" s="136"/>
    </row>
    <row r="110" ht="14.25" customHeight="1">
      <c r="A110" s="30"/>
      <c r="B110" s="104"/>
      <c r="C110" s="104"/>
      <c r="D110" s="104"/>
      <c r="E110" s="104"/>
      <c r="F110" s="104"/>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136"/>
      <c r="AM110" s="136"/>
      <c r="AN110" s="136"/>
    </row>
    <row r="111" ht="14.25" customHeight="1">
      <c r="A111" s="30"/>
      <c r="B111" s="104"/>
      <c r="C111" s="104"/>
      <c r="D111" s="104"/>
      <c r="E111" s="104"/>
      <c r="F111" s="104"/>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136"/>
      <c r="AM111" s="136"/>
      <c r="AN111" s="136"/>
    </row>
    <row r="112" ht="14.25" customHeight="1">
      <c r="A112" s="30"/>
      <c r="B112" s="104"/>
      <c r="C112" s="104"/>
      <c r="D112" s="104"/>
      <c r="E112" s="104"/>
      <c r="F112" s="104"/>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136"/>
      <c r="AM112" s="136"/>
      <c r="AN112" s="136"/>
    </row>
    <row r="113" ht="14.25" customHeight="1">
      <c r="A113" s="30"/>
      <c r="B113" s="104"/>
      <c r="C113" s="104"/>
      <c r="D113" s="104"/>
      <c r="E113" s="104"/>
      <c r="F113" s="104"/>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136"/>
      <c r="AM113" s="136"/>
      <c r="AN113" s="136"/>
    </row>
    <row r="114" ht="14.25" customHeight="1">
      <c r="A114" s="30"/>
      <c r="B114" s="104"/>
      <c r="C114" s="104"/>
      <c r="D114" s="104"/>
      <c r="E114" s="104"/>
      <c r="F114" s="104"/>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136"/>
      <c r="AM114" s="136"/>
      <c r="AN114" s="136"/>
    </row>
    <row r="115" ht="14.25" customHeight="1">
      <c r="A115" s="30"/>
      <c r="B115" s="104"/>
      <c r="C115" s="104"/>
      <c r="D115" s="104"/>
      <c r="E115" s="104"/>
      <c r="F115" s="104"/>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136"/>
      <c r="AM115" s="136"/>
      <c r="AN115" s="136"/>
    </row>
    <row r="116" ht="14.25" customHeight="1">
      <c r="A116" s="30"/>
      <c r="B116" s="104"/>
      <c r="C116" s="104"/>
      <c r="D116" s="104"/>
      <c r="E116" s="104"/>
      <c r="F116" s="104"/>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136"/>
      <c r="AM116" s="136"/>
      <c r="AN116" s="136"/>
    </row>
    <row r="117" ht="14.25" customHeight="1">
      <c r="A117" s="30"/>
      <c r="B117" s="104"/>
      <c r="C117" s="104"/>
      <c r="D117" s="104"/>
      <c r="E117" s="104"/>
      <c r="F117" s="104"/>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136"/>
      <c r="AM117" s="136"/>
      <c r="AN117" s="136"/>
    </row>
    <row r="118" ht="14.25" customHeight="1">
      <c r="A118" s="30"/>
      <c r="B118" s="104"/>
      <c r="C118" s="104"/>
      <c r="D118" s="104"/>
      <c r="E118" s="104"/>
      <c r="F118" s="104"/>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136"/>
      <c r="AM118" s="136"/>
      <c r="AN118" s="136"/>
    </row>
    <row r="119" ht="14.25" customHeight="1">
      <c r="A119" s="30"/>
      <c r="B119" s="104"/>
      <c r="C119" s="104"/>
      <c r="D119" s="104"/>
      <c r="E119" s="104"/>
      <c r="F119" s="104"/>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136"/>
      <c r="AM119" s="136"/>
      <c r="AN119" s="136"/>
    </row>
    <row r="120" ht="14.25" customHeight="1">
      <c r="A120" s="30"/>
      <c r="B120" s="104"/>
      <c r="C120" s="104"/>
      <c r="D120" s="104"/>
      <c r="E120" s="104"/>
      <c r="F120" s="104"/>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136"/>
      <c r="AM120" s="136"/>
      <c r="AN120" s="136"/>
    </row>
    <row r="121" ht="14.25" customHeight="1">
      <c r="A121" s="30"/>
      <c r="B121" s="104"/>
      <c r="C121" s="104"/>
      <c r="D121" s="104"/>
      <c r="E121" s="104"/>
      <c r="F121" s="104"/>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136"/>
      <c r="AM121" s="136"/>
      <c r="AN121" s="136"/>
    </row>
    <row r="122" ht="14.25" customHeight="1">
      <c r="A122" s="30"/>
      <c r="B122" s="104"/>
      <c r="C122" s="104"/>
      <c r="D122" s="104"/>
      <c r="E122" s="104"/>
      <c r="F122" s="104"/>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136"/>
      <c r="AM122" s="136"/>
      <c r="AN122" s="136"/>
    </row>
    <row r="123" ht="14.25" customHeight="1">
      <c r="A123" s="30"/>
      <c r="B123" s="104"/>
      <c r="C123" s="104"/>
      <c r="D123" s="104"/>
      <c r="E123" s="104"/>
      <c r="F123" s="104"/>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136"/>
      <c r="AM123" s="136"/>
      <c r="AN123" s="136"/>
    </row>
    <row r="124" ht="14.25" customHeight="1">
      <c r="A124" s="30"/>
      <c r="B124" s="104"/>
      <c r="C124" s="104"/>
      <c r="D124" s="104"/>
      <c r="E124" s="104"/>
      <c r="F124" s="104"/>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136"/>
      <c r="AM124" s="136"/>
      <c r="AN124" s="136"/>
    </row>
    <row r="125" ht="14.25" customHeight="1">
      <c r="A125" s="30"/>
      <c r="B125" s="104"/>
      <c r="C125" s="104"/>
      <c r="D125" s="104"/>
      <c r="E125" s="104"/>
      <c r="F125" s="104"/>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136"/>
      <c r="AM125" s="136"/>
      <c r="AN125" s="136"/>
    </row>
    <row r="126" ht="14.25" customHeight="1">
      <c r="A126" s="30"/>
      <c r="B126" s="104"/>
      <c r="C126" s="104"/>
      <c r="D126" s="104"/>
      <c r="E126" s="104"/>
      <c r="F126" s="104"/>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136"/>
      <c r="AM126" s="136"/>
      <c r="AN126" s="136"/>
    </row>
    <row r="127" ht="14.25" customHeight="1">
      <c r="A127" s="30"/>
      <c r="B127" s="104"/>
      <c r="C127" s="104"/>
      <c r="D127" s="104"/>
      <c r="E127" s="104"/>
      <c r="F127" s="104"/>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136"/>
      <c r="AM127" s="136"/>
      <c r="AN127" s="136"/>
    </row>
    <row r="128" ht="14.25" customHeight="1">
      <c r="A128" s="30"/>
      <c r="B128" s="104"/>
      <c r="C128" s="104"/>
      <c r="D128" s="104"/>
      <c r="E128" s="104"/>
      <c r="F128" s="104"/>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136"/>
      <c r="AM128" s="136"/>
      <c r="AN128" s="136"/>
    </row>
    <row r="129" ht="14.25" customHeight="1">
      <c r="A129" s="30"/>
      <c r="B129" s="104"/>
      <c r="C129" s="104"/>
      <c r="D129" s="104"/>
      <c r="E129" s="104"/>
      <c r="F129" s="104"/>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136"/>
      <c r="AM129" s="136"/>
      <c r="AN129" s="136"/>
    </row>
    <row r="130" ht="14.25" customHeight="1">
      <c r="A130" s="30"/>
      <c r="B130" s="104"/>
      <c r="C130" s="104"/>
      <c r="D130" s="104"/>
      <c r="E130" s="104"/>
      <c r="F130" s="104"/>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136"/>
      <c r="AM130" s="136"/>
      <c r="AN130" s="136"/>
    </row>
    <row r="131" ht="14.25" customHeight="1">
      <c r="A131" s="30"/>
      <c r="B131" s="104"/>
      <c r="C131" s="104"/>
      <c r="D131" s="104"/>
      <c r="E131" s="104"/>
      <c r="F131" s="104"/>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136"/>
      <c r="AM131" s="136"/>
      <c r="AN131" s="136"/>
    </row>
    <row r="132" ht="14.25" customHeight="1">
      <c r="A132" s="30"/>
      <c r="B132" s="104"/>
      <c r="C132" s="104"/>
      <c r="D132" s="104"/>
      <c r="E132" s="104"/>
      <c r="F132" s="104"/>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136"/>
      <c r="AM132" s="136"/>
      <c r="AN132" s="136"/>
    </row>
    <row r="133" ht="14.25" customHeight="1">
      <c r="A133" s="30"/>
      <c r="B133" s="104"/>
      <c r="C133" s="104"/>
      <c r="D133" s="104"/>
      <c r="E133" s="104"/>
      <c r="F133" s="104"/>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136"/>
      <c r="AM133" s="136"/>
      <c r="AN133" s="136"/>
    </row>
    <row r="134" ht="14.25" customHeight="1">
      <c r="A134" s="30"/>
      <c r="B134" s="104"/>
      <c r="C134" s="104"/>
      <c r="D134" s="104"/>
      <c r="E134" s="104"/>
      <c r="F134" s="104"/>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136"/>
      <c r="AM134" s="136"/>
      <c r="AN134" s="136"/>
    </row>
    <row r="135" ht="14.25" customHeight="1">
      <c r="A135" s="30"/>
      <c r="B135" s="104"/>
      <c r="C135" s="104"/>
      <c r="D135" s="104"/>
      <c r="E135" s="104"/>
      <c r="F135" s="104"/>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136"/>
      <c r="AM135" s="136"/>
      <c r="AN135" s="136"/>
    </row>
    <row r="136" ht="14.25" customHeight="1">
      <c r="A136" s="30"/>
      <c r="B136" s="104"/>
      <c r="C136" s="104"/>
      <c r="D136" s="104"/>
      <c r="E136" s="104"/>
      <c r="F136" s="104"/>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136"/>
      <c r="AM136" s="136"/>
      <c r="AN136" s="136"/>
    </row>
    <row r="137" ht="14.25" customHeight="1">
      <c r="A137" s="30"/>
      <c r="B137" s="104"/>
      <c r="C137" s="104"/>
      <c r="D137" s="104"/>
      <c r="E137" s="104"/>
      <c r="F137" s="104"/>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136"/>
      <c r="AM137" s="136"/>
      <c r="AN137" s="136"/>
    </row>
    <row r="138" ht="14.25" customHeight="1">
      <c r="A138" s="30"/>
      <c r="B138" s="104"/>
      <c r="C138" s="104"/>
      <c r="D138" s="104"/>
      <c r="E138" s="104"/>
      <c r="F138" s="104"/>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136"/>
      <c r="AM138" s="136"/>
      <c r="AN138" s="136"/>
    </row>
    <row r="139" ht="14.25" customHeight="1">
      <c r="A139" s="30"/>
      <c r="B139" s="104"/>
      <c r="C139" s="104"/>
      <c r="D139" s="104"/>
      <c r="E139" s="104"/>
      <c r="F139" s="104"/>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136"/>
      <c r="AM139" s="136"/>
      <c r="AN139" s="136"/>
    </row>
    <row r="140" ht="14.25" customHeight="1">
      <c r="A140" s="30"/>
      <c r="B140" s="104"/>
      <c r="C140" s="104"/>
      <c r="D140" s="104"/>
      <c r="E140" s="104"/>
      <c r="F140" s="104"/>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136"/>
      <c r="AM140" s="136"/>
      <c r="AN140" s="136"/>
    </row>
    <row r="141" ht="14.25" customHeight="1">
      <c r="A141" s="30"/>
      <c r="B141" s="104"/>
      <c r="C141" s="104"/>
      <c r="D141" s="104"/>
      <c r="E141" s="104"/>
      <c r="F141" s="104"/>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136"/>
      <c r="AM141" s="136"/>
      <c r="AN141" s="136"/>
    </row>
    <row r="142" ht="14.25" customHeight="1">
      <c r="A142" s="30"/>
      <c r="B142" s="104"/>
      <c r="C142" s="104"/>
      <c r="D142" s="104"/>
      <c r="E142" s="104"/>
      <c r="F142" s="104"/>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136"/>
      <c r="AM142" s="136"/>
      <c r="AN142" s="136"/>
    </row>
    <row r="143" ht="14.25" customHeight="1">
      <c r="A143" s="30"/>
      <c r="B143" s="104"/>
      <c r="C143" s="104"/>
      <c r="D143" s="104"/>
      <c r="E143" s="104"/>
      <c r="F143" s="104"/>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136"/>
      <c r="AM143" s="136"/>
      <c r="AN143" s="136"/>
    </row>
    <row r="144" ht="14.25" customHeight="1">
      <c r="A144" s="30"/>
      <c r="B144" s="104"/>
      <c r="C144" s="104"/>
      <c r="D144" s="104"/>
      <c r="E144" s="104"/>
      <c r="F144" s="104"/>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136"/>
      <c r="AM144" s="136"/>
      <c r="AN144" s="136"/>
    </row>
    <row r="145" ht="14.25" customHeight="1">
      <c r="A145" s="30"/>
      <c r="B145" s="104"/>
      <c r="C145" s="104"/>
      <c r="D145" s="104"/>
      <c r="E145" s="104"/>
      <c r="F145" s="104"/>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136"/>
      <c r="AM145" s="136"/>
      <c r="AN145" s="136"/>
    </row>
    <row r="146" ht="14.25" customHeight="1">
      <c r="A146" s="30"/>
      <c r="B146" s="104"/>
      <c r="C146" s="104"/>
      <c r="D146" s="104"/>
      <c r="E146" s="104"/>
      <c r="F146" s="104"/>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136"/>
      <c r="AM146" s="136"/>
      <c r="AN146" s="136"/>
    </row>
    <row r="147" ht="14.25" customHeight="1">
      <c r="A147" s="30"/>
      <c r="B147" s="104"/>
      <c r="C147" s="104"/>
      <c r="D147" s="104"/>
      <c r="E147" s="104"/>
      <c r="F147" s="104"/>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136"/>
      <c r="AM147" s="136"/>
      <c r="AN147" s="136"/>
    </row>
    <row r="148" ht="14.25" customHeight="1">
      <c r="A148" s="30"/>
      <c r="B148" s="104"/>
      <c r="C148" s="104"/>
      <c r="D148" s="104"/>
      <c r="E148" s="104"/>
      <c r="F148" s="104"/>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136"/>
      <c r="AM148" s="136"/>
      <c r="AN148" s="136"/>
    </row>
    <row r="149" ht="14.25" customHeight="1">
      <c r="A149" s="30"/>
      <c r="B149" s="104"/>
      <c r="C149" s="104"/>
      <c r="D149" s="104"/>
      <c r="E149" s="104"/>
      <c r="F149" s="104"/>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136"/>
      <c r="AM149" s="136"/>
      <c r="AN149" s="136"/>
    </row>
    <row r="150" ht="14.25" customHeight="1">
      <c r="A150" s="30"/>
      <c r="B150" s="104"/>
      <c r="C150" s="104"/>
      <c r="D150" s="104"/>
      <c r="E150" s="104"/>
      <c r="F150" s="104"/>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136"/>
      <c r="AM150" s="136"/>
      <c r="AN150" s="136"/>
    </row>
    <row r="151" ht="14.25" customHeight="1">
      <c r="A151" s="30"/>
      <c r="B151" s="104"/>
      <c r="C151" s="104"/>
      <c r="D151" s="104"/>
      <c r="E151" s="104"/>
      <c r="F151" s="104"/>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136"/>
      <c r="AM151" s="136"/>
      <c r="AN151" s="136"/>
    </row>
    <row r="152" ht="14.25" customHeight="1">
      <c r="A152" s="30"/>
      <c r="B152" s="104"/>
      <c r="C152" s="104"/>
      <c r="D152" s="104"/>
      <c r="E152" s="104"/>
      <c r="F152" s="104"/>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136"/>
      <c r="AM152" s="136"/>
      <c r="AN152" s="136"/>
    </row>
    <row r="153" ht="14.25" customHeight="1">
      <c r="A153" s="30"/>
      <c r="B153" s="104"/>
      <c r="C153" s="104"/>
      <c r="D153" s="104"/>
      <c r="E153" s="104"/>
      <c r="F153" s="104"/>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136"/>
      <c r="AM153" s="136"/>
      <c r="AN153" s="136"/>
    </row>
    <row r="154" ht="14.25" customHeight="1">
      <c r="A154" s="30"/>
      <c r="B154" s="104"/>
      <c r="C154" s="104"/>
      <c r="D154" s="104"/>
      <c r="E154" s="104"/>
      <c r="F154" s="104"/>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136"/>
      <c r="AM154" s="136"/>
      <c r="AN154" s="136"/>
    </row>
    <row r="155" ht="14.25" customHeight="1">
      <c r="A155" s="30"/>
      <c r="B155" s="104"/>
      <c r="C155" s="104"/>
      <c r="D155" s="104"/>
      <c r="E155" s="104"/>
      <c r="F155" s="104"/>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136"/>
      <c r="AM155" s="136"/>
      <c r="AN155" s="136"/>
    </row>
    <row r="156" ht="14.25" customHeight="1">
      <c r="A156" s="30"/>
      <c r="B156" s="104"/>
      <c r="C156" s="104"/>
      <c r="D156" s="104"/>
      <c r="E156" s="104"/>
      <c r="F156" s="104"/>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136"/>
      <c r="AM156" s="136"/>
      <c r="AN156" s="136"/>
    </row>
    <row r="157" ht="14.25" customHeight="1">
      <c r="A157" s="30"/>
      <c r="B157" s="104"/>
      <c r="C157" s="104"/>
      <c r="D157" s="104"/>
      <c r="E157" s="104"/>
      <c r="F157" s="104"/>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136"/>
      <c r="AM157" s="136"/>
      <c r="AN157" s="136"/>
    </row>
    <row r="158" ht="14.25" customHeight="1">
      <c r="A158" s="30"/>
      <c r="B158" s="104"/>
      <c r="C158" s="104"/>
      <c r="D158" s="104"/>
      <c r="E158" s="104"/>
      <c r="F158" s="104"/>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136"/>
      <c r="AM158" s="136"/>
      <c r="AN158" s="136"/>
    </row>
    <row r="159" ht="14.25" customHeight="1">
      <c r="A159" s="30"/>
      <c r="B159" s="104"/>
      <c r="C159" s="104"/>
      <c r="D159" s="104"/>
      <c r="E159" s="104"/>
      <c r="F159" s="104"/>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136"/>
      <c r="AM159" s="136"/>
      <c r="AN159" s="136"/>
    </row>
    <row r="160" ht="14.25" customHeight="1">
      <c r="A160" s="30"/>
      <c r="B160" s="104"/>
      <c r="C160" s="104"/>
      <c r="D160" s="104"/>
      <c r="E160" s="104"/>
      <c r="F160" s="104"/>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136"/>
      <c r="AM160" s="136"/>
      <c r="AN160" s="136"/>
    </row>
    <row r="161" ht="14.25" customHeight="1">
      <c r="A161" s="30"/>
      <c r="B161" s="104"/>
      <c r="C161" s="104"/>
      <c r="D161" s="104"/>
      <c r="E161" s="104"/>
      <c r="F161" s="104"/>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136"/>
      <c r="AM161" s="136"/>
      <c r="AN161" s="136"/>
    </row>
    <row r="162" ht="14.25" customHeight="1">
      <c r="A162" s="30"/>
      <c r="B162" s="104"/>
      <c r="C162" s="104"/>
      <c r="D162" s="104"/>
      <c r="E162" s="104"/>
      <c r="F162" s="104"/>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136"/>
      <c r="AM162" s="136"/>
      <c r="AN162" s="136"/>
    </row>
    <row r="163" ht="14.25" customHeight="1">
      <c r="A163" s="30"/>
      <c r="B163" s="104"/>
      <c r="C163" s="104"/>
      <c r="D163" s="104"/>
      <c r="E163" s="104"/>
      <c r="F163" s="104"/>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136"/>
      <c r="AM163" s="136"/>
      <c r="AN163" s="136"/>
    </row>
    <row r="164" ht="14.25" customHeight="1">
      <c r="A164" s="30"/>
      <c r="B164" s="104"/>
      <c r="C164" s="104"/>
      <c r="D164" s="104"/>
      <c r="E164" s="104"/>
      <c r="F164" s="104"/>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136"/>
      <c r="AM164" s="136"/>
      <c r="AN164" s="136"/>
    </row>
    <row r="165" ht="14.25" customHeight="1">
      <c r="A165" s="30"/>
      <c r="B165" s="104"/>
      <c r="C165" s="104"/>
      <c r="D165" s="104"/>
      <c r="E165" s="104"/>
      <c r="F165" s="104"/>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136"/>
      <c r="AM165" s="136"/>
      <c r="AN165" s="136"/>
    </row>
    <row r="166" ht="14.25" customHeight="1">
      <c r="A166" s="30"/>
      <c r="B166" s="104"/>
      <c r="C166" s="104"/>
      <c r="D166" s="104"/>
      <c r="E166" s="104"/>
      <c r="F166" s="104"/>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136"/>
      <c r="AM166" s="136"/>
      <c r="AN166" s="136"/>
    </row>
    <row r="167" ht="14.25" customHeight="1">
      <c r="A167" s="30"/>
      <c r="B167" s="104"/>
      <c r="C167" s="104"/>
      <c r="D167" s="104"/>
      <c r="E167" s="104"/>
      <c r="F167" s="104"/>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136"/>
      <c r="AM167" s="136"/>
      <c r="AN167" s="136"/>
    </row>
    <row r="168" ht="14.25" customHeight="1">
      <c r="A168" s="30"/>
      <c r="B168" s="104"/>
      <c r="C168" s="104"/>
      <c r="D168" s="104"/>
      <c r="E168" s="104"/>
      <c r="F168" s="104"/>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136"/>
      <c r="AM168" s="136"/>
      <c r="AN168" s="136"/>
    </row>
    <row r="169" ht="14.25" customHeight="1">
      <c r="A169" s="30"/>
      <c r="B169" s="104"/>
      <c r="C169" s="104"/>
      <c r="D169" s="104"/>
      <c r="E169" s="104"/>
      <c r="F169" s="104"/>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136"/>
      <c r="AM169" s="136"/>
      <c r="AN169" s="136"/>
    </row>
    <row r="170" ht="14.25" customHeight="1">
      <c r="A170" s="30"/>
      <c r="B170" s="104"/>
      <c r="C170" s="104"/>
      <c r="D170" s="104"/>
      <c r="E170" s="104"/>
      <c r="F170" s="104"/>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136"/>
      <c r="AM170" s="136"/>
      <c r="AN170" s="136"/>
    </row>
    <row r="171" ht="14.25" customHeight="1">
      <c r="A171" s="30"/>
      <c r="B171" s="104"/>
      <c r="C171" s="104"/>
      <c r="D171" s="104"/>
      <c r="E171" s="104"/>
      <c r="F171" s="104"/>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136"/>
      <c r="AM171" s="136"/>
      <c r="AN171" s="136"/>
    </row>
    <row r="172" ht="14.25" customHeight="1">
      <c r="A172" s="30"/>
      <c r="B172" s="104"/>
      <c r="C172" s="104"/>
      <c r="D172" s="104"/>
      <c r="E172" s="104"/>
      <c r="F172" s="104"/>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136"/>
      <c r="AM172" s="136"/>
      <c r="AN172" s="136"/>
    </row>
    <row r="173" ht="14.25" customHeight="1">
      <c r="A173" s="30"/>
      <c r="B173" s="104"/>
      <c r="C173" s="104"/>
      <c r="D173" s="104"/>
      <c r="E173" s="104"/>
      <c r="F173" s="104"/>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136"/>
      <c r="AM173" s="136"/>
      <c r="AN173" s="136"/>
    </row>
    <row r="174" ht="14.25" customHeight="1">
      <c r="A174" s="30"/>
      <c r="B174" s="104"/>
      <c r="C174" s="104"/>
      <c r="D174" s="104"/>
      <c r="E174" s="104"/>
      <c r="F174" s="104"/>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136"/>
      <c r="AM174" s="136"/>
      <c r="AN174" s="136"/>
    </row>
    <row r="175" ht="14.25" customHeight="1">
      <c r="A175" s="30"/>
      <c r="B175" s="104"/>
      <c r="C175" s="104"/>
      <c r="D175" s="104"/>
      <c r="E175" s="104"/>
      <c r="F175" s="104"/>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136"/>
      <c r="AM175" s="136"/>
      <c r="AN175" s="136"/>
    </row>
    <row r="176" ht="14.25" customHeight="1">
      <c r="A176" s="30"/>
      <c r="B176" s="104"/>
      <c r="C176" s="104"/>
      <c r="D176" s="104"/>
      <c r="E176" s="104"/>
      <c r="F176" s="104"/>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136"/>
      <c r="AM176" s="136"/>
      <c r="AN176" s="136"/>
    </row>
    <row r="177" ht="14.25" customHeight="1">
      <c r="A177" s="30"/>
      <c r="B177" s="104"/>
      <c r="C177" s="104"/>
      <c r="D177" s="104"/>
      <c r="E177" s="104"/>
      <c r="F177" s="104"/>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136"/>
      <c r="AM177" s="136"/>
      <c r="AN177" s="136"/>
    </row>
    <row r="178" ht="14.25" customHeight="1">
      <c r="A178" s="30"/>
      <c r="B178" s="104"/>
      <c r="C178" s="104"/>
      <c r="D178" s="104"/>
      <c r="E178" s="104"/>
      <c r="F178" s="104"/>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136"/>
      <c r="AM178" s="136"/>
      <c r="AN178" s="136"/>
    </row>
    <row r="179" ht="14.25" customHeight="1">
      <c r="A179" s="30"/>
      <c r="B179" s="104"/>
      <c r="C179" s="104"/>
      <c r="D179" s="104"/>
      <c r="E179" s="104"/>
      <c r="F179" s="104"/>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136"/>
      <c r="AM179" s="136"/>
      <c r="AN179" s="136"/>
    </row>
    <row r="180" ht="14.25" customHeight="1">
      <c r="A180" s="30"/>
      <c r="B180" s="104"/>
      <c r="C180" s="104"/>
      <c r="D180" s="104"/>
      <c r="E180" s="104"/>
      <c r="F180" s="104"/>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136"/>
      <c r="AM180" s="136"/>
      <c r="AN180" s="136"/>
    </row>
    <row r="181" ht="14.25" customHeight="1">
      <c r="A181" s="30"/>
      <c r="B181" s="104"/>
      <c r="C181" s="104"/>
      <c r="D181" s="104"/>
      <c r="E181" s="104"/>
      <c r="F181" s="104"/>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136"/>
      <c r="AM181" s="136"/>
      <c r="AN181" s="136"/>
    </row>
    <row r="182" ht="14.25" customHeight="1">
      <c r="A182" s="30"/>
      <c r="B182" s="104"/>
      <c r="C182" s="104"/>
      <c r="D182" s="104"/>
      <c r="E182" s="104"/>
      <c r="F182" s="104"/>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136"/>
      <c r="AM182" s="136"/>
      <c r="AN182" s="136"/>
    </row>
    <row r="183" ht="14.25" customHeight="1">
      <c r="A183" s="30"/>
      <c r="B183" s="104"/>
      <c r="C183" s="104"/>
      <c r="D183" s="104"/>
      <c r="E183" s="104"/>
      <c r="F183" s="104"/>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136"/>
      <c r="AM183" s="136"/>
      <c r="AN183" s="136"/>
    </row>
    <row r="184" ht="14.25" customHeight="1">
      <c r="A184" s="30"/>
      <c r="B184" s="104"/>
      <c r="C184" s="104"/>
      <c r="D184" s="104"/>
      <c r="E184" s="104"/>
      <c r="F184" s="104"/>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136"/>
      <c r="AM184" s="136"/>
      <c r="AN184" s="136"/>
    </row>
    <row r="185" ht="14.25" customHeight="1">
      <c r="A185" s="30"/>
      <c r="B185" s="104"/>
      <c r="C185" s="104"/>
      <c r="D185" s="104"/>
      <c r="E185" s="104"/>
      <c r="F185" s="104"/>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136"/>
      <c r="AM185" s="136"/>
      <c r="AN185" s="136"/>
    </row>
    <row r="186" ht="14.25" customHeight="1">
      <c r="A186" s="30"/>
      <c r="B186" s="104"/>
      <c r="C186" s="104"/>
      <c r="D186" s="104"/>
      <c r="E186" s="104"/>
      <c r="F186" s="104"/>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136"/>
      <c r="AM186" s="136"/>
      <c r="AN186" s="136"/>
    </row>
    <row r="187" ht="14.25" customHeight="1">
      <c r="A187" s="30"/>
      <c r="B187" s="104"/>
      <c r="C187" s="104"/>
      <c r="D187" s="104"/>
      <c r="E187" s="104"/>
      <c r="F187" s="104"/>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136"/>
      <c r="AM187" s="136"/>
      <c r="AN187" s="136"/>
    </row>
    <row r="188" ht="14.25" customHeight="1">
      <c r="A188" s="30"/>
      <c r="B188" s="104"/>
      <c r="C188" s="104"/>
      <c r="D188" s="104"/>
      <c r="E188" s="104"/>
      <c r="F188" s="104"/>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136"/>
      <c r="AM188" s="136"/>
      <c r="AN188" s="136"/>
    </row>
    <row r="189" ht="14.25" customHeight="1">
      <c r="A189" s="30"/>
      <c r="B189" s="104"/>
      <c r="C189" s="104"/>
      <c r="D189" s="104"/>
      <c r="E189" s="104"/>
      <c r="F189" s="104"/>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136"/>
      <c r="AM189" s="136"/>
      <c r="AN189" s="136"/>
    </row>
    <row r="190" ht="14.25" customHeight="1">
      <c r="A190" s="30"/>
      <c r="B190" s="104"/>
      <c r="C190" s="104"/>
      <c r="D190" s="104"/>
      <c r="E190" s="104"/>
      <c r="F190" s="104"/>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136"/>
      <c r="AM190" s="136"/>
      <c r="AN190" s="136"/>
    </row>
    <row r="191" ht="14.25" customHeight="1">
      <c r="A191" s="30"/>
      <c r="B191" s="104"/>
      <c r="C191" s="104"/>
      <c r="D191" s="104"/>
      <c r="E191" s="104"/>
      <c r="F191" s="104"/>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136"/>
      <c r="AM191" s="136"/>
      <c r="AN191" s="136"/>
    </row>
    <row r="192" ht="14.25" customHeight="1">
      <c r="A192" s="30"/>
      <c r="B192" s="104"/>
      <c r="C192" s="104"/>
      <c r="D192" s="104"/>
      <c r="E192" s="104"/>
      <c r="F192" s="104"/>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136"/>
      <c r="AM192" s="136"/>
      <c r="AN192" s="136"/>
    </row>
    <row r="193" ht="14.25" customHeight="1">
      <c r="A193" s="30"/>
      <c r="B193" s="104"/>
      <c r="C193" s="104"/>
      <c r="D193" s="104"/>
      <c r="E193" s="104"/>
      <c r="F193" s="104"/>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136"/>
      <c r="AM193" s="136"/>
      <c r="AN193" s="136"/>
    </row>
    <row r="194" ht="14.25" customHeight="1">
      <c r="A194" s="30"/>
      <c r="B194" s="104"/>
      <c r="C194" s="104"/>
      <c r="D194" s="104"/>
      <c r="E194" s="104"/>
      <c r="F194" s="104"/>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136"/>
      <c r="AM194" s="136"/>
      <c r="AN194" s="136"/>
    </row>
    <row r="195" ht="14.25" customHeight="1">
      <c r="A195" s="30"/>
      <c r="B195" s="104"/>
      <c r="C195" s="104"/>
      <c r="D195" s="104"/>
      <c r="E195" s="104"/>
      <c r="F195" s="104"/>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136"/>
      <c r="AM195" s="136"/>
      <c r="AN195" s="136"/>
    </row>
    <row r="196" ht="14.25" customHeight="1">
      <c r="A196" s="30"/>
      <c r="B196" s="104"/>
      <c r="C196" s="104"/>
      <c r="D196" s="104"/>
      <c r="E196" s="104"/>
      <c r="F196" s="104"/>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136"/>
      <c r="AM196" s="136"/>
      <c r="AN196" s="136"/>
    </row>
    <row r="197" ht="14.25" customHeight="1">
      <c r="A197" s="30"/>
      <c r="B197" s="104"/>
      <c r="C197" s="104"/>
      <c r="D197" s="104"/>
      <c r="E197" s="104"/>
      <c r="F197" s="104"/>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136"/>
      <c r="AM197" s="136"/>
      <c r="AN197" s="136"/>
    </row>
    <row r="198" ht="14.25" customHeight="1">
      <c r="A198" s="30"/>
      <c r="B198" s="104"/>
      <c r="C198" s="104"/>
      <c r="D198" s="104"/>
      <c r="E198" s="104"/>
      <c r="F198" s="104"/>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136"/>
      <c r="AM198" s="136"/>
      <c r="AN198" s="136"/>
    </row>
    <row r="199" ht="14.25" customHeight="1">
      <c r="A199" s="30"/>
      <c r="B199" s="104"/>
      <c r="C199" s="104"/>
      <c r="D199" s="104"/>
      <c r="E199" s="104"/>
      <c r="F199" s="104"/>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136"/>
      <c r="AM199" s="136"/>
      <c r="AN199" s="136"/>
    </row>
    <row r="200" ht="14.25" customHeight="1">
      <c r="A200" s="30"/>
      <c r="B200" s="104"/>
      <c r="C200" s="104"/>
      <c r="D200" s="104"/>
      <c r="E200" s="104"/>
      <c r="F200" s="104"/>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136"/>
      <c r="AM200" s="136"/>
      <c r="AN200" s="136"/>
    </row>
    <row r="201" ht="14.25" customHeight="1">
      <c r="A201" s="30"/>
      <c r="B201" s="104"/>
      <c r="C201" s="104"/>
      <c r="D201" s="104"/>
      <c r="E201" s="104"/>
      <c r="F201" s="104"/>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136"/>
      <c r="AM201" s="136"/>
      <c r="AN201" s="136"/>
    </row>
    <row r="202" ht="14.25" customHeight="1">
      <c r="A202" s="30"/>
      <c r="B202" s="104"/>
      <c r="C202" s="104"/>
      <c r="D202" s="104"/>
      <c r="E202" s="104"/>
      <c r="F202" s="104"/>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136"/>
      <c r="AM202" s="136"/>
      <c r="AN202" s="136"/>
    </row>
    <row r="203" ht="14.25" customHeight="1">
      <c r="A203" s="30"/>
      <c r="B203" s="104"/>
      <c r="C203" s="104"/>
      <c r="D203" s="104"/>
      <c r="E203" s="104"/>
      <c r="F203" s="104"/>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136"/>
      <c r="AM203" s="136"/>
      <c r="AN203" s="136"/>
    </row>
    <row r="204" ht="14.25" customHeight="1">
      <c r="A204" s="30"/>
      <c r="B204" s="104"/>
      <c r="C204" s="104"/>
      <c r="D204" s="104"/>
      <c r="E204" s="104"/>
      <c r="F204" s="104"/>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136"/>
      <c r="AM204" s="136"/>
      <c r="AN204" s="136"/>
    </row>
    <row r="205" ht="14.25" customHeight="1">
      <c r="A205" s="30"/>
      <c r="B205" s="104"/>
      <c r="C205" s="104"/>
      <c r="D205" s="104"/>
      <c r="E205" s="104"/>
      <c r="F205" s="104"/>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136"/>
      <c r="AM205" s="136"/>
      <c r="AN205" s="136"/>
    </row>
    <row r="206" ht="14.25" customHeight="1">
      <c r="A206" s="30"/>
      <c r="B206" s="104"/>
      <c r="C206" s="104"/>
      <c r="D206" s="104"/>
      <c r="E206" s="104"/>
      <c r="F206" s="104"/>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136"/>
      <c r="AM206" s="136"/>
      <c r="AN206" s="136"/>
    </row>
    <row r="207" ht="14.25" customHeight="1">
      <c r="A207" s="30"/>
      <c r="B207" s="104"/>
      <c r="C207" s="104"/>
      <c r="D207" s="104"/>
      <c r="E207" s="104"/>
      <c r="F207" s="104"/>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136"/>
      <c r="AM207" s="136"/>
      <c r="AN207" s="136"/>
    </row>
    <row r="208" ht="14.25" customHeight="1">
      <c r="A208" s="30"/>
      <c r="B208" s="104"/>
      <c r="C208" s="104"/>
      <c r="D208" s="104"/>
      <c r="E208" s="104"/>
      <c r="F208" s="104"/>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136"/>
      <c r="AM208" s="136"/>
      <c r="AN208" s="136"/>
    </row>
    <row r="209" ht="14.25" customHeight="1">
      <c r="A209" s="30"/>
      <c r="B209" s="104"/>
      <c r="C209" s="104"/>
      <c r="D209" s="104"/>
      <c r="E209" s="104"/>
      <c r="F209" s="104"/>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136"/>
      <c r="AM209" s="136"/>
      <c r="AN209" s="136"/>
    </row>
    <row r="210" ht="14.25" customHeight="1">
      <c r="A210" s="30"/>
      <c r="B210" s="104"/>
      <c r="C210" s="104"/>
      <c r="D210" s="104"/>
      <c r="E210" s="104"/>
      <c r="F210" s="104"/>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136"/>
      <c r="AM210" s="136"/>
      <c r="AN210" s="136"/>
    </row>
    <row r="211" ht="14.25" customHeight="1">
      <c r="A211" s="30"/>
      <c r="B211" s="104"/>
      <c r="C211" s="104"/>
      <c r="D211" s="104"/>
      <c r="E211" s="104"/>
      <c r="F211" s="104"/>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136"/>
      <c r="AM211" s="136"/>
      <c r="AN211" s="136"/>
    </row>
    <row r="212" ht="14.25" customHeight="1">
      <c r="A212" s="30"/>
      <c r="B212" s="104"/>
      <c r="C212" s="104"/>
      <c r="D212" s="104"/>
      <c r="E212" s="104"/>
      <c r="F212" s="104"/>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136"/>
      <c r="AM212" s="136"/>
      <c r="AN212" s="136"/>
    </row>
    <row r="213" ht="14.25" customHeight="1">
      <c r="A213" s="30"/>
      <c r="B213" s="104"/>
      <c r="C213" s="104"/>
      <c r="D213" s="104"/>
      <c r="E213" s="104"/>
      <c r="F213" s="104"/>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136"/>
      <c r="AM213" s="136"/>
      <c r="AN213" s="136"/>
    </row>
    <row r="214" ht="14.25" customHeight="1">
      <c r="A214" s="30"/>
      <c r="B214" s="104"/>
      <c r="C214" s="104"/>
      <c r="D214" s="104"/>
      <c r="E214" s="104"/>
      <c r="F214" s="104"/>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136"/>
      <c r="AM214" s="136"/>
      <c r="AN214" s="136"/>
    </row>
    <row r="215" ht="14.25" customHeight="1">
      <c r="A215" s="30"/>
      <c r="B215" s="104"/>
      <c r="C215" s="104"/>
      <c r="D215" s="104"/>
      <c r="E215" s="104"/>
      <c r="F215" s="104"/>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136"/>
      <c r="AM215" s="136"/>
      <c r="AN215" s="136"/>
    </row>
    <row r="216" ht="14.25" customHeight="1">
      <c r="A216" s="30"/>
      <c r="B216" s="104"/>
      <c r="C216" s="104"/>
      <c r="D216" s="104"/>
      <c r="E216" s="104"/>
      <c r="F216" s="104"/>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136"/>
      <c r="AM216" s="136"/>
      <c r="AN216" s="136"/>
    </row>
    <row r="217" ht="14.25" customHeight="1">
      <c r="A217" s="30"/>
      <c r="B217" s="104"/>
      <c r="C217" s="104"/>
      <c r="D217" s="104"/>
      <c r="E217" s="104"/>
      <c r="F217" s="104"/>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136"/>
      <c r="AM217" s="136"/>
      <c r="AN217" s="136"/>
    </row>
    <row r="218" ht="14.25" customHeight="1">
      <c r="A218" s="30"/>
      <c r="B218" s="104"/>
      <c r="C218" s="104"/>
      <c r="D218" s="104"/>
      <c r="E218" s="104"/>
      <c r="F218" s="104"/>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136"/>
      <c r="AM218" s="136"/>
      <c r="AN218" s="136"/>
    </row>
    <row r="219" ht="14.25" customHeight="1">
      <c r="A219" s="30"/>
      <c r="B219" s="104"/>
      <c r="C219" s="104"/>
      <c r="D219" s="104"/>
      <c r="E219" s="104"/>
      <c r="F219" s="104"/>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136"/>
      <c r="AM219" s="136"/>
      <c r="AN219" s="136"/>
    </row>
    <row r="220" ht="14.25" customHeight="1">
      <c r="A220" s="30"/>
      <c r="B220" s="104"/>
      <c r="C220" s="104"/>
      <c r="D220" s="104"/>
      <c r="E220" s="104"/>
      <c r="F220" s="104"/>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136"/>
      <c r="AM220" s="136"/>
      <c r="AN220" s="136"/>
    </row>
    <row r="221" ht="14.25" customHeight="1">
      <c r="A221" s="30"/>
      <c r="B221" s="104"/>
      <c r="C221" s="104"/>
      <c r="D221" s="104"/>
      <c r="E221" s="104"/>
      <c r="F221" s="104"/>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136"/>
      <c r="AM221" s="136"/>
      <c r="AN221" s="136"/>
    </row>
    <row r="222" ht="14.25" customHeight="1">
      <c r="A222" s="30"/>
      <c r="B222" s="104"/>
      <c r="C222" s="104"/>
      <c r="D222" s="104"/>
      <c r="E222" s="104"/>
      <c r="F222" s="104"/>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136"/>
      <c r="AM222" s="136"/>
      <c r="AN222" s="136"/>
    </row>
    <row r="223" ht="14.25" customHeight="1">
      <c r="A223" s="30"/>
      <c r="B223" s="104"/>
      <c r="C223" s="104"/>
      <c r="D223" s="104"/>
      <c r="E223" s="104"/>
      <c r="F223" s="104"/>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136"/>
      <c r="AM223" s="136"/>
      <c r="AN223" s="136"/>
    </row>
    <row r="224" ht="14.25" customHeight="1">
      <c r="A224" s="30"/>
      <c r="B224" s="104"/>
      <c r="C224" s="104"/>
      <c r="D224" s="104"/>
      <c r="E224" s="104"/>
      <c r="F224" s="104"/>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136"/>
      <c r="AM224" s="136"/>
      <c r="AN224" s="136"/>
    </row>
    <row r="225" ht="14.25" customHeight="1">
      <c r="A225" s="30"/>
      <c r="B225" s="104"/>
      <c r="C225" s="104"/>
      <c r="D225" s="104"/>
      <c r="E225" s="104"/>
      <c r="F225" s="104"/>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136"/>
      <c r="AM225" s="136"/>
      <c r="AN225" s="136"/>
    </row>
    <row r="226" ht="14.25" customHeight="1">
      <c r="A226" s="30"/>
      <c r="B226" s="104"/>
      <c r="C226" s="104"/>
      <c r="D226" s="104"/>
      <c r="E226" s="104"/>
      <c r="F226" s="104"/>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136"/>
      <c r="AM226" s="136"/>
      <c r="AN226" s="136"/>
    </row>
    <row r="227" ht="14.25" customHeight="1">
      <c r="A227" s="30"/>
      <c r="B227" s="104"/>
      <c r="C227" s="104"/>
      <c r="D227" s="104"/>
      <c r="E227" s="104"/>
      <c r="F227" s="104"/>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136"/>
      <c r="AM227" s="136"/>
      <c r="AN227" s="136"/>
    </row>
    <row r="228" ht="14.25" customHeight="1">
      <c r="A228" s="30"/>
      <c r="B228" s="104"/>
      <c r="C228" s="104"/>
      <c r="D228" s="104"/>
      <c r="E228" s="104"/>
      <c r="F228" s="104"/>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136"/>
      <c r="AM228" s="136"/>
      <c r="AN228" s="136"/>
    </row>
    <row r="229" ht="14.25" customHeight="1">
      <c r="A229" s="30"/>
      <c r="B229" s="104"/>
      <c r="C229" s="104"/>
      <c r="D229" s="104"/>
      <c r="E229" s="104"/>
      <c r="F229" s="104"/>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136"/>
      <c r="AM229" s="136"/>
      <c r="AN229" s="136"/>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F2"/>
    <mergeCell ref="B3:F3"/>
    <mergeCell ref="B7:B11"/>
    <mergeCell ref="B13:B17"/>
    <mergeCell ref="B19:B23"/>
    <mergeCell ref="B25:B29"/>
  </mergeCells>
  <dataValidations>
    <dataValidation type="list" allowBlank="1" showErrorMessage="1" sqref="AN7:AN11 AN13:AN17 AN19:AN23 AN25:AN29">
      <formula1>"Mensal,Anual"</formula1>
    </dataValidation>
  </dataValidations>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57"/>
    <col customWidth="1" min="3" max="3" width="9.14"/>
    <col customWidth="1" min="4" max="4" width="36.43"/>
    <col customWidth="1" min="5" max="5" width="13.0"/>
    <col customWidth="1" min="6" max="6" width="10.86"/>
    <col customWidth="1" min="7" max="7" width="11.86"/>
    <col customWidth="1" min="8" max="8" width="15.43"/>
    <col customWidth="1" min="9" max="17" width="14.14"/>
    <col customWidth="1" min="18" max="19" width="12.86"/>
    <col customWidth="1" min="20" max="20" width="14.0"/>
    <col customWidth="1" min="21" max="21" width="9.71"/>
    <col customWidth="1" min="22" max="26" width="8.71"/>
  </cols>
  <sheetData>
    <row r="1" ht="3.75" customHeight="1">
      <c r="A1" s="35"/>
      <c r="B1" s="35"/>
      <c r="C1" s="128"/>
      <c r="D1" s="110"/>
      <c r="E1" s="110"/>
      <c r="F1" s="110"/>
      <c r="G1" s="158"/>
      <c r="H1" s="110"/>
      <c r="I1" s="128"/>
      <c r="J1" s="128"/>
      <c r="K1" s="128"/>
      <c r="L1" s="128"/>
      <c r="M1" s="128"/>
      <c r="N1" s="128"/>
      <c r="O1" s="128"/>
      <c r="P1" s="128"/>
      <c r="Q1" s="128"/>
      <c r="R1" s="128"/>
      <c r="S1" s="128"/>
      <c r="T1" s="128"/>
      <c r="U1" s="35"/>
      <c r="V1" s="35"/>
      <c r="W1" s="35"/>
      <c r="X1" s="35"/>
      <c r="Y1" s="35"/>
      <c r="Z1" s="35"/>
    </row>
    <row r="2" ht="19.5" customHeight="1">
      <c r="A2" s="35"/>
      <c r="B2" s="159"/>
      <c r="C2" s="17"/>
      <c r="D2" s="17"/>
      <c r="E2" s="17"/>
      <c r="F2" s="17"/>
      <c r="G2" s="17"/>
      <c r="H2" s="17"/>
      <c r="I2" s="128"/>
      <c r="J2" s="128"/>
      <c r="K2" s="128"/>
      <c r="L2" s="128"/>
      <c r="M2" s="128"/>
      <c r="N2" s="128"/>
      <c r="O2" s="128"/>
      <c r="P2" s="128"/>
      <c r="Q2" s="128"/>
      <c r="R2" s="128"/>
      <c r="S2" s="128"/>
      <c r="T2" s="128"/>
      <c r="U2" s="35"/>
      <c r="V2" s="35"/>
      <c r="W2" s="35"/>
      <c r="X2" s="35"/>
      <c r="Y2" s="35"/>
      <c r="Z2" s="35"/>
    </row>
    <row r="3" ht="18.75" customHeight="1">
      <c r="A3" s="35"/>
      <c r="B3" s="132"/>
      <c r="C3" s="17"/>
      <c r="D3" s="17"/>
      <c r="E3" s="17"/>
      <c r="F3" s="17"/>
      <c r="G3" s="17"/>
      <c r="H3" s="17"/>
      <c r="I3" s="128"/>
      <c r="J3" s="128"/>
      <c r="K3" s="128"/>
      <c r="L3" s="128"/>
      <c r="M3" s="128"/>
      <c r="N3" s="128"/>
      <c r="O3" s="128"/>
      <c r="P3" s="128"/>
      <c r="Q3" s="128"/>
      <c r="R3" s="128"/>
      <c r="S3" s="128"/>
      <c r="T3" s="128"/>
      <c r="U3" s="35"/>
      <c r="V3" s="35"/>
      <c r="W3" s="35"/>
      <c r="X3" s="35"/>
      <c r="Y3" s="35"/>
      <c r="Z3" s="35"/>
    </row>
    <row r="4" ht="75.75" customHeight="1">
      <c r="A4" s="30"/>
      <c r="B4" s="160"/>
      <c r="C4" s="104"/>
      <c r="D4" s="59"/>
      <c r="E4" s="59"/>
      <c r="F4" s="59"/>
      <c r="G4" s="161"/>
      <c r="H4" s="59"/>
      <c r="I4" s="104"/>
      <c r="J4" s="104"/>
      <c r="K4" s="104"/>
      <c r="L4" s="104"/>
      <c r="M4" s="104"/>
      <c r="N4" s="104"/>
      <c r="O4" s="104"/>
      <c r="P4" s="104"/>
      <c r="Q4" s="104"/>
      <c r="R4" s="104"/>
      <c r="S4" s="104"/>
      <c r="T4" s="104"/>
      <c r="U4" s="30"/>
      <c r="V4" s="30"/>
      <c r="W4" s="30"/>
      <c r="X4" s="30"/>
      <c r="Y4" s="30"/>
      <c r="Z4" s="30"/>
    </row>
    <row r="5" ht="22.5" customHeight="1">
      <c r="A5" s="30"/>
      <c r="B5" s="162" t="s">
        <v>89</v>
      </c>
      <c r="C5" s="162" t="s">
        <v>90</v>
      </c>
      <c r="D5" s="162" t="s">
        <v>91</v>
      </c>
      <c r="E5" s="162" t="s">
        <v>93</v>
      </c>
      <c r="F5" s="162">
        <v>2024.0</v>
      </c>
      <c r="G5" s="163" t="s">
        <v>109</v>
      </c>
      <c r="H5" s="162" t="s">
        <v>110</v>
      </c>
      <c r="I5" s="164">
        <v>45292.0</v>
      </c>
      <c r="J5" s="164">
        <v>45323.0</v>
      </c>
      <c r="K5" s="164">
        <v>45352.0</v>
      </c>
      <c r="L5" s="164">
        <v>45383.0</v>
      </c>
      <c r="M5" s="164">
        <v>45413.0</v>
      </c>
      <c r="N5" s="164">
        <v>45444.0</v>
      </c>
      <c r="O5" s="164">
        <v>45474.0</v>
      </c>
      <c r="P5" s="164">
        <v>45505.0</v>
      </c>
      <c r="Q5" s="164">
        <v>45536.0</v>
      </c>
      <c r="R5" s="164">
        <v>45566.0</v>
      </c>
      <c r="S5" s="164">
        <v>45597.0</v>
      </c>
      <c r="T5" s="164">
        <v>45627.0</v>
      </c>
      <c r="U5" s="30"/>
      <c r="V5" s="30"/>
      <c r="W5" s="30"/>
      <c r="X5" s="30"/>
      <c r="Y5" s="30"/>
      <c r="Z5" s="30"/>
    </row>
    <row r="6" ht="3.0" customHeight="1">
      <c r="A6" s="30"/>
      <c r="B6" s="30"/>
      <c r="C6" s="30"/>
      <c r="D6" s="59"/>
      <c r="E6" s="59"/>
      <c r="F6" s="59"/>
      <c r="G6" s="161"/>
      <c r="H6" s="59"/>
      <c r="I6" s="104"/>
      <c r="J6" s="104"/>
      <c r="K6" s="104"/>
      <c r="L6" s="104"/>
      <c r="M6" s="104"/>
      <c r="N6" s="104"/>
      <c r="O6" s="104"/>
      <c r="P6" s="104"/>
      <c r="Q6" s="104"/>
      <c r="R6" s="104"/>
      <c r="S6" s="104"/>
      <c r="T6" s="104"/>
      <c r="U6" s="30"/>
      <c r="V6" s="30"/>
      <c r="W6" s="30"/>
      <c r="X6" s="30"/>
      <c r="Y6" s="30"/>
      <c r="Z6" s="30"/>
    </row>
    <row r="7" ht="13.5" customHeight="1">
      <c r="A7" s="30"/>
      <c r="B7" s="137" t="s">
        <v>104</v>
      </c>
      <c r="C7" s="165">
        <v>1.0</v>
      </c>
      <c r="D7" s="165" t="str">
        <f>IF('Objetivos Estratégicos '!E7="","",'Objetivos Estratégicos '!E7)</f>
        <v/>
      </c>
      <c r="E7" s="165" t="str">
        <f>IF('Objetivos Estratégicos '!F7="","",'Objetivos Estratégicos '!F7)</f>
        <v/>
      </c>
      <c r="F7" s="166" t="s">
        <v>111</v>
      </c>
      <c r="G7" s="167" t="s">
        <v>112</v>
      </c>
      <c r="H7" s="168">
        <f t="shared" ref="H7:H16" si="1">IF(G7="SOMA",SUM(I7:T7),IF(G7="MÉDIA",AVERAGE(I7:T7),IF(G7="ÚLTIMO RESULTADO",MAX(I7:T7),"")))</f>
        <v>0</v>
      </c>
      <c r="I7" s="169">
        <f>'Objetivos Estratégicos '!Z7/12</f>
        <v>0</v>
      </c>
      <c r="J7" s="169">
        <f>'Objetivos Estratégicos '!Z7/12</f>
        <v>0</v>
      </c>
      <c r="K7" s="169">
        <f>'Objetivos Estratégicos '!Z7/12</f>
        <v>0</v>
      </c>
      <c r="L7" s="169">
        <f>'Objetivos Estratégicos '!Z7/12</f>
        <v>0</v>
      </c>
      <c r="M7" s="169">
        <f>'Objetivos Estratégicos '!Z7/12</f>
        <v>0</v>
      </c>
      <c r="N7" s="169">
        <f>'Objetivos Estratégicos '!Z7/12</f>
        <v>0</v>
      </c>
      <c r="O7" s="169">
        <f>'Objetivos Estratégicos '!Z7/12</f>
        <v>0</v>
      </c>
      <c r="P7" s="169">
        <f>'Objetivos Estratégicos '!Z7/12</f>
        <v>0</v>
      </c>
      <c r="Q7" s="170">
        <f>'Objetivos Estratégicos '!Z7/12</f>
        <v>0</v>
      </c>
      <c r="R7" s="169">
        <f>'Objetivos Estratégicos '!Z7/12</f>
        <v>0</v>
      </c>
      <c r="S7" s="169">
        <f>'Objetivos Estratégicos '!Z7/12</f>
        <v>0</v>
      </c>
      <c r="T7" s="169">
        <f>'Objetivos Estratégicos '!Z7/12</f>
        <v>0</v>
      </c>
      <c r="U7" s="30"/>
      <c r="V7" s="30"/>
      <c r="W7" s="30"/>
      <c r="X7" s="30"/>
      <c r="Y7" s="30"/>
      <c r="Z7" s="30"/>
    </row>
    <row r="8" ht="14.25" customHeight="1">
      <c r="A8" s="30"/>
      <c r="B8" s="146"/>
      <c r="C8" s="150"/>
      <c r="D8" s="150"/>
      <c r="E8" s="150"/>
      <c r="F8" s="166" t="s">
        <v>113</v>
      </c>
      <c r="G8" s="167" t="s">
        <v>112</v>
      </c>
      <c r="H8" s="168">
        <f t="shared" si="1"/>
        <v>0</v>
      </c>
      <c r="I8" s="171"/>
      <c r="J8" s="171"/>
      <c r="K8" s="171"/>
      <c r="L8" s="171"/>
      <c r="M8" s="171"/>
      <c r="N8" s="171"/>
      <c r="O8" s="171"/>
      <c r="P8" s="171"/>
      <c r="Q8" s="171"/>
      <c r="R8" s="171"/>
      <c r="S8" s="171"/>
      <c r="T8" s="171"/>
      <c r="U8" s="30"/>
      <c r="V8" s="30"/>
      <c r="W8" s="30"/>
      <c r="X8" s="30"/>
      <c r="Y8" s="30"/>
      <c r="Z8" s="30"/>
    </row>
    <row r="9" ht="14.25" customHeight="1">
      <c r="A9" s="30"/>
      <c r="B9" s="146"/>
      <c r="C9" s="165">
        <v>2.0</v>
      </c>
      <c r="D9" s="165" t="str">
        <f>IF('Objetivos Estratégicos '!E8="","",'Objetivos Estratégicos '!E8)</f>
        <v/>
      </c>
      <c r="E9" s="165" t="str">
        <f>IF('Objetivos Estratégicos '!F8="","",'Objetivos Estratégicos '!F8)</f>
        <v/>
      </c>
      <c r="F9" s="166" t="s">
        <v>111</v>
      </c>
      <c r="G9" s="167" t="s">
        <v>112</v>
      </c>
      <c r="H9" s="168">
        <f t="shared" si="1"/>
        <v>0</v>
      </c>
      <c r="I9" s="169">
        <f>'Objetivos Estratégicos '!Z8/12</f>
        <v>0</v>
      </c>
      <c r="J9" s="169">
        <f>'Objetivos Estratégicos '!Z8/12</f>
        <v>0</v>
      </c>
      <c r="K9" s="169">
        <f>'Objetivos Estratégicos '!Z8/12</f>
        <v>0</v>
      </c>
      <c r="L9" s="169">
        <f>'Objetivos Estratégicos '!Z8/12</f>
        <v>0</v>
      </c>
      <c r="M9" s="169">
        <f>'Objetivos Estratégicos '!Z8/12</f>
        <v>0</v>
      </c>
      <c r="N9" s="169">
        <f>'Objetivos Estratégicos '!Z8/12</f>
        <v>0</v>
      </c>
      <c r="O9" s="169">
        <f>'Objetivos Estratégicos '!Z8/12</f>
        <v>0</v>
      </c>
      <c r="P9" s="169">
        <f>'Objetivos Estratégicos '!Z8/12</f>
        <v>0</v>
      </c>
      <c r="Q9" s="170">
        <f>'Objetivos Estratégicos '!Z8/12</f>
        <v>0</v>
      </c>
      <c r="R9" s="169">
        <f>'Objetivos Estratégicos '!Z8/12</f>
        <v>0</v>
      </c>
      <c r="S9" s="169">
        <f>'Objetivos Estratégicos '!Z8/12</f>
        <v>0</v>
      </c>
      <c r="T9" s="169">
        <f>'Objetivos Estratégicos '!Z8/12</f>
        <v>0</v>
      </c>
      <c r="U9" s="30"/>
      <c r="V9" s="30"/>
      <c r="W9" s="30"/>
      <c r="X9" s="30"/>
      <c r="Y9" s="30"/>
      <c r="Z9" s="30"/>
    </row>
    <row r="10" ht="14.25" customHeight="1">
      <c r="A10" s="30"/>
      <c r="B10" s="146"/>
      <c r="C10" s="150"/>
      <c r="D10" s="150"/>
      <c r="E10" s="150"/>
      <c r="F10" s="166" t="s">
        <v>113</v>
      </c>
      <c r="G10" s="167" t="s">
        <v>112</v>
      </c>
      <c r="H10" s="168">
        <f t="shared" si="1"/>
        <v>0</v>
      </c>
      <c r="I10" s="171"/>
      <c r="J10" s="171"/>
      <c r="K10" s="171"/>
      <c r="L10" s="171"/>
      <c r="M10" s="171"/>
      <c r="N10" s="171"/>
      <c r="O10" s="171"/>
      <c r="P10" s="171"/>
      <c r="Q10" s="172"/>
      <c r="R10" s="171"/>
      <c r="S10" s="171"/>
      <c r="T10" s="171"/>
      <c r="U10" s="30"/>
      <c r="V10" s="30"/>
      <c r="W10" s="30"/>
      <c r="X10" s="30"/>
      <c r="Y10" s="30"/>
      <c r="Z10" s="30"/>
    </row>
    <row r="11" ht="14.25" customHeight="1">
      <c r="A11" s="30"/>
      <c r="B11" s="146"/>
      <c r="C11" s="165">
        <v>3.0</v>
      </c>
      <c r="D11" s="165" t="str">
        <f>IF('Objetivos Estratégicos '!E9="","",'Objetivos Estratégicos '!E9)</f>
        <v/>
      </c>
      <c r="E11" s="165" t="str">
        <f>IF('Objetivos Estratégicos '!F9="","",'Objetivos Estratégicos '!F9)</f>
        <v/>
      </c>
      <c r="F11" s="166" t="s">
        <v>111</v>
      </c>
      <c r="G11" s="167" t="s">
        <v>112</v>
      </c>
      <c r="H11" s="168">
        <f t="shared" si="1"/>
        <v>0</v>
      </c>
      <c r="I11" s="169">
        <f>'Objetivos Estratégicos '!Z9/12</f>
        <v>0</v>
      </c>
      <c r="J11" s="169">
        <f>'Objetivos Estratégicos '!Z9/12</f>
        <v>0</v>
      </c>
      <c r="K11" s="169">
        <f>'Objetivos Estratégicos '!Z9/12</f>
        <v>0</v>
      </c>
      <c r="L11" s="169">
        <f>'Objetivos Estratégicos '!Z9/12</f>
        <v>0</v>
      </c>
      <c r="M11" s="169">
        <f>'Objetivos Estratégicos '!Z9/12</f>
        <v>0</v>
      </c>
      <c r="N11" s="169">
        <f>'Objetivos Estratégicos '!Z9/12</f>
        <v>0</v>
      </c>
      <c r="O11" s="169">
        <f>'Objetivos Estratégicos '!Z9/12</f>
        <v>0</v>
      </c>
      <c r="P11" s="169">
        <f>'Objetivos Estratégicos '!Z9/12</f>
        <v>0</v>
      </c>
      <c r="Q11" s="170">
        <f>'Objetivos Estratégicos '!Z9/12</f>
        <v>0</v>
      </c>
      <c r="R11" s="169">
        <f>'Objetivos Estratégicos '!Z9/12</f>
        <v>0</v>
      </c>
      <c r="S11" s="169">
        <f>'Objetivos Estratégicos '!Z9/12</f>
        <v>0</v>
      </c>
      <c r="T11" s="169">
        <f>'Objetivos Estratégicos '!Z9/12</f>
        <v>0</v>
      </c>
      <c r="U11" s="30"/>
      <c r="V11" s="30"/>
      <c r="W11" s="30"/>
      <c r="X11" s="30"/>
      <c r="Y11" s="30"/>
      <c r="Z11" s="30"/>
    </row>
    <row r="12" ht="14.25" customHeight="1">
      <c r="A12" s="30"/>
      <c r="B12" s="146"/>
      <c r="C12" s="150"/>
      <c r="D12" s="150"/>
      <c r="E12" s="150"/>
      <c r="F12" s="166" t="s">
        <v>113</v>
      </c>
      <c r="G12" s="167" t="s">
        <v>112</v>
      </c>
      <c r="H12" s="168">
        <f t="shared" si="1"/>
        <v>0</v>
      </c>
      <c r="I12" s="171"/>
      <c r="J12" s="171"/>
      <c r="K12" s="171"/>
      <c r="L12" s="171"/>
      <c r="M12" s="171"/>
      <c r="N12" s="171"/>
      <c r="O12" s="171"/>
      <c r="P12" s="171"/>
      <c r="Q12" s="171"/>
      <c r="R12" s="171"/>
      <c r="S12" s="171"/>
      <c r="T12" s="171"/>
      <c r="U12" s="30"/>
      <c r="V12" s="30"/>
      <c r="W12" s="30"/>
      <c r="X12" s="30"/>
      <c r="Y12" s="30"/>
      <c r="Z12" s="30"/>
    </row>
    <row r="13" ht="14.25" customHeight="1">
      <c r="A13" s="30"/>
      <c r="B13" s="146"/>
      <c r="C13" s="165">
        <v>4.0</v>
      </c>
      <c r="D13" s="165" t="str">
        <f>IF('Objetivos Estratégicos '!E10="","",'Objetivos Estratégicos '!E10)</f>
        <v/>
      </c>
      <c r="E13" s="165" t="str">
        <f>IF('Objetivos Estratégicos '!F10="","",'Objetivos Estratégicos '!F10)</f>
        <v/>
      </c>
      <c r="F13" s="166" t="s">
        <v>111</v>
      </c>
      <c r="G13" s="167" t="s">
        <v>112</v>
      </c>
      <c r="H13" s="168">
        <f t="shared" si="1"/>
        <v>0</v>
      </c>
      <c r="I13" s="169">
        <f>'Objetivos Estratégicos '!Z10/12</f>
        <v>0</v>
      </c>
      <c r="J13" s="169">
        <f>'Objetivos Estratégicos '!Z10/12</f>
        <v>0</v>
      </c>
      <c r="K13" s="169">
        <f>'Objetivos Estratégicos '!Z10/12</f>
        <v>0</v>
      </c>
      <c r="L13" s="169">
        <f>'Objetivos Estratégicos '!Z10/12</f>
        <v>0</v>
      </c>
      <c r="M13" s="169">
        <f>'Objetivos Estratégicos '!Z10/12</f>
        <v>0</v>
      </c>
      <c r="N13" s="169">
        <f>'Objetivos Estratégicos '!Z10/12</f>
        <v>0</v>
      </c>
      <c r="O13" s="169">
        <f>'Objetivos Estratégicos '!Z10/12</f>
        <v>0</v>
      </c>
      <c r="P13" s="169">
        <f>'Objetivos Estratégicos '!Z10/12</f>
        <v>0</v>
      </c>
      <c r="Q13" s="170">
        <f>'Objetivos Estratégicos '!Z10/12</f>
        <v>0</v>
      </c>
      <c r="R13" s="169">
        <f>'Objetivos Estratégicos '!Z10/12</f>
        <v>0</v>
      </c>
      <c r="S13" s="169">
        <f>'Objetivos Estratégicos '!Z10/12</f>
        <v>0</v>
      </c>
      <c r="T13" s="169">
        <f>'Objetivos Estratégicos '!Z10/12</f>
        <v>0</v>
      </c>
      <c r="U13" s="30"/>
      <c r="V13" s="30"/>
      <c r="W13" s="30"/>
      <c r="X13" s="30"/>
      <c r="Y13" s="30"/>
      <c r="Z13" s="30"/>
    </row>
    <row r="14" ht="14.25" customHeight="1">
      <c r="A14" s="30"/>
      <c r="B14" s="146"/>
      <c r="C14" s="150"/>
      <c r="D14" s="150"/>
      <c r="E14" s="150"/>
      <c r="F14" s="166" t="s">
        <v>113</v>
      </c>
      <c r="G14" s="167" t="s">
        <v>112</v>
      </c>
      <c r="H14" s="168">
        <f t="shared" si="1"/>
        <v>0</v>
      </c>
      <c r="I14" s="171"/>
      <c r="J14" s="172"/>
      <c r="K14" s="171"/>
      <c r="L14" s="171"/>
      <c r="M14" s="171"/>
      <c r="N14" s="171"/>
      <c r="O14" s="171"/>
      <c r="P14" s="171"/>
      <c r="Q14" s="171"/>
      <c r="R14" s="171"/>
      <c r="S14" s="171"/>
      <c r="T14" s="171"/>
      <c r="U14" s="30"/>
      <c r="V14" s="30"/>
      <c r="W14" s="30"/>
      <c r="X14" s="30"/>
      <c r="Y14" s="30"/>
      <c r="Z14" s="30"/>
    </row>
    <row r="15" ht="14.25" customHeight="1">
      <c r="A15" s="30"/>
      <c r="B15" s="146"/>
      <c r="C15" s="165">
        <v>5.0</v>
      </c>
      <c r="D15" s="165" t="str">
        <f>IF('Objetivos Estratégicos '!E11="","",'Objetivos Estratégicos '!E11)</f>
        <v/>
      </c>
      <c r="E15" s="165" t="str">
        <f>IF('Objetivos Estratégicos '!F11="","",'Objetivos Estratégicos '!F11)</f>
        <v/>
      </c>
      <c r="F15" s="166" t="s">
        <v>111</v>
      </c>
      <c r="G15" s="167" t="s">
        <v>112</v>
      </c>
      <c r="H15" s="168">
        <f t="shared" si="1"/>
        <v>0</v>
      </c>
      <c r="I15" s="169">
        <f>'Objetivos Estratégicos '!Z11/12</f>
        <v>0</v>
      </c>
      <c r="J15" s="169">
        <f>'Objetivos Estratégicos '!Z11/12</f>
        <v>0</v>
      </c>
      <c r="K15" s="169">
        <f>'Objetivos Estratégicos '!Z11/12</f>
        <v>0</v>
      </c>
      <c r="L15" s="169">
        <f>'Objetivos Estratégicos '!Z11/12</f>
        <v>0</v>
      </c>
      <c r="M15" s="169">
        <f>'Objetivos Estratégicos '!Z11/12</f>
        <v>0</v>
      </c>
      <c r="N15" s="169">
        <f>'Objetivos Estratégicos '!Z11/12</f>
        <v>0</v>
      </c>
      <c r="O15" s="169">
        <f>'Objetivos Estratégicos '!Z11/12</f>
        <v>0</v>
      </c>
      <c r="P15" s="169">
        <f>'Objetivos Estratégicos '!Z11/12</f>
        <v>0</v>
      </c>
      <c r="Q15" s="169">
        <f>'Objetivos Estratégicos '!Z11/12</f>
        <v>0</v>
      </c>
      <c r="R15" s="169">
        <f>'Objetivos Estratégicos '!Z11/12</f>
        <v>0</v>
      </c>
      <c r="S15" s="169">
        <f>'Objetivos Estratégicos '!Z11/12</f>
        <v>0</v>
      </c>
      <c r="T15" s="169">
        <f>'Objetivos Estratégicos '!Z11/12</f>
        <v>0</v>
      </c>
      <c r="U15" s="30"/>
      <c r="V15" s="30"/>
      <c r="W15" s="30"/>
      <c r="X15" s="30"/>
      <c r="Y15" s="30"/>
      <c r="Z15" s="30"/>
    </row>
    <row r="16" ht="14.25" customHeight="1">
      <c r="A16" s="30"/>
      <c r="B16" s="150"/>
      <c r="C16" s="150"/>
      <c r="D16" s="150"/>
      <c r="E16" s="150"/>
      <c r="F16" s="166" t="s">
        <v>113</v>
      </c>
      <c r="G16" s="167" t="s">
        <v>112</v>
      </c>
      <c r="H16" s="168">
        <f t="shared" si="1"/>
        <v>0</v>
      </c>
      <c r="I16" s="171"/>
      <c r="J16" s="171"/>
      <c r="K16" s="171"/>
      <c r="L16" s="171"/>
      <c r="M16" s="171"/>
      <c r="N16" s="171"/>
      <c r="O16" s="171"/>
      <c r="P16" s="171"/>
      <c r="Q16" s="171"/>
      <c r="R16" s="171"/>
      <c r="S16" s="171"/>
      <c r="T16" s="171"/>
      <c r="U16" s="30"/>
      <c r="V16" s="30"/>
      <c r="W16" s="30"/>
      <c r="X16" s="30"/>
      <c r="Y16" s="30"/>
      <c r="Z16" s="30"/>
    </row>
    <row r="17" ht="5.25" customHeight="1">
      <c r="A17" s="30"/>
      <c r="B17" s="30"/>
      <c r="C17" s="104"/>
      <c r="D17" s="173"/>
      <c r="E17" s="174"/>
      <c r="F17" s="59"/>
      <c r="G17" s="175"/>
      <c r="H17" s="110"/>
      <c r="I17" s="104"/>
      <c r="J17" s="104"/>
      <c r="K17" s="104"/>
      <c r="L17" s="176"/>
      <c r="M17" s="176"/>
      <c r="N17" s="176"/>
      <c r="O17" s="176"/>
      <c r="P17" s="176"/>
      <c r="Q17" s="176"/>
      <c r="R17" s="176"/>
      <c r="S17" s="176"/>
      <c r="T17" s="176"/>
      <c r="U17" s="30"/>
      <c r="V17" s="30"/>
      <c r="W17" s="30"/>
      <c r="X17" s="30"/>
      <c r="Y17" s="30"/>
      <c r="Z17" s="30"/>
    </row>
    <row r="18" ht="14.25" customHeight="1">
      <c r="A18" s="30"/>
      <c r="B18" s="137" t="s">
        <v>114</v>
      </c>
      <c r="C18" s="165">
        <v>1.0</v>
      </c>
      <c r="D18" s="165" t="str">
        <f>IF('Objetivos Estratégicos '!E13="","",'Objetivos Estratégicos '!E13)</f>
        <v/>
      </c>
      <c r="E18" s="165" t="str">
        <f>IF('Objetivos Estratégicos '!F13="","",'Objetivos Estratégicos '!F13)</f>
        <v/>
      </c>
      <c r="F18" s="166" t="s">
        <v>111</v>
      </c>
      <c r="G18" s="167" t="s">
        <v>112</v>
      </c>
      <c r="H18" s="168">
        <f t="shared" ref="H18:H27" si="2">IF(G18="SOMA",SUM(I18:T18),IF(G18="MÉDIA",AVERAGE(I18:T18),IF(G18="ÚLTIMO RESULTADO",MAX(I18:T18),"")))</f>
        <v>66.66666667</v>
      </c>
      <c r="I18" s="169">
        <f>'Objetivos Estratégicos '!Z13/12</f>
        <v>0</v>
      </c>
      <c r="J18" s="169">
        <f>'Objetivos Estratégicos '!AA13/12</f>
        <v>0</v>
      </c>
      <c r="K18" s="169">
        <f>'Objetivos Estratégicos '!AB13/12</f>
        <v>0</v>
      </c>
      <c r="L18" s="169">
        <f>'Objetivos Estratégicos '!AC13/12</f>
        <v>0</v>
      </c>
      <c r="M18" s="169">
        <f>'Objetivos Estratégicos '!AD13/12</f>
        <v>0</v>
      </c>
      <c r="N18" s="169">
        <f>'Objetivos Estratégicos '!AE13/12</f>
        <v>0</v>
      </c>
      <c r="O18" s="169">
        <f>'Objetivos Estratégicos '!AF13/12</f>
        <v>0</v>
      </c>
      <c r="P18" s="169">
        <f>'Objetivos Estratégicos '!AG13/12</f>
        <v>16.66666667</v>
      </c>
      <c r="Q18" s="169">
        <f>'Objetivos Estratégicos '!AH13/12</f>
        <v>16.66666667</v>
      </c>
      <c r="R18" s="169">
        <f>'Objetivos Estratégicos '!AI13/12</f>
        <v>16.66666667</v>
      </c>
      <c r="S18" s="169">
        <f>'Objetivos Estratégicos '!AJ13/12</f>
        <v>16.66666667</v>
      </c>
      <c r="T18" s="169">
        <f>'Objetivos Estratégicos '!AK13/12</f>
        <v>0</v>
      </c>
      <c r="U18" s="30"/>
      <c r="V18" s="30"/>
      <c r="W18" s="30"/>
      <c r="X18" s="30"/>
      <c r="Y18" s="30"/>
      <c r="Z18" s="30"/>
    </row>
    <row r="19" ht="14.25" customHeight="1">
      <c r="A19" s="30"/>
      <c r="B19" s="146"/>
      <c r="C19" s="150"/>
      <c r="D19" s="150"/>
      <c r="E19" s="150"/>
      <c r="F19" s="166" t="s">
        <v>113</v>
      </c>
      <c r="G19" s="167" t="s">
        <v>112</v>
      </c>
      <c r="H19" s="168">
        <f t="shared" si="2"/>
        <v>0</v>
      </c>
      <c r="I19" s="171"/>
      <c r="J19" s="171"/>
      <c r="K19" s="171"/>
      <c r="L19" s="171"/>
      <c r="M19" s="171"/>
      <c r="N19" s="171"/>
      <c r="O19" s="171"/>
      <c r="P19" s="171"/>
      <c r="Q19" s="171"/>
      <c r="R19" s="171"/>
      <c r="S19" s="171"/>
      <c r="T19" s="171"/>
      <c r="U19" s="30"/>
      <c r="V19" s="30"/>
      <c r="W19" s="30"/>
      <c r="X19" s="30"/>
      <c r="Y19" s="30"/>
      <c r="Z19" s="30"/>
    </row>
    <row r="20" ht="14.25" customHeight="1">
      <c r="A20" s="30"/>
      <c r="B20" s="146"/>
      <c r="C20" s="165">
        <v>2.0</v>
      </c>
      <c r="D20" s="165" t="str">
        <f>IF('Objetivos Estratégicos '!E14="","",'Objetivos Estratégicos '!E14)</f>
        <v/>
      </c>
      <c r="E20" s="165" t="str">
        <f>IF('Objetivos Estratégicos '!F14="","",'Objetivos Estratégicos '!F14)</f>
        <v/>
      </c>
      <c r="F20" s="166" t="s">
        <v>111</v>
      </c>
      <c r="G20" s="167" t="s">
        <v>112</v>
      </c>
      <c r="H20" s="168">
        <f t="shared" si="2"/>
        <v>66.66666667</v>
      </c>
      <c r="I20" s="169">
        <f>'Objetivos Estratégicos '!Z14/12</f>
        <v>0</v>
      </c>
      <c r="J20" s="169">
        <f>'Objetivos Estratégicos '!AA14/12</f>
        <v>0</v>
      </c>
      <c r="K20" s="169">
        <f>'Objetivos Estratégicos '!AB14/12</f>
        <v>0</v>
      </c>
      <c r="L20" s="169">
        <f>'Objetivos Estratégicos '!AC14/12</f>
        <v>0</v>
      </c>
      <c r="M20" s="169">
        <f>'Objetivos Estratégicos '!AD14/12</f>
        <v>0</v>
      </c>
      <c r="N20" s="169">
        <f>'Objetivos Estratégicos '!AE14/12</f>
        <v>0</v>
      </c>
      <c r="O20" s="169">
        <f>'Objetivos Estratégicos '!AF14/12</f>
        <v>0</v>
      </c>
      <c r="P20" s="169">
        <f>'Objetivos Estratégicos '!AG14/12</f>
        <v>16.66666667</v>
      </c>
      <c r="Q20" s="169">
        <f>'Objetivos Estratégicos '!AH14/12</f>
        <v>16.66666667</v>
      </c>
      <c r="R20" s="169">
        <f>'Objetivos Estratégicos '!AI14/12</f>
        <v>16.66666667</v>
      </c>
      <c r="S20" s="169">
        <f>'Objetivos Estratégicos '!AJ14/12</f>
        <v>16.66666667</v>
      </c>
      <c r="T20" s="169">
        <f>'Objetivos Estratégicos '!AK14/12</f>
        <v>0</v>
      </c>
      <c r="U20" s="30"/>
      <c r="V20" s="30"/>
      <c r="W20" s="30"/>
      <c r="X20" s="30"/>
      <c r="Y20" s="30"/>
      <c r="Z20" s="30"/>
    </row>
    <row r="21" ht="14.25" customHeight="1">
      <c r="A21" s="30"/>
      <c r="B21" s="146"/>
      <c r="C21" s="150"/>
      <c r="D21" s="150"/>
      <c r="E21" s="150"/>
      <c r="F21" s="166" t="s">
        <v>113</v>
      </c>
      <c r="G21" s="167" t="s">
        <v>112</v>
      </c>
      <c r="H21" s="168">
        <f t="shared" si="2"/>
        <v>0</v>
      </c>
      <c r="I21" s="171"/>
      <c r="J21" s="171"/>
      <c r="K21" s="171"/>
      <c r="L21" s="171"/>
      <c r="M21" s="171"/>
      <c r="N21" s="171"/>
      <c r="O21" s="171"/>
      <c r="P21" s="171"/>
      <c r="Q21" s="171"/>
      <c r="R21" s="171"/>
      <c r="S21" s="171"/>
      <c r="T21" s="171"/>
      <c r="U21" s="30"/>
      <c r="V21" s="30"/>
      <c r="W21" s="30"/>
      <c r="X21" s="30"/>
      <c r="Y21" s="30"/>
      <c r="Z21" s="30"/>
    </row>
    <row r="22" ht="14.25" customHeight="1">
      <c r="A22" s="30"/>
      <c r="B22" s="146"/>
      <c r="C22" s="165">
        <v>3.0</v>
      </c>
      <c r="D22" s="165" t="str">
        <f>IF('Objetivos Estratégicos '!E15="","",'Objetivos Estratégicos '!E15)</f>
        <v/>
      </c>
      <c r="E22" s="165" t="str">
        <f>IF('Objetivos Estratégicos '!F15="","",'Objetivos Estratégicos '!F15)</f>
        <v/>
      </c>
      <c r="F22" s="166" t="s">
        <v>111</v>
      </c>
      <c r="G22" s="167" t="s">
        <v>112</v>
      </c>
      <c r="H22" s="168">
        <f t="shared" si="2"/>
        <v>50</v>
      </c>
      <c r="I22" s="169">
        <f>'Objetivos Estratégicos '!Z15/12</f>
        <v>0</v>
      </c>
      <c r="J22" s="169">
        <f>'Objetivos Estratégicos '!AA15/12</f>
        <v>0</v>
      </c>
      <c r="K22" s="169">
        <f>'Objetivos Estratégicos '!AB15/12</f>
        <v>0</v>
      </c>
      <c r="L22" s="169">
        <f>'Objetivos Estratégicos '!AC15/12</f>
        <v>0</v>
      </c>
      <c r="M22" s="169">
        <f>'Objetivos Estratégicos '!AD15/12</f>
        <v>0</v>
      </c>
      <c r="N22" s="169">
        <f>'Objetivos Estratégicos '!AE15/12</f>
        <v>0</v>
      </c>
      <c r="O22" s="169">
        <f>'Objetivos Estratégicos '!AF15/12</f>
        <v>0</v>
      </c>
      <c r="P22" s="169">
        <f>'Objetivos Estratégicos '!AG15/12</f>
        <v>16.66666667</v>
      </c>
      <c r="Q22" s="169">
        <f>'Objetivos Estratégicos '!AH15/12</f>
        <v>16.66666667</v>
      </c>
      <c r="R22" s="169">
        <f>'Objetivos Estratégicos '!AI15/12</f>
        <v>16.66666667</v>
      </c>
      <c r="S22" s="169">
        <f>'Objetivos Estratégicos '!AK15/12</f>
        <v>0</v>
      </c>
      <c r="T22" s="169">
        <f>'Objetivos Estratégicos '!AM15/12</f>
        <v>0</v>
      </c>
      <c r="U22" s="30"/>
      <c r="V22" s="30"/>
      <c r="W22" s="30"/>
      <c r="X22" s="30"/>
      <c r="Y22" s="30"/>
      <c r="Z22" s="30"/>
    </row>
    <row r="23" ht="14.25" customHeight="1">
      <c r="A23" s="30"/>
      <c r="B23" s="146"/>
      <c r="C23" s="150"/>
      <c r="D23" s="150"/>
      <c r="E23" s="150"/>
      <c r="F23" s="166" t="s">
        <v>113</v>
      </c>
      <c r="G23" s="167" t="s">
        <v>112</v>
      </c>
      <c r="H23" s="168">
        <f t="shared" si="2"/>
        <v>0</v>
      </c>
      <c r="I23" s="171"/>
      <c r="J23" s="171"/>
      <c r="K23" s="171"/>
      <c r="L23" s="171"/>
      <c r="M23" s="171"/>
      <c r="N23" s="171"/>
      <c r="O23" s="177"/>
      <c r="P23" s="171"/>
      <c r="Q23" s="171"/>
      <c r="R23" s="171"/>
      <c r="S23" s="171"/>
      <c r="T23" s="171"/>
      <c r="U23" s="30"/>
      <c r="V23" s="30"/>
      <c r="W23" s="30"/>
      <c r="X23" s="30"/>
      <c r="Y23" s="30"/>
      <c r="Z23" s="30"/>
    </row>
    <row r="24" ht="14.25" customHeight="1">
      <c r="A24" s="30"/>
      <c r="B24" s="146"/>
      <c r="C24" s="165">
        <v>4.0</v>
      </c>
      <c r="D24" s="165" t="str">
        <f>IF('Objetivos Estratégicos '!E16="","",'Objetivos Estratégicos '!E16)</f>
        <v/>
      </c>
      <c r="E24" s="165" t="str">
        <f>IF('Objetivos Estratégicos '!F16="","",'Objetivos Estratégicos '!F16)</f>
        <v/>
      </c>
      <c r="F24" s="166" t="s">
        <v>111</v>
      </c>
      <c r="G24" s="167" t="s">
        <v>112</v>
      </c>
      <c r="H24" s="168">
        <f t="shared" si="2"/>
        <v>66.66666667</v>
      </c>
      <c r="I24" s="169">
        <f>'Objetivos Estratégicos '!Z16/12</f>
        <v>0</v>
      </c>
      <c r="J24" s="169">
        <f>'Objetivos Estratégicos '!AA16/12</f>
        <v>0</v>
      </c>
      <c r="K24" s="169">
        <f>'Objetivos Estratégicos '!AB16/12</f>
        <v>0</v>
      </c>
      <c r="L24" s="169">
        <f>'Objetivos Estratégicos '!AC16/12</f>
        <v>0</v>
      </c>
      <c r="M24" s="169">
        <f>'Objetivos Estratégicos '!AD16/12</f>
        <v>0</v>
      </c>
      <c r="N24" s="169">
        <f>'Objetivos Estratégicos '!AE16/12</f>
        <v>0</v>
      </c>
      <c r="O24" s="169">
        <f>'Objetivos Estratégicos '!AF16/12</f>
        <v>0</v>
      </c>
      <c r="P24" s="169">
        <f>'Objetivos Estratégicos '!AG16/12</f>
        <v>16.66666667</v>
      </c>
      <c r="Q24" s="169">
        <f>'Objetivos Estratégicos '!AH16/12</f>
        <v>16.66666667</v>
      </c>
      <c r="R24" s="169">
        <f>'Objetivos Estratégicos '!AI16/12</f>
        <v>16.66666667</v>
      </c>
      <c r="S24" s="169">
        <f>'Objetivos Estratégicos '!AJ16/12</f>
        <v>16.66666667</v>
      </c>
      <c r="T24" s="169">
        <f>'Objetivos Estratégicos '!AK16/12</f>
        <v>0</v>
      </c>
      <c r="U24" s="30"/>
      <c r="V24" s="30"/>
      <c r="W24" s="30"/>
      <c r="X24" s="30"/>
      <c r="Y24" s="30"/>
      <c r="Z24" s="30"/>
    </row>
    <row r="25" ht="14.25" customHeight="1">
      <c r="A25" s="30"/>
      <c r="B25" s="146"/>
      <c r="C25" s="150"/>
      <c r="D25" s="150"/>
      <c r="E25" s="150"/>
      <c r="F25" s="166" t="s">
        <v>113</v>
      </c>
      <c r="G25" s="167" t="s">
        <v>112</v>
      </c>
      <c r="H25" s="168">
        <f t="shared" si="2"/>
        <v>0</v>
      </c>
      <c r="I25" s="171"/>
      <c r="J25" s="171"/>
      <c r="K25" s="171"/>
      <c r="L25" s="171"/>
      <c r="M25" s="171"/>
      <c r="N25" s="171"/>
      <c r="O25" s="177"/>
      <c r="P25" s="171"/>
      <c r="Q25" s="171"/>
      <c r="R25" s="171"/>
      <c r="S25" s="171"/>
      <c r="T25" s="171"/>
      <c r="U25" s="30"/>
      <c r="V25" s="30"/>
      <c r="W25" s="30"/>
      <c r="X25" s="30"/>
      <c r="Y25" s="30"/>
      <c r="Z25" s="30"/>
    </row>
    <row r="26" ht="14.25" customHeight="1">
      <c r="A26" s="30"/>
      <c r="B26" s="146"/>
      <c r="C26" s="165">
        <v>5.0</v>
      </c>
      <c r="D26" s="165" t="str">
        <f>IF('Objetivos Estratégicos '!E17="","",'Objetivos Estratégicos '!E17)</f>
        <v/>
      </c>
      <c r="E26" s="165" t="str">
        <f>IF('Objetivos Estratégicos '!F17="","",'Objetivos Estratégicos '!F17)</f>
        <v/>
      </c>
      <c r="F26" s="166" t="s">
        <v>111</v>
      </c>
      <c r="G26" s="167" t="s">
        <v>112</v>
      </c>
      <c r="H26" s="168">
        <f t="shared" si="2"/>
        <v>0</v>
      </c>
      <c r="I26" s="169"/>
      <c r="J26" s="169"/>
      <c r="K26" s="169"/>
      <c r="L26" s="169"/>
      <c r="M26" s="169"/>
      <c r="N26" s="169"/>
      <c r="O26" s="169"/>
      <c r="P26" s="169"/>
      <c r="Q26" s="169"/>
      <c r="R26" s="169"/>
      <c r="S26" s="169"/>
      <c r="T26" s="169"/>
      <c r="U26" s="30"/>
      <c r="V26" s="30"/>
      <c r="W26" s="30"/>
      <c r="X26" s="30"/>
      <c r="Y26" s="30"/>
      <c r="Z26" s="30"/>
    </row>
    <row r="27" ht="14.25" customHeight="1">
      <c r="A27" s="30"/>
      <c r="B27" s="150"/>
      <c r="C27" s="150"/>
      <c r="D27" s="150"/>
      <c r="E27" s="150"/>
      <c r="F27" s="166" t="s">
        <v>113</v>
      </c>
      <c r="G27" s="167" t="s">
        <v>112</v>
      </c>
      <c r="H27" s="178">
        <f t="shared" si="2"/>
        <v>0</v>
      </c>
      <c r="I27" s="179"/>
      <c r="J27" s="179"/>
      <c r="K27" s="179"/>
      <c r="L27" s="179"/>
      <c r="M27" s="179"/>
      <c r="N27" s="179"/>
      <c r="O27" s="179"/>
      <c r="P27" s="179"/>
      <c r="Q27" s="179"/>
      <c r="R27" s="179"/>
      <c r="S27" s="179"/>
      <c r="T27" s="179"/>
      <c r="U27" s="30"/>
      <c r="V27" s="30"/>
      <c r="W27" s="30"/>
      <c r="X27" s="30"/>
      <c r="Y27" s="30"/>
      <c r="Z27" s="30"/>
    </row>
    <row r="28" ht="3.0" customHeight="1">
      <c r="A28" s="30"/>
      <c r="B28" s="30"/>
      <c r="C28" s="30"/>
      <c r="D28" s="59"/>
      <c r="E28" s="59"/>
      <c r="F28" s="59"/>
      <c r="G28" s="175"/>
      <c r="H28" s="110"/>
      <c r="I28" s="176"/>
      <c r="J28" s="176"/>
      <c r="K28" s="176"/>
      <c r="L28" s="176"/>
      <c r="M28" s="176"/>
      <c r="N28" s="176"/>
      <c r="O28" s="176"/>
      <c r="P28" s="176"/>
      <c r="Q28" s="176"/>
      <c r="R28" s="176"/>
      <c r="S28" s="176"/>
      <c r="T28" s="176"/>
      <c r="U28" s="30"/>
      <c r="V28" s="30"/>
      <c r="W28" s="30"/>
      <c r="X28" s="30"/>
      <c r="Y28" s="30"/>
      <c r="Z28" s="30"/>
    </row>
    <row r="29" ht="14.25" customHeight="1">
      <c r="A29" s="30"/>
      <c r="B29" s="157" t="s">
        <v>115</v>
      </c>
      <c r="C29" s="165">
        <v>1.0</v>
      </c>
      <c r="D29" s="165" t="str">
        <f>IF('Objetivos Estratégicos '!E19="","",'Objetivos Estratégicos '!E19)</f>
        <v/>
      </c>
      <c r="E29" s="165" t="str">
        <f>IF('Objetivos Estratégicos '!F19="","",'Objetivos Estratégicos '!F19)</f>
        <v/>
      </c>
      <c r="F29" s="166" t="s">
        <v>111</v>
      </c>
      <c r="G29" s="167" t="s">
        <v>112</v>
      </c>
      <c r="H29" s="178">
        <f t="shared" ref="H29:H38" si="3">IF(G29="SOMA",SUM(I29:T29),IF(G29="MÉDIA",AVERAGE(I29:T29),IF(G29="ÚLTIMO RESULTADO",MAX(I29:T29),"")))</f>
        <v>0</v>
      </c>
      <c r="I29" s="180"/>
      <c r="J29" s="180"/>
      <c r="K29" s="180"/>
      <c r="L29" s="180"/>
      <c r="M29" s="180"/>
      <c r="N29" s="180"/>
      <c r="O29" s="180"/>
      <c r="P29" s="180"/>
      <c r="Q29" s="180"/>
      <c r="R29" s="180"/>
      <c r="S29" s="180"/>
      <c r="T29" s="180"/>
      <c r="U29" s="30"/>
      <c r="V29" s="30"/>
      <c r="W29" s="30"/>
      <c r="X29" s="30"/>
      <c r="Y29" s="30"/>
      <c r="Z29" s="30"/>
    </row>
    <row r="30" ht="14.25" customHeight="1">
      <c r="A30" s="30"/>
      <c r="B30" s="146"/>
      <c r="C30" s="150"/>
      <c r="D30" s="150"/>
      <c r="E30" s="150"/>
      <c r="F30" s="166" t="s">
        <v>113</v>
      </c>
      <c r="G30" s="167" t="s">
        <v>112</v>
      </c>
      <c r="H30" s="178">
        <f t="shared" si="3"/>
        <v>0</v>
      </c>
      <c r="I30" s="181"/>
      <c r="J30" s="181"/>
      <c r="K30" s="181"/>
      <c r="L30" s="181"/>
      <c r="M30" s="181"/>
      <c r="N30" s="181"/>
      <c r="O30" s="181"/>
      <c r="P30" s="181"/>
      <c r="Q30" s="181"/>
      <c r="R30" s="181"/>
      <c r="S30" s="181"/>
      <c r="T30" s="181"/>
      <c r="U30" s="30"/>
      <c r="V30" s="30"/>
      <c r="W30" s="30"/>
      <c r="X30" s="30"/>
      <c r="Y30" s="30"/>
      <c r="Z30" s="30"/>
    </row>
    <row r="31" ht="14.25" customHeight="1">
      <c r="A31" s="30"/>
      <c r="B31" s="146"/>
      <c r="C31" s="165">
        <v>2.0</v>
      </c>
      <c r="D31" s="165" t="str">
        <f>IF('Objetivos Estratégicos '!E20="","",'Objetivos Estratégicos '!E20)</f>
        <v/>
      </c>
      <c r="E31" s="165" t="str">
        <f>IF('Objetivos Estratégicos '!F20="","",'Objetivos Estratégicos '!F20)</f>
        <v/>
      </c>
      <c r="F31" s="166" t="s">
        <v>111</v>
      </c>
      <c r="G31" s="167" t="s">
        <v>112</v>
      </c>
      <c r="H31" s="178">
        <f t="shared" si="3"/>
        <v>0</v>
      </c>
      <c r="I31" s="180"/>
      <c r="J31" s="180"/>
      <c r="K31" s="180"/>
      <c r="L31" s="180"/>
      <c r="M31" s="180"/>
      <c r="N31" s="180"/>
      <c r="O31" s="180"/>
      <c r="P31" s="180"/>
      <c r="Q31" s="180"/>
      <c r="R31" s="180"/>
      <c r="S31" s="180"/>
      <c r="T31" s="180"/>
      <c r="U31" s="30"/>
      <c r="V31" s="30"/>
      <c r="W31" s="30"/>
      <c r="X31" s="30"/>
      <c r="Y31" s="30"/>
      <c r="Z31" s="30"/>
    </row>
    <row r="32" ht="14.25" customHeight="1">
      <c r="A32" s="30"/>
      <c r="B32" s="146"/>
      <c r="C32" s="150"/>
      <c r="D32" s="150"/>
      <c r="E32" s="150"/>
      <c r="F32" s="166" t="s">
        <v>113</v>
      </c>
      <c r="G32" s="167" t="s">
        <v>112</v>
      </c>
      <c r="H32" s="178">
        <f t="shared" si="3"/>
        <v>0</v>
      </c>
      <c r="I32" s="181"/>
      <c r="J32" s="181"/>
      <c r="K32" s="181"/>
      <c r="L32" s="181"/>
      <c r="M32" s="181"/>
      <c r="N32" s="181"/>
      <c r="O32" s="181"/>
      <c r="P32" s="181"/>
      <c r="Q32" s="181"/>
      <c r="R32" s="181"/>
      <c r="S32" s="181"/>
      <c r="T32" s="181"/>
      <c r="U32" s="30"/>
      <c r="V32" s="30"/>
      <c r="W32" s="30"/>
      <c r="X32" s="30"/>
      <c r="Y32" s="30"/>
      <c r="Z32" s="30"/>
    </row>
    <row r="33" ht="14.25" customHeight="1">
      <c r="A33" s="30"/>
      <c r="B33" s="146"/>
      <c r="C33" s="165">
        <v>3.0</v>
      </c>
      <c r="D33" s="165" t="str">
        <f>IF('Objetivos Estratégicos '!E21="","",'Objetivos Estratégicos '!E21)</f>
        <v/>
      </c>
      <c r="E33" s="165" t="str">
        <f>IF('Objetivos Estratégicos '!F21="","",'Objetivos Estratégicos '!F21)</f>
        <v/>
      </c>
      <c r="F33" s="166" t="s">
        <v>111</v>
      </c>
      <c r="G33" s="167" t="s">
        <v>112</v>
      </c>
      <c r="H33" s="178">
        <f t="shared" si="3"/>
        <v>0</v>
      </c>
      <c r="I33" s="180"/>
      <c r="J33" s="180"/>
      <c r="K33" s="180"/>
      <c r="L33" s="180"/>
      <c r="M33" s="180"/>
      <c r="N33" s="180"/>
      <c r="O33" s="180"/>
      <c r="P33" s="180"/>
      <c r="Q33" s="180"/>
      <c r="R33" s="180"/>
      <c r="S33" s="180"/>
      <c r="T33" s="180"/>
      <c r="U33" s="30"/>
      <c r="V33" s="30"/>
      <c r="W33" s="30"/>
      <c r="X33" s="30"/>
      <c r="Y33" s="30"/>
      <c r="Z33" s="30"/>
    </row>
    <row r="34" ht="14.25" customHeight="1">
      <c r="A34" s="30"/>
      <c r="B34" s="146"/>
      <c r="C34" s="150"/>
      <c r="D34" s="150"/>
      <c r="E34" s="150"/>
      <c r="F34" s="166" t="s">
        <v>113</v>
      </c>
      <c r="G34" s="167" t="s">
        <v>112</v>
      </c>
      <c r="H34" s="178">
        <f t="shared" si="3"/>
        <v>0</v>
      </c>
      <c r="I34" s="181"/>
      <c r="J34" s="181"/>
      <c r="K34" s="181"/>
      <c r="L34" s="181"/>
      <c r="M34" s="181"/>
      <c r="N34" s="181"/>
      <c r="O34" s="181"/>
      <c r="P34" s="181"/>
      <c r="Q34" s="181"/>
      <c r="R34" s="181"/>
      <c r="S34" s="181"/>
      <c r="T34" s="181"/>
      <c r="U34" s="30"/>
      <c r="V34" s="30"/>
      <c r="W34" s="30"/>
      <c r="X34" s="30"/>
      <c r="Y34" s="30"/>
      <c r="Z34" s="30"/>
    </row>
    <row r="35" ht="14.25" customHeight="1">
      <c r="A35" s="30"/>
      <c r="B35" s="146"/>
      <c r="C35" s="165">
        <v>4.0</v>
      </c>
      <c r="D35" s="165" t="str">
        <f>IF('Objetivos Estratégicos '!E22="","",'Objetivos Estratégicos '!E22)</f>
        <v/>
      </c>
      <c r="E35" s="165" t="str">
        <f>IF('Objetivos Estratégicos '!F22="","",'Objetivos Estratégicos '!F22)</f>
        <v/>
      </c>
      <c r="F35" s="166" t="s">
        <v>111</v>
      </c>
      <c r="G35" s="167" t="s">
        <v>112</v>
      </c>
      <c r="H35" s="178">
        <f t="shared" si="3"/>
        <v>0</v>
      </c>
      <c r="I35" s="180"/>
      <c r="J35" s="180"/>
      <c r="K35" s="180"/>
      <c r="L35" s="180"/>
      <c r="M35" s="180"/>
      <c r="N35" s="180"/>
      <c r="O35" s="180"/>
      <c r="P35" s="180"/>
      <c r="Q35" s="180"/>
      <c r="R35" s="180"/>
      <c r="S35" s="180"/>
      <c r="T35" s="180"/>
      <c r="U35" s="30"/>
      <c r="V35" s="30"/>
      <c r="W35" s="30"/>
      <c r="X35" s="30"/>
      <c r="Y35" s="30"/>
      <c r="Z35" s="30"/>
    </row>
    <row r="36" ht="14.25" customHeight="1">
      <c r="A36" s="30"/>
      <c r="B36" s="146"/>
      <c r="C36" s="150"/>
      <c r="D36" s="150"/>
      <c r="E36" s="150"/>
      <c r="F36" s="166" t="s">
        <v>113</v>
      </c>
      <c r="G36" s="167" t="s">
        <v>112</v>
      </c>
      <c r="H36" s="178">
        <f t="shared" si="3"/>
        <v>0</v>
      </c>
      <c r="I36" s="181"/>
      <c r="J36" s="181"/>
      <c r="K36" s="181"/>
      <c r="L36" s="181"/>
      <c r="M36" s="181"/>
      <c r="N36" s="181"/>
      <c r="O36" s="181"/>
      <c r="P36" s="181"/>
      <c r="Q36" s="181"/>
      <c r="R36" s="181"/>
      <c r="S36" s="181"/>
      <c r="T36" s="181"/>
      <c r="U36" s="30"/>
      <c r="V36" s="30"/>
      <c r="W36" s="30"/>
      <c r="X36" s="30"/>
      <c r="Y36" s="30"/>
      <c r="Z36" s="30"/>
    </row>
    <row r="37" ht="14.25" customHeight="1">
      <c r="A37" s="30"/>
      <c r="B37" s="146"/>
      <c r="C37" s="165">
        <v>5.0</v>
      </c>
      <c r="D37" s="165" t="str">
        <f>IF('Objetivos Estratégicos '!E23="","",'Objetivos Estratégicos '!E23)</f>
        <v/>
      </c>
      <c r="E37" s="165" t="str">
        <f>IF('Objetivos Estratégicos '!F23="","",'Objetivos Estratégicos '!F23)</f>
        <v/>
      </c>
      <c r="F37" s="166" t="s">
        <v>111</v>
      </c>
      <c r="G37" s="167" t="s">
        <v>112</v>
      </c>
      <c r="H37" s="178">
        <f t="shared" si="3"/>
        <v>0</v>
      </c>
      <c r="I37" s="180"/>
      <c r="J37" s="180"/>
      <c r="K37" s="180"/>
      <c r="L37" s="180"/>
      <c r="M37" s="180"/>
      <c r="N37" s="180"/>
      <c r="O37" s="180"/>
      <c r="P37" s="180"/>
      <c r="Q37" s="180"/>
      <c r="R37" s="180"/>
      <c r="S37" s="180"/>
      <c r="T37" s="180"/>
      <c r="U37" s="30"/>
      <c r="V37" s="30"/>
      <c r="W37" s="30"/>
      <c r="X37" s="30"/>
      <c r="Y37" s="30"/>
      <c r="Z37" s="30"/>
    </row>
    <row r="38" ht="14.25" customHeight="1">
      <c r="A38" s="30"/>
      <c r="B38" s="150"/>
      <c r="C38" s="150"/>
      <c r="D38" s="150"/>
      <c r="E38" s="150"/>
      <c r="F38" s="166" t="s">
        <v>113</v>
      </c>
      <c r="G38" s="167" t="s">
        <v>112</v>
      </c>
      <c r="H38" s="178">
        <f t="shared" si="3"/>
        <v>0</v>
      </c>
      <c r="I38" s="181"/>
      <c r="J38" s="181"/>
      <c r="K38" s="181"/>
      <c r="L38" s="181"/>
      <c r="M38" s="181"/>
      <c r="N38" s="181"/>
      <c r="O38" s="181"/>
      <c r="P38" s="181"/>
      <c r="Q38" s="181"/>
      <c r="R38" s="181"/>
      <c r="S38" s="181"/>
      <c r="T38" s="181"/>
      <c r="U38" s="30"/>
      <c r="V38" s="30"/>
      <c r="W38" s="30"/>
      <c r="X38" s="30"/>
      <c r="Y38" s="30"/>
      <c r="Z38" s="30"/>
    </row>
    <row r="39" ht="5.25" customHeight="1">
      <c r="A39" s="30"/>
      <c r="B39" s="30"/>
      <c r="C39" s="104"/>
      <c r="D39" s="173"/>
      <c r="E39" s="182"/>
      <c r="F39" s="59"/>
      <c r="G39" s="175" t="s">
        <v>112</v>
      </c>
      <c r="H39" s="110"/>
      <c r="I39" s="176"/>
      <c r="J39" s="176"/>
      <c r="K39" s="176"/>
      <c r="L39" s="176"/>
      <c r="M39" s="176"/>
      <c r="N39" s="176"/>
      <c r="O39" s="176"/>
      <c r="P39" s="176"/>
      <c r="Q39" s="176"/>
      <c r="R39" s="176"/>
      <c r="S39" s="176"/>
      <c r="T39" s="176"/>
      <c r="U39" s="30"/>
      <c r="V39" s="30"/>
      <c r="W39" s="30"/>
      <c r="X39" s="30"/>
      <c r="Y39" s="30"/>
      <c r="Z39" s="30"/>
    </row>
    <row r="40" ht="14.25" customHeight="1">
      <c r="A40" s="30"/>
      <c r="B40" s="157" t="s">
        <v>108</v>
      </c>
      <c r="C40" s="165">
        <v>1.0</v>
      </c>
      <c r="D40" s="165" t="str">
        <f>IF('Objetivos Estratégicos '!E25="","",'Objetivos Estratégicos '!E25)</f>
        <v/>
      </c>
      <c r="E40" s="165" t="str">
        <f>IF('Objetivos Estratégicos '!F25="","",'Objetivos Estratégicos '!F25)</f>
        <v/>
      </c>
      <c r="F40" s="166" t="s">
        <v>111</v>
      </c>
      <c r="G40" s="167" t="s">
        <v>112</v>
      </c>
      <c r="H40" s="178">
        <f t="shared" ref="H40:H49" si="4">IF(G40="SOMA",SUM(I40:T40),IF(G40="MÉDIA",AVERAGE(I40:T40),IF(G40="ÚLTIMO RESULTADO",MAX(I40:T40),"")))</f>
        <v>0</v>
      </c>
      <c r="I40" s="180"/>
      <c r="J40" s="180"/>
      <c r="K40" s="180"/>
      <c r="L40" s="180"/>
      <c r="M40" s="180"/>
      <c r="N40" s="180"/>
      <c r="O40" s="180"/>
      <c r="P40" s="180"/>
      <c r="Q40" s="180"/>
      <c r="R40" s="180"/>
      <c r="S40" s="180"/>
      <c r="T40" s="180"/>
      <c r="U40" s="30"/>
      <c r="V40" s="30"/>
      <c r="W40" s="30"/>
      <c r="X40" s="30"/>
      <c r="Y40" s="30"/>
      <c r="Z40" s="30"/>
    </row>
    <row r="41" ht="14.25" customHeight="1">
      <c r="A41" s="30"/>
      <c r="B41" s="146"/>
      <c r="C41" s="150"/>
      <c r="D41" s="150"/>
      <c r="E41" s="150"/>
      <c r="F41" s="166" t="s">
        <v>113</v>
      </c>
      <c r="G41" s="167" t="s">
        <v>112</v>
      </c>
      <c r="H41" s="178">
        <f t="shared" si="4"/>
        <v>0</v>
      </c>
      <c r="I41" s="181"/>
      <c r="J41" s="181"/>
      <c r="K41" s="181"/>
      <c r="L41" s="181"/>
      <c r="M41" s="181"/>
      <c r="N41" s="181"/>
      <c r="O41" s="181"/>
      <c r="P41" s="181"/>
      <c r="Q41" s="181"/>
      <c r="R41" s="181"/>
      <c r="S41" s="181"/>
      <c r="T41" s="181"/>
      <c r="U41" s="30"/>
      <c r="V41" s="30"/>
      <c r="W41" s="30"/>
      <c r="X41" s="30"/>
      <c r="Y41" s="30"/>
      <c r="Z41" s="30"/>
    </row>
    <row r="42" ht="14.25" customHeight="1">
      <c r="A42" s="30"/>
      <c r="B42" s="146"/>
      <c r="C42" s="165">
        <v>2.0</v>
      </c>
      <c r="D42" s="165" t="str">
        <f>IF('Objetivos Estratégicos '!E26="","",'Objetivos Estratégicos '!E26)</f>
        <v/>
      </c>
      <c r="E42" s="165" t="str">
        <f>IF('Objetivos Estratégicos '!F26="","",'Objetivos Estratégicos '!F26)</f>
        <v/>
      </c>
      <c r="F42" s="166" t="s">
        <v>111</v>
      </c>
      <c r="G42" s="167" t="s">
        <v>112</v>
      </c>
      <c r="H42" s="178">
        <f t="shared" si="4"/>
        <v>0</v>
      </c>
      <c r="I42" s="180"/>
      <c r="J42" s="180"/>
      <c r="K42" s="180"/>
      <c r="L42" s="180"/>
      <c r="M42" s="180"/>
      <c r="N42" s="180"/>
      <c r="O42" s="180"/>
      <c r="P42" s="180"/>
      <c r="Q42" s="180"/>
      <c r="R42" s="180"/>
      <c r="S42" s="180"/>
      <c r="T42" s="180"/>
      <c r="U42" s="30"/>
      <c r="V42" s="30"/>
      <c r="W42" s="30"/>
      <c r="X42" s="30"/>
      <c r="Y42" s="30"/>
      <c r="Z42" s="30"/>
    </row>
    <row r="43" ht="14.25" customHeight="1">
      <c r="A43" s="30"/>
      <c r="B43" s="146"/>
      <c r="C43" s="150"/>
      <c r="D43" s="150"/>
      <c r="E43" s="150"/>
      <c r="F43" s="166" t="s">
        <v>113</v>
      </c>
      <c r="G43" s="167" t="s">
        <v>112</v>
      </c>
      <c r="H43" s="178">
        <f t="shared" si="4"/>
        <v>0</v>
      </c>
      <c r="I43" s="181"/>
      <c r="J43" s="181"/>
      <c r="K43" s="181"/>
      <c r="L43" s="181"/>
      <c r="M43" s="181"/>
      <c r="N43" s="181"/>
      <c r="O43" s="181"/>
      <c r="P43" s="181"/>
      <c r="Q43" s="181"/>
      <c r="R43" s="181"/>
      <c r="S43" s="181"/>
      <c r="T43" s="181"/>
      <c r="U43" s="30"/>
      <c r="V43" s="30"/>
      <c r="W43" s="30"/>
      <c r="X43" s="30"/>
      <c r="Y43" s="30"/>
      <c r="Z43" s="30"/>
    </row>
    <row r="44" ht="14.25" customHeight="1">
      <c r="A44" s="30"/>
      <c r="B44" s="146"/>
      <c r="C44" s="165">
        <v>3.0</v>
      </c>
      <c r="D44" s="165" t="str">
        <f>IF('Objetivos Estratégicos '!E27="","",'Objetivos Estratégicos '!E27)</f>
        <v/>
      </c>
      <c r="E44" s="165" t="str">
        <f>IF('Objetivos Estratégicos '!F27="","",'Objetivos Estratégicos '!F27)</f>
        <v/>
      </c>
      <c r="F44" s="166" t="s">
        <v>111</v>
      </c>
      <c r="G44" s="167" t="s">
        <v>112</v>
      </c>
      <c r="H44" s="178">
        <f t="shared" si="4"/>
        <v>0</v>
      </c>
      <c r="I44" s="180"/>
      <c r="J44" s="180"/>
      <c r="K44" s="180"/>
      <c r="L44" s="180"/>
      <c r="M44" s="180"/>
      <c r="N44" s="180"/>
      <c r="O44" s="180"/>
      <c r="P44" s="180"/>
      <c r="Q44" s="180"/>
      <c r="R44" s="180"/>
      <c r="S44" s="180"/>
      <c r="T44" s="180"/>
      <c r="U44" s="30"/>
      <c r="V44" s="30"/>
      <c r="W44" s="30"/>
      <c r="X44" s="30"/>
      <c r="Y44" s="30"/>
      <c r="Z44" s="30"/>
    </row>
    <row r="45" ht="14.25" customHeight="1">
      <c r="A45" s="30"/>
      <c r="B45" s="146"/>
      <c r="C45" s="150"/>
      <c r="D45" s="150"/>
      <c r="E45" s="150"/>
      <c r="F45" s="166" t="s">
        <v>113</v>
      </c>
      <c r="G45" s="167" t="s">
        <v>112</v>
      </c>
      <c r="H45" s="178">
        <f t="shared" si="4"/>
        <v>0</v>
      </c>
      <c r="I45" s="181"/>
      <c r="J45" s="181"/>
      <c r="K45" s="181"/>
      <c r="L45" s="181"/>
      <c r="M45" s="181"/>
      <c r="N45" s="181"/>
      <c r="O45" s="181"/>
      <c r="P45" s="181"/>
      <c r="Q45" s="181"/>
      <c r="R45" s="181"/>
      <c r="S45" s="181"/>
      <c r="T45" s="181"/>
      <c r="U45" s="30"/>
      <c r="V45" s="30"/>
      <c r="W45" s="30"/>
      <c r="X45" s="30"/>
      <c r="Y45" s="30"/>
      <c r="Z45" s="30"/>
    </row>
    <row r="46" ht="14.25" customHeight="1">
      <c r="A46" s="30"/>
      <c r="B46" s="146"/>
      <c r="C46" s="165">
        <v>4.0</v>
      </c>
      <c r="D46" s="165" t="str">
        <f>IF('Objetivos Estratégicos '!E28="","",'Objetivos Estratégicos '!E29)</f>
        <v/>
      </c>
      <c r="E46" s="165" t="str">
        <f>IF('Objetivos Estratégicos '!F28="","",'Objetivos Estratégicos '!F29)</f>
        <v/>
      </c>
      <c r="F46" s="166" t="s">
        <v>111</v>
      </c>
      <c r="G46" s="167" t="s">
        <v>112</v>
      </c>
      <c r="H46" s="178">
        <f t="shared" si="4"/>
        <v>0</v>
      </c>
      <c r="I46" s="180"/>
      <c r="J46" s="180"/>
      <c r="K46" s="180"/>
      <c r="L46" s="180"/>
      <c r="M46" s="180"/>
      <c r="N46" s="180"/>
      <c r="O46" s="180"/>
      <c r="P46" s="180"/>
      <c r="Q46" s="180"/>
      <c r="R46" s="180"/>
      <c r="S46" s="180"/>
      <c r="T46" s="180"/>
      <c r="U46" s="30"/>
      <c r="V46" s="30"/>
      <c r="W46" s="30"/>
      <c r="X46" s="30"/>
      <c r="Y46" s="30"/>
      <c r="Z46" s="30"/>
    </row>
    <row r="47" ht="14.25" customHeight="1">
      <c r="A47" s="30"/>
      <c r="B47" s="146"/>
      <c r="C47" s="150"/>
      <c r="D47" s="150"/>
      <c r="E47" s="150"/>
      <c r="F47" s="166" t="s">
        <v>113</v>
      </c>
      <c r="G47" s="167" t="s">
        <v>112</v>
      </c>
      <c r="H47" s="178">
        <f t="shared" si="4"/>
        <v>0</v>
      </c>
      <c r="I47" s="181"/>
      <c r="J47" s="181"/>
      <c r="K47" s="181"/>
      <c r="L47" s="181"/>
      <c r="M47" s="181"/>
      <c r="N47" s="181"/>
      <c r="O47" s="181"/>
      <c r="P47" s="181"/>
      <c r="Q47" s="181"/>
      <c r="R47" s="181"/>
      <c r="S47" s="181"/>
      <c r="T47" s="181"/>
      <c r="U47" s="30"/>
      <c r="V47" s="30"/>
      <c r="W47" s="30"/>
      <c r="X47" s="30"/>
      <c r="Y47" s="30"/>
      <c r="Z47" s="30"/>
    </row>
    <row r="48" ht="14.25" customHeight="1">
      <c r="A48" s="30"/>
      <c r="B48" s="146"/>
      <c r="C48" s="165">
        <v>5.0</v>
      </c>
      <c r="D48" s="165" t="str">
        <f>IF('Objetivos Estratégicos '!E29="","",'Objetivos Estratégicos '!E29)</f>
        <v/>
      </c>
      <c r="E48" s="165" t="str">
        <f>IF('Objetivos Estratégicos '!F29="","",'Objetivos Estratégicos '!F29)</f>
        <v/>
      </c>
      <c r="F48" s="166" t="s">
        <v>111</v>
      </c>
      <c r="G48" s="167" t="s">
        <v>112</v>
      </c>
      <c r="H48" s="178">
        <f t="shared" si="4"/>
        <v>0</v>
      </c>
      <c r="I48" s="180"/>
      <c r="J48" s="180"/>
      <c r="K48" s="180"/>
      <c r="L48" s="180"/>
      <c r="M48" s="180"/>
      <c r="N48" s="180"/>
      <c r="O48" s="180"/>
      <c r="P48" s="180"/>
      <c r="Q48" s="180"/>
      <c r="R48" s="180"/>
      <c r="S48" s="180"/>
      <c r="T48" s="180"/>
      <c r="U48" s="30"/>
      <c r="V48" s="30"/>
      <c r="W48" s="30"/>
      <c r="X48" s="30"/>
      <c r="Y48" s="30"/>
      <c r="Z48" s="30"/>
    </row>
    <row r="49" ht="12.0" customHeight="1">
      <c r="A49" s="30"/>
      <c r="B49" s="150"/>
      <c r="C49" s="150"/>
      <c r="D49" s="150"/>
      <c r="E49" s="150"/>
      <c r="F49" s="166" t="s">
        <v>113</v>
      </c>
      <c r="G49" s="167" t="s">
        <v>112</v>
      </c>
      <c r="H49" s="178">
        <f t="shared" si="4"/>
        <v>0</v>
      </c>
      <c r="I49" s="181"/>
      <c r="J49" s="181"/>
      <c r="K49" s="181"/>
      <c r="L49" s="181"/>
      <c r="M49" s="181"/>
      <c r="N49" s="181"/>
      <c r="O49" s="181"/>
      <c r="P49" s="181"/>
      <c r="Q49" s="181"/>
      <c r="R49" s="181"/>
      <c r="S49" s="181"/>
      <c r="T49" s="181"/>
      <c r="U49" s="30"/>
      <c r="V49" s="30"/>
      <c r="W49" s="30"/>
      <c r="X49" s="30"/>
      <c r="Y49" s="30"/>
      <c r="Z49" s="30"/>
    </row>
    <row r="50" ht="14.25" customHeight="1">
      <c r="A50" s="30"/>
      <c r="B50" s="30"/>
      <c r="C50" s="104"/>
      <c r="D50" s="59"/>
      <c r="E50" s="59"/>
      <c r="F50" s="59"/>
      <c r="G50" s="161"/>
      <c r="H50" s="59"/>
      <c r="I50" s="104"/>
      <c r="J50" s="104"/>
      <c r="K50" s="104"/>
      <c r="L50" s="104"/>
      <c r="M50" s="104"/>
      <c r="N50" s="104"/>
      <c r="O50" s="104"/>
      <c r="P50" s="104"/>
      <c r="Q50" s="104"/>
      <c r="R50" s="104"/>
      <c r="S50" s="104"/>
      <c r="T50" s="104"/>
      <c r="U50" s="30"/>
      <c r="V50" s="30"/>
      <c r="W50" s="30"/>
      <c r="X50" s="30"/>
      <c r="Y50" s="30"/>
      <c r="Z50" s="30"/>
    </row>
    <row r="51" ht="14.25" customHeight="1">
      <c r="A51" s="30"/>
      <c r="B51" s="30"/>
      <c r="C51" s="104"/>
      <c r="D51" s="59"/>
      <c r="E51" s="59"/>
      <c r="F51" s="59"/>
      <c r="G51" s="161"/>
      <c r="H51" s="59"/>
      <c r="I51" s="104"/>
      <c r="J51" s="104"/>
      <c r="K51" s="104"/>
      <c r="L51" s="104"/>
      <c r="M51" s="104"/>
      <c r="N51" s="104"/>
      <c r="O51" s="104"/>
      <c r="P51" s="104"/>
      <c r="Q51" s="104"/>
      <c r="R51" s="104"/>
      <c r="S51" s="104"/>
      <c r="T51" s="104"/>
      <c r="U51" s="30"/>
      <c r="V51" s="30"/>
      <c r="W51" s="30"/>
      <c r="X51" s="30"/>
      <c r="Y51" s="30"/>
      <c r="Z51" s="30"/>
    </row>
    <row r="52" ht="14.25" customHeight="1">
      <c r="A52" s="30"/>
      <c r="B52" s="30"/>
      <c r="C52" s="104"/>
      <c r="D52" s="59"/>
      <c r="E52" s="59"/>
      <c r="F52" s="59"/>
      <c r="G52" s="161"/>
      <c r="H52" s="59"/>
      <c r="I52" s="104"/>
      <c r="J52" s="104"/>
      <c r="K52" s="104"/>
      <c r="L52" s="104"/>
      <c r="M52" s="104"/>
      <c r="N52" s="104"/>
      <c r="O52" s="104"/>
      <c r="P52" s="104"/>
      <c r="Q52" s="104"/>
      <c r="R52" s="104"/>
      <c r="S52" s="104"/>
      <c r="T52" s="104"/>
      <c r="U52" s="30"/>
      <c r="V52" s="30"/>
      <c r="W52" s="30"/>
      <c r="X52" s="30"/>
      <c r="Y52" s="30"/>
      <c r="Z52" s="30"/>
    </row>
    <row r="53" ht="14.25" customHeight="1">
      <c r="A53" s="30"/>
      <c r="B53" s="30"/>
      <c r="C53" s="104"/>
      <c r="D53" s="59"/>
      <c r="E53" s="59"/>
      <c r="F53" s="59"/>
      <c r="G53" s="161"/>
      <c r="H53" s="59"/>
      <c r="I53" s="104"/>
      <c r="J53" s="104"/>
      <c r="K53" s="104"/>
      <c r="L53" s="104"/>
      <c r="M53" s="104"/>
      <c r="N53" s="104"/>
      <c r="O53" s="104"/>
      <c r="P53" s="104"/>
      <c r="Q53" s="104"/>
      <c r="R53" s="104"/>
      <c r="S53" s="104"/>
      <c r="T53" s="104"/>
      <c r="U53" s="30"/>
      <c r="V53" s="30"/>
      <c r="W53" s="30"/>
      <c r="X53" s="30"/>
      <c r="Y53" s="30"/>
      <c r="Z53" s="30"/>
    </row>
    <row r="54" ht="14.25" customHeight="1">
      <c r="A54" s="30"/>
      <c r="B54" s="30"/>
      <c r="C54" s="104"/>
      <c r="D54" s="59"/>
      <c r="E54" s="59"/>
      <c r="F54" s="59"/>
      <c r="G54" s="161"/>
      <c r="H54" s="59"/>
      <c r="I54" s="104"/>
      <c r="J54" s="104"/>
      <c r="K54" s="104"/>
      <c r="L54" s="104"/>
      <c r="M54" s="104"/>
      <c r="N54" s="104"/>
      <c r="O54" s="104"/>
      <c r="P54" s="104"/>
      <c r="Q54" s="104"/>
      <c r="R54" s="104"/>
      <c r="S54" s="104"/>
      <c r="T54" s="104"/>
      <c r="U54" s="30"/>
      <c r="V54" s="30"/>
      <c r="W54" s="30"/>
      <c r="X54" s="30"/>
      <c r="Y54" s="30"/>
      <c r="Z54" s="30"/>
    </row>
    <row r="55" ht="14.25" customHeight="1">
      <c r="A55" s="30"/>
      <c r="B55" s="30"/>
      <c r="C55" s="104"/>
      <c r="D55" s="59"/>
      <c r="E55" s="59"/>
      <c r="F55" s="59"/>
      <c r="G55" s="161"/>
      <c r="H55" s="59"/>
      <c r="I55" s="104"/>
      <c r="J55" s="104"/>
      <c r="K55" s="104"/>
      <c r="L55" s="104"/>
      <c r="M55" s="104"/>
      <c r="N55" s="104"/>
      <c r="O55" s="104"/>
      <c r="P55" s="104"/>
      <c r="Q55" s="104"/>
      <c r="R55" s="104"/>
      <c r="S55" s="104"/>
      <c r="T55" s="104"/>
      <c r="U55" s="30"/>
      <c r="V55" s="30"/>
      <c r="W55" s="30"/>
      <c r="X55" s="30"/>
      <c r="Y55" s="30"/>
      <c r="Z55" s="30"/>
    </row>
    <row r="56" ht="14.25" customHeight="1">
      <c r="A56" s="30"/>
      <c r="B56" s="30"/>
      <c r="C56" s="104"/>
      <c r="D56" s="59"/>
      <c r="E56" s="59"/>
      <c r="F56" s="59"/>
      <c r="G56" s="161"/>
      <c r="H56" s="59"/>
      <c r="I56" s="104"/>
      <c r="J56" s="104"/>
      <c r="K56" s="104"/>
      <c r="L56" s="104"/>
      <c r="M56" s="104"/>
      <c r="N56" s="104"/>
      <c r="O56" s="104"/>
      <c r="P56" s="104"/>
      <c r="Q56" s="104"/>
      <c r="R56" s="104"/>
      <c r="S56" s="104"/>
      <c r="T56" s="104"/>
      <c r="U56" s="30"/>
      <c r="V56" s="30"/>
      <c r="W56" s="30"/>
      <c r="X56" s="30"/>
      <c r="Y56" s="30"/>
      <c r="Z56" s="30"/>
    </row>
    <row r="57" ht="14.25" customHeight="1">
      <c r="A57" s="30"/>
      <c r="B57" s="30"/>
      <c r="C57" s="104"/>
      <c r="D57" s="59"/>
      <c r="E57" s="59"/>
      <c r="F57" s="59"/>
      <c r="G57" s="161"/>
      <c r="H57" s="59"/>
      <c r="I57" s="104"/>
      <c r="J57" s="104"/>
      <c r="K57" s="104"/>
      <c r="L57" s="104"/>
      <c r="M57" s="104"/>
      <c r="N57" s="104"/>
      <c r="O57" s="104"/>
      <c r="P57" s="104"/>
      <c r="Q57" s="104"/>
      <c r="R57" s="104"/>
      <c r="S57" s="104"/>
      <c r="T57" s="104"/>
      <c r="U57" s="30"/>
      <c r="V57" s="30"/>
      <c r="W57" s="30"/>
      <c r="X57" s="30"/>
      <c r="Y57" s="30"/>
      <c r="Z57" s="30"/>
    </row>
    <row r="58" ht="14.25" customHeight="1">
      <c r="A58" s="30"/>
      <c r="B58" s="30"/>
      <c r="C58" s="104"/>
      <c r="D58" s="59"/>
      <c r="E58" s="59"/>
      <c r="F58" s="59"/>
      <c r="G58" s="161"/>
      <c r="H58" s="59"/>
      <c r="I58" s="104"/>
      <c r="J58" s="104"/>
      <c r="K58" s="104"/>
      <c r="L58" s="104"/>
      <c r="M58" s="104"/>
      <c r="N58" s="104"/>
      <c r="O58" s="104"/>
      <c r="P58" s="104"/>
      <c r="Q58" s="104"/>
      <c r="R58" s="104"/>
      <c r="S58" s="104"/>
      <c r="T58" s="104"/>
      <c r="U58" s="30"/>
      <c r="V58" s="30"/>
      <c r="W58" s="30"/>
      <c r="X58" s="30"/>
      <c r="Y58" s="30"/>
      <c r="Z58" s="30"/>
    </row>
    <row r="59" ht="14.25" customHeight="1">
      <c r="A59" s="30"/>
      <c r="B59" s="30"/>
      <c r="C59" s="104"/>
      <c r="D59" s="59"/>
      <c r="E59" s="59"/>
      <c r="F59" s="59"/>
      <c r="G59" s="161"/>
      <c r="H59" s="59"/>
      <c r="I59" s="104"/>
      <c r="J59" s="104"/>
      <c r="K59" s="104"/>
      <c r="L59" s="104"/>
      <c r="M59" s="104"/>
      <c r="N59" s="104"/>
      <c r="O59" s="104"/>
      <c r="P59" s="104"/>
      <c r="Q59" s="104"/>
      <c r="R59" s="104"/>
      <c r="S59" s="104"/>
      <c r="T59" s="104"/>
      <c r="U59" s="30"/>
      <c r="V59" s="30"/>
      <c r="W59" s="30"/>
      <c r="X59" s="30"/>
      <c r="Y59" s="30"/>
      <c r="Z59" s="30"/>
    </row>
    <row r="60" ht="14.25" customHeight="1">
      <c r="A60" s="30"/>
      <c r="B60" s="30"/>
      <c r="C60" s="104"/>
      <c r="D60" s="59"/>
      <c r="E60" s="59"/>
      <c r="F60" s="59"/>
      <c r="G60" s="161"/>
      <c r="H60" s="59"/>
      <c r="I60" s="104"/>
      <c r="J60" s="104"/>
      <c r="K60" s="104"/>
      <c r="L60" s="104"/>
      <c r="M60" s="104"/>
      <c r="N60" s="104"/>
      <c r="O60" s="104"/>
      <c r="P60" s="104"/>
      <c r="Q60" s="104"/>
      <c r="R60" s="104"/>
      <c r="S60" s="104"/>
      <c r="T60" s="104"/>
      <c r="U60" s="30"/>
      <c r="V60" s="30"/>
      <c r="W60" s="30"/>
      <c r="X60" s="30"/>
      <c r="Y60" s="30"/>
      <c r="Z60" s="30"/>
    </row>
    <row r="61" ht="14.25" customHeight="1">
      <c r="A61" s="30"/>
      <c r="B61" s="30"/>
      <c r="C61" s="104"/>
      <c r="D61" s="59"/>
      <c r="E61" s="59"/>
      <c r="F61" s="59"/>
      <c r="G61" s="161"/>
      <c r="H61" s="59"/>
      <c r="I61" s="104"/>
      <c r="J61" s="104"/>
      <c r="K61" s="104"/>
      <c r="L61" s="104"/>
      <c r="M61" s="104"/>
      <c r="N61" s="104"/>
      <c r="O61" s="104"/>
      <c r="P61" s="104"/>
      <c r="Q61" s="104"/>
      <c r="R61" s="104"/>
      <c r="S61" s="104"/>
      <c r="T61" s="104"/>
      <c r="U61" s="30"/>
      <c r="V61" s="30"/>
      <c r="W61" s="30"/>
      <c r="X61" s="30"/>
      <c r="Y61" s="30"/>
      <c r="Z61" s="30"/>
    </row>
    <row r="62" ht="14.25" customHeight="1">
      <c r="A62" s="30"/>
      <c r="B62" s="30"/>
      <c r="C62" s="104"/>
      <c r="D62" s="59"/>
      <c r="E62" s="59"/>
      <c r="F62" s="59"/>
      <c r="G62" s="161"/>
      <c r="H62" s="59"/>
      <c r="I62" s="104"/>
      <c r="J62" s="104"/>
      <c r="K62" s="104"/>
      <c r="L62" s="104"/>
      <c r="M62" s="104"/>
      <c r="N62" s="104"/>
      <c r="O62" s="104"/>
      <c r="P62" s="104"/>
      <c r="Q62" s="104"/>
      <c r="R62" s="104"/>
      <c r="S62" s="104"/>
      <c r="T62" s="104"/>
      <c r="U62" s="30"/>
      <c r="V62" s="30"/>
      <c r="W62" s="30"/>
      <c r="X62" s="30"/>
      <c r="Y62" s="30"/>
      <c r="Z62" s="30"/>
    </row>
    <row r="63" ht="14.25" customHeight="1">
      <c r="A63" s="30"/>
      <c r="B63" s="30"/>
      <c r="C63" s="104"/>
      <c r="D63" s="59"/>
      <c r="E63" s="59"/>
      <c r="F63" s="59"/>
      <c r="G63" s="161"/>
      <c r="H63" s="59"/>
      <c r="I63" s="104"/>
      <c r="J63" s="104"/>
      <c r="K63" s="104"/>
      <c r="L63" s="104"/>
      <c r="M63" s="104"/>
      <c r="N63" s="104"/>
      <c r="O63" s="104"/>
      <c r="P63" s="104"/>
      <c r="Q63" s="104"/>
      <c r="R63" s="104"/>
      <c r="S63" s="104"/>
      <c r="T63" s="104"/>
      <c r="U63" s="30"/>
      <c r="V63" s="30"/>
      <c r="W63" s="30"/>
      <c r="X63" s="30"/>
      <c r="Y63" s="30"/>
      <c r="Z63" s="30"/>
    </row>
    <row r="64" ht="14.25" customHeight="1">
      <c r="A64" s="30"/>
      <c r="B64" s="30"/>
      <c r="C64" s="104"/>
      <c r="D64" s="59"/>
      <c r="E64" s="59"/>
      <c r="F64" s="59"/>
      <c r="G64" s="161"/>
      <c r="H64" s="59"/>
      <c r="I64" s="104"/>
      <c r="J64" s="104"/>
      <c r="K64" s="104"/>
      <c r="L64" s="104"/>
      <c r="M64" s="104"/>
      <c r="N64" s="104"/>
      <c r="O64" s="104"/>
      <c r="P64" s="104"/>
      <c r="Q64" s="104"/>
      <c r="R64" s="104"/>
      <c r="S64" s="104"/>
      <c r="T64" s="104"/>
      <c r="U64" s="30"/>
      <c r="V64" s="30"/>
      <c r="W64" s="30"/>
      <c r="X64" s="30"/>
      <c r="Y64" s="30"/>
      <c r="Z64" s="30"/>
    </row>
    <row r="65" ht="14.25" customHeight="1">
      <c r="A65" s="30"/>
      <c r="B65" s="30"/>
      <c r="C65" s="104"/>
      <c r="D65" s="59"/>
      <c r="E65" s="59"/>
      <c r="F65" s="59"/>
      <c r="G65" s="161"/>
      <c r="H65" s="59"/>
      <c r="I65" s="104"/>
      <c r="J65" s="104"/>
      <c r="K65" s="104"/>
      <c r="L65" s="104"/>
      <c r="M65" s="104"/>
      <c r="N65" s="104"/>
      <c r="O65" s="104"/>
      <c r="P65" s="104"/>
      <c r="Q65" s="104"/>
      <c r="R65" s="104"/>
      <c r="S65" s="104"/>
      <c r="T65" s="104"/>
      <c r="U65" s="30"/>
      <c r="V65" s="30"/>
      <c r="W65" s="30"/>
      <c r="X65" s="30"/>
      <c r="Y65" s="30"/>
      <c r="Z65" s="30"/>
    </row>
    <row r="66" ht="14.25" customHeight="1">
      <c r="A66" s="30"/>
      <c r="B66" s="30"/>
      <c r="C66" s="104"/>
      <c r="D66" s="59"/>
      <c r="E66" s="59"/>
      <c r="F66" s="59"/>
      <c r="G66" s="161"/>
      <c r="H66" s="59"/>
      <c r="I66" s="104"/>
      <c r="J66" s="104"/>
      <c r="K66" s="104"/>
      <c r="L66" s="104"/>
      <c r="M66" s="104"/>
      <c r="N66" s="104"/>
      <c r="O66" s="104"/>
      <c r="P66" s="104"/>
      <c r="Q66" s="104"/>
      <c r="R66" s="104"/>
      <c r="S66" s="104"/>
      <c r="T66" s="104"/>
      <c r="U66" s="30"/>
      <c r="V66" s="30"/>
      <c r="W66" s="30"/>
      <c r="X66" s="30"/>
      <c r="Y66" s="30"/>
      <c r="Z66" s="30"/>
    </row>
    <row r="67" ht="14.25" customHeight="1">
      <c r="A67" s="30"/>
      <c r="B67" s="30"/>
      <c r="C67" s="104"/>
      <c r="D67" s="59"/>
      <c r="E67" s="59"/>
      <c r="F67" s="59"/>
      <c r="G67" s="161"/>
      <c r="H67" s="59"/>
      <c r="I67" s="104"/>
      <c r="J67" s="104"/>
      <c r="K67" s="104"/>
      <c r="L67" s="104"/>
      <c r="M67" s="104"/>
      <c r="N67" s="104"/>
      <c r="O67" s="104"/>
      <c r="P67" s="104"/>
      <c r="Q67" s="104"/>
      <c r="R67" s="104"/>
      <c r="S67" s="104"/>
      <c r="T67" s="104"/>
      <c r="U67" s="30"/>
      <c r="V67" s="30"/>
      <c r="W67" s="30"/>
      <c r="X67" s="30"/>
      <c r="Y67" s="30"/>
      <c r="Z67" s="30"/>
    </row>
    <row r="68" ht="14.25" customHeight="1">
      <c r="A68" s="30"/>
      <c r="B68" s="30"/>
      <c r="C68" s="104"/>
      <c r="D68" s="59"/>
      <c r="E68" s="59"/>
      <c r="F68" s="59"/>
      <c r="G68" s="161"/>
      <c r="H68" s="59"/>
      <c r="I68" s="104"/>
      <c r="J68" s="104"/>
      <c r="K68" s="104"/>
      <c r="L68" s="104"/>
      <c r="M68" s="104"/>
      <c r="N68" s="104"/>
      <c r="O68" s="104"/>
      <c r="P68" s="104"/>
      <c r="Q68" s="104"/>
      <c r="R68" s="104"/>
      <c r="S68" s="104"/>
      <c r="T68" s="104"/>
      <c r="U68" s="30"/>
      <c r="V68" s="30"/>
      <c r="W68" s="30"/>
      <c r="X68" s="30"/>
      <c r="Y68" s="30"/>
      <c r="Z68" s="30"/>
    </row>
    <row r="69" ht="14.25" customHeight="1">
      <c r="A69" s="30"/>
      <c r="B69" s="30"/>
      <c r="C69" s="104"/>
      <c r="D69" s="59"/>
      <c r="E69" s="59"/>
      <c r="F69" s="59"/>
      <c r="G69" s="161"/>
      <c r="H69" s="59"/>
      <c r="I69" s="104"/>
      <c r="J69" s="104"/>
      <c r="K69" s="104"/>
      <c r="L69" s="104"/>
      <c r="M69" s="104"/>
      <c r="N69" s="104"/>
      <c r="O69" s="104"/>
      <c r="P69" s="104"/>
      <c r="Q69" s="104"/>
      <c r="R69" s="104"/>
      <c r="S69" s="104"/>
      <c r="T69" s="104"/>
      <c r="U69" s="30"/>
      <c r="V69" s="30"/>
      <c r="W69" s="30"/>
      <c r="X69" s="30"/>
      <c r="Y69" s="30"/>
      <c r="Z69" s="30"/>
    </row>
    <row r="70" ht="14.25" customHeight="1">
      <c r="A70" s="30"/>
      <c r="B70" s="30"/>
      <c r="C70" s="104"/>
      <c r="D70" s="59"/>
      <c r="E70" s="59"/>
      <c r="F70" s="59"/>
      <c r="G70" s="161"/>
      <c r="H70" s="59"/>
      <c r="I70" s="104"/>
      <c r="J70" s="104"/>
      <c r="K70" s="104"/>
      <c r="L70" s="104"/>
      <c r="M70" s="104"/>
      <c r="N70" s="104"/>
      <c r="O70" s="104"/>
      <c r="P70" s="104"/>
      <c r="Q70" s="104"/>
      <c r="R70" s="104"/>
      <c r="S70" s="104"/>
      <c r="T70" s="104"/>
      <c r="U70" s="30"/>
      <c r="V70" s="30"/>
      <c r="W70" s="30"/>
      <c r="X70" s="30"/>
      <c r="Y70" s="30"/>
      <c r="Z70" s="30"/>
    </row>
    <row r="71" ht="14.25" customHeight="1">
      <c r="A71" s="30"/>
      <c r="B71" s="30"/>
      <c r="C71" s="104"/>
      <c r="D71" s="59"/>
      <c r="E71" s="59"/>
      <c r="F71" s="59"/>
      <c r="G71" s="161"/>
      <c r="H71" s="59"/>
      <c r="I71" s="104"/>
      <c r="J71" s="104"/>
      <c r="K71" s="104"/>
      <c r="L71" s="104"/>
      <c r="M71" s="104"/>
      <c r="N71" s="104"/>
      <c r="O71" s="104"/>
      <c r="P71" s="104"/>
      <c r="Q71" s="104"/>
      <c r="R71" s="104"/>
      <c r="S71" s="104"/>
      <c r="T71" s="104"/>
      <c r="U71" s="30"/>
      <c r="V71" s="30"/>
      <c r="W71" s="30"/>
      <c r="X71" s="30"/>
      <c r="Y71" s="30"/>
      <c r="Z71" s="30"/>
    </row>
    <row r="72" ht="14.25" customHeight="1">
      <c r="A72" s="30"/>
      <c r="B72" s="30"/>
      <c r="C72" s="104"/>
      <c r="D72" s="59"/>
      <c r="E72" s="59"/>
      <c r="F72" s="59"/>
      <c r="G72" s="161"/>
      <c r="H72" s="59"/>
      <c r="I72" s="104"/>
      <c r="J72" s="104"/>
      <c r="K72" s="104"/>
      <c r="L72" s="104"/>
      <c r="M72" s="104"/>
      <c r="N72" s="104"/>
      <c r="O72" s="104"/>
      <c r="P72" s="104"/>
      <c r="Q72" s="104"/>
      <c r="R72" s="104"/>
      <c r="S72" s="104"/>
      <c r="T72" s="104"/>
      <c r="U72" s="30"/>
      <c r="V72" s="30"/>
      <c r="W72" s="30"/>
      <c r="X72" s="30"/>
      <c r="Y72" s="30"/>
      <c r="Z72" s="30"/>
    </row>
    <row r="73" ht="14.25" customHeight="1">
      <c r="A73" s="30"/>
      <c r="B73" s="30"/>
      <c r="C73" s="104"/>
      <c r="D73" s="59"/>
      <c r="E73" s="59"/>
      <c r="F73" s="59"/>
      <c r="G73" s="161"/>
      <c r="H73" s="59"/>
      <c r="I73" s="104"/>
      <c r="J73" s="104"/>
      <c r="K73" s="104"/>
      <c r="L73" s="104"/>
      <c r="M73" s="104"/>
      <c r="N73" s="104"/>
      <c r="O73" s="104"/>
      <c r="P73" s="104"/>
      <c r="Q73" s="104"/>
      <c r="R73" s="104"/>
      <c r="S73" s="104"/>
      <c r="T73" s="104"/>
      <c r="U73" s="30"/>
      <c r="V73" s="30"/>
      <c r="W73" s="30"/>
      <c r="X73" s="30"/>
      <c r="Y73" s="30"/>
      <c r="Z73" s="30"/>
    </row>
    <row r="74" ht="14.25" customHeight="1">
      <c r="A74" s="30"/>
      <c r="B74" s="30"/>
      <c r="C74" s="104"/>
      <c r="D74" s="59"/>
      <c r="E74" s="59"/>
      <c r="F74" s="59"/>
      <c r="G74" s="161"/>
      <c r="H74" s="59"/>
      <c r="I74" s="104"/>
      <c r="J74" s="104"/>
      <c r="K74" s="104"/>
      <c r="L74" s="104"/>
      <c r="M74" s="104"/>
      <c r="N74" s="104"/>
      <c r="O74" s="104"/>
      <c r="P74" s="104"/>
      <c r="Q74" s="104"/>
      <c r="R74" s="104"/>
      <c r="S74" s="104"/>
      <c r="T74" s="104"/>
      <c r="U74" s="30"/>
      <c r="V74" s="30"/>
      <c r="W74" s="30"/>
      <c r="X74" s="30"/>
      <c r="Y74" s="30"/>
      <c r="Z74" s="30"/>
    </row>
    <row r="75" ht="14.25" customHeight="1">
      <c r="A75" s="30"/>
      <c r="B75" s="30"/>
      <c r="C75" s="104"/>
      <c r="D75" s="59"/>
      <c r="E75" s="59"/>
      <c r="F75" s="59"/>
      <c r="G75" s="161"/>
      <c r="H75" s="59"/>
      <c r="I75" s="104"/>
      <c r="J75" s="104"/>
      <c r="K75" s="104"/>
      <c r="L75" s="104"/>
      <c r="M75" s="104"/>
      <c r="N75" s="104"/>
      <c r="O75" s="104"/>
      <c r="P75" s="104"/>
      <c r="Q75" s="104"/>
      <c r="R75" s="104"/>
      <c r="S75" s="104"/>
      <c r="T75" s="104"/>
      <c r="U75" s="30"/>
      <c r="V75" s="30"/>
      <c r="W75" s="30"/>
      <c r="X75" s="30"/>
      <c r="Y75" s="30"/>
      <c r="Z75" s="30"/>
    </row>
    <row r="76" ht="14.25" customHeight="1">
      <c r="A76" s="30"/>
      <c r="B76" s="30"/>
      <c r="C76" s="104"/>
      <c r="D76" s="59"/>
      <c r="E76" s="59"/>
      <c r="F76" s="59"/>
      <c r="G76" s="161"/>
      <c r="H76" s="59"/>
      <c r="I76" s="104"/>
      <c r="J76" s="104"/>
      <c r="K76" s="104"/>
      <c r="L76" s="104"/>
      <c r="M76" s="104"/>
      <c r="N76" s="104"/>
      <c r="O76" s="104"/>
      <c r="P76" s="104"/>
      <c r="Q76" s="104"/>
      <c r="R76" s="104"/>
      <c r="S76" s="104"/>
      <c r="T76" s="104"/>
      <c r="U76" s="30"/>
      <c r="V76" s="30"/>
      <c r="W76" s="30"/>
      <c r="X76" s="30"/>
      <c r="Y76" s="30"/>
      <c r="Z76" s="30"/>
    </row>
    <row r="77" ht="14.25" customHeight="1">
      <c r="A77" s="30"/>
      <c r="B77" s="30"/>
      <c r="C77" s="104"/>
      <c r="D77" s="59"/>
      <c r="E77" s="59"/>
      <c r="F77" s="59"/>
      <c r="G77" s="161"/>
      <c r="H77" s="59"/>
      <c r="I77" s="104"/>
      <c r="J77" s="104"/>
      <c r="K77" s="104"/>
      <c r="L77" s="104"/>
      <c r="M77" s="104"/>
      <c r="N77" s="104"/>
      <c r="O77" s="104"/>
      <c r="P77" s="104"/>
      <c r="Q77" s="104"/>
      <c r="R77" s="104"/>
      <c r="S77" s="104"/>
      <c r="T77" s="104"/>
      <c r="U77" s="30"/>
      <c r="V77" s="30"/>
      <c r="W77" s="30"/>
      <c r="X77" s="30"/>
      <c r="Y77" s="30"/>
      <c r="Z77" s="30"/>
    </row>
    <row r="78" ht="14.25" customHeight="1">
      <c r="A78" s="30"/>
      <c r="B78" s="30"/>
      <c r="C78" s="104"/>
      <c r="D78" s="59"/>
      <c r="E78" s="59"/>
      <c r="F78" s="59"/>
      <c r="G78" s="161"/>
      <c r="H78" s="59"/>
      <c r="I78" s="104"/>
      <c r="J78" s="104"/>
      <c r="K78" s="104"/>
      <c r="L78" s="104"/>
      <c r="M78" s="104"/>
      <c r="N78" s="104"/>
      <c r="O78" s="104"/>
      <c r="P78" s="104"/>
      <c r="Q78" s="104"/>
      <c r="R78" s="104"/>
      <c r="S78" s="104"/>
      <c r="T78" s="104"/>
      <c r="U78" s="30"/>
      <c r="V78" s="30"/>
      <c r="W78" s="30"/>
      <c r="X78" s="30"/>
      <c r="Y78" s="30"/>
      <c r="Z78" s="30"/>
    </row>
    <row r="79" ht="14.25" customHeight="1">
      <c r="A79" s="30"/>
      <c r="B79" s="30"/>
      <c r="C79" s="104"/>
      <c r="D79" s="59"/>
      <c r="E79" s="59"/>
      <c r="F79" s="59"/>
      <c r="G79" s="161"/>
      <c r="H79" s="59"/>
      <c r="I79" s="104"/>
      <c r="J79" s="104"/>
      <c r="K79" s="104"/>
      <c r="L79" s="104"/>
      <c r="M79" s="104"/>
      <c r="N79" s="104"/>
      <c r="O79" s="104"/>
      <c r="P79" s="104"/>
      <c r="Q79" s="104"/>
      <c r="R79" s="104"/>
      <c r="S79" s="104"/>
      <c r="T79" s="104"/>
      <c r="U79" s="30"/>
      <c r="V79" s="30"/>
      <c r="W79" s="30"/>
      <c r="X79" s="30"/>
      <c r="Y79" s="30"/>
      <c r="Z79" s="30"/>
    </row>
    <row r="80" ht="14.25" customHeight="1">
      <c r="A80" s="30"/>
      <c r="B80" s="30"/>
      <c r="C80" s="104"/>
      <c r="D80" s="59"/>
      <c r="E80" s="59"/>
      <c r="F80" s="59"/>
      <c r="G80" s="161"/>
      <c r="H80" s="59"/>
      <c r="I80" s="104"/>
      <c r="J80" s="104"/>
      <c r="K80" s="104"/>
      <c r="L80" s="104"/>
      <c r="M80" s="104"/>
      <c r="N80" s="104"/>
      <c r="O80" s="104"/>
      <c r="P80" s="104"/>
      <c r="Q80" s="104"/>
      <c r="R80" s="104"/>
      <c r="S80" s="104"/>
      <c r="T80" s="104"/>
      <c r="U80" s="30"/>
      <c r="V80" s="30"/>
      <c r="W80" s="30"/>
      <c r="X80" s="30"/>
      <c r="Y80" s="30"/>
      <c r="Z80" s="30"/>
    </row>
    <row r="81" ht="14.25" customHeight="1">
      <c r="A81" s="30"/>
      <c r="B81" s="30"/>
      <c r="C81" s="104"/>
      <c r="D81" s="59"/>
      <c r="E81" s="59"/>
      <c r="F81" s="59"/>
      <c r="G81" s="161"/>
      <c r="H81" s="59"/>
      <c r="I81" s="104"/>
      <c r="J81" s="104"/>
      <c r="K81" s="104"/>
      <c r="L81" s="104"/>
      <c r="M81" s="104"/>
      <c r="N81" s="104"/>
      <c r="O81" s="104"/>
      <c r="P81" s="104"/>
      <c r="Q81" s="104"/>
      <c r="R81" s="104"/>
      <c r="S81" s="104"/>
      <c r="T81" s="104"/>
      <c r="U81" s="30"/>
      <c r="V81" s="30"/>
      <c r="W81" s="30"/>
      <c r="X81" s="30"/>
      <c r="Y81" s="30"/>
      <c r="Z81" s="30"/>
    </row>
    <row r="82" ht="14.25" customHeight="1">
      <c r="A82" s="30"/>
      <c r="B82" s="30"/>
      <c r="C82" s="104"/>
      <c r="D82" s="59"/>
      <c r="E82" s="59"/>
      <c r="F82" s="59"/>
      <c r="G82" s="161"/>
      <c r="H82" s="59"/>
      <c r="I82" s="104"/>
      <c r="J82" s="104"/>
      <c r="K82" s="104"/>
      <c r="L82" s="104"/>
      <c r="M82" s="104"/>
      <c r="N82" s="104"/>
      <c r="O82" s="104"/>
      <c r="P82" s="104"/>
      <c r="Q82" s="104"/>
      <c r="R82" s="104"/>
      <c r="S82" s="104"/>
      <c r="T82" s="104"/>
      <c r="U82" s="30"/>
      <c r="V82" s="30"/>
      <c r="W82" s="30"/>
      <c r="X82" s="30"/>
      <c r="Y82" s="30"/>
      <c r="Z82" s="30"/>
    </row>
    <row r="83" ht="14.25" customHeight="1">
      <c r="A83" s="30"/>
      <c r="B83" s="30"/>
      <c r="C83" s="104"/>
      <c r="D83" s="59"/>
      <c r="E83" s="59"/>
      <c r="F83" s="59"/>
      <c r="G83" s="161"/>
      <c r="H83" s="59"/>
      <c r="I83" s="104"/>
      <c r="J83" s="104"/>
      <c r="K83" s="104"/>
      <c r="L83" s="104"/>
      <c r="M83" s="104"/>
      <c r="N83" s="104"/>
      <c r="O83" s="104"/>
      <c r="P83" s="104"/>
      <c r="Q83" s="104"/>
      <c r="R83" s="104"/>
      <c r="S83" s="104"/>
      <c r="T83" s="104"/>
      <c r="U83" s="30"/>
      <c r="V83" s="30"/>
      <c r="W83" s="30"/>
      <c r="X83" s="30"/>
      <c r="Y83" s="30"/>
      <c r="Z83" s="30"/>
    </row>
    <row r="84" ht="14.25" customHeight="1">
      <c r="A84" s="30"/>
      <c r="B84" s="30"/>
      <c r="C84" s="104"/>
      <c r="D84" s="59"/>
      <c r="E84" s="59"/>
      <c r="F84" s="59"/>
      <c r="G84" s="161"/>
      <c r="H84" s="59"/>
      <c r="I84" s="104"/>
      <c r="J84" s="104"/>
      <c r="K84" s="104"/>
      <c r="L84" s="104"/>
      <c r="M84" s="104"/>
      <c r="N84" s="104"/>
      <c r="O84" s="104"/>
      <c r="P84" s="104"/>
      <c r="Q84" s="104"/>
      <c r="R84" s="104"/>
      <c r="S84" s="104"/>
      <c r="T84" s="104"/>
      <c r="U84" s="30"/>
      <c r="V84" s="30"/>
      <c r="W84" s="30"/>
      <c r="X84" s="30"/>
      <c r="Y84" s="30"/>
      <c r="Z84" s="30"/>
    </row>
    <row r="85" ht="14.25" customHeight="1">
      <c r="A85" s="30"/>
      <c r="B85" s="30"/>
      <c r="C85" s="104"/>
      <c r="D85" s="59"/>
      <c r="E85" s="59"/>
      <c r="F85" s="59"/>
      <c r="G85" s="161"/>
      <c r="H85" s="59"/>
      <c r="I85" s="104"/>
      <c r="J85" s="104"/>
      <c r="K85" s="104"/>
      <c r="L85" s="104"/>
      <c r="M85" s="104"/>
      <c r="N85" s="104"/>
      <c r="O85" s="104"/>
      <c r="P85" s="104"/>
      <c r="Q85" s="104"/>
      <c r="R85" s="104"/>
      <c r="S85" s="104"/>
      <c r="T85" s="104"/>
      <c r="U85" s="30"/>
      <c r="V85" s="30"/>
      <c r="W85" s="30"/>
      <c r="X85" s="30"/>
      <c r="Y85" s="30"/>
      <c r="Z85" s="30"/>
    </row>
    <row r="86" ht="14.25" customHeight="1">
      <c r="A86" s="30"/>
      <c r="B86" s="30"/>
      <c r="C86" s="104"/>
      <c r="D86" s="59"/>
      <c r="E86" s="59"/>
      <c r="F86" s="59"/>
      <c r="G86" s="161"/>
      <c r="H86" s="59"/>
      <c r="I86" s="104"/>
      <c r="J86" s="104"/>
      <c r="K86" s="104"/>
      <c r="L86" s="104"/>
      <c r="M86" s="104"/>
      <c r="N86" s="104"/>
      <c r="O86" s="104"/>
      <c r="P86" s="104"/>
      <c r="Q86" s="104"/>
      <c r="R86" s="104"/>
      <c r="S86" s="104"/>
      <c r="T86" s="104"/>
      <c r="U86" s="30"/>
      <c r="V86" s="30"/>
      <c r="W86" s="30"/>
      <c r="X86" s="30"/>
      <c r="Y86" s="30"/>
      <c r="Z86" s="30"/>
    </row>
    <row r="87" ht="14.25" customHeight="1">
      <c r="A87" s="30"/>
      <c r="B87" s="30"/>
      <c r="C87" s="104"/>
      <c r="D87" s="59"/>
      <c r="E87" s="59"/>
      <c r="F87" s="59"/>
      <c r="G87" s="161"/>
      <c r="H87" s="59"/>
      <c r="I87" s="104"/>
      <c r="J87" s="104"/>
      <c r="K87" s="104"/>
      <c r="L87" s="104"/>
      <c r="M87" s="104"/>
      <c r="N87" s="104"/>
      <c r="O87" s="104"/>
      <c r="P87" s="104"/>
      <c r="Q87" s="104"/>
      <c r="R87" s="104"/>
      <c r="S87" s="104"/>
      <c r="T87" s="104"/>
      <c r="U87" s="30"/>
      <c r="V87" s="30"/>
      <c r="W87" s="30"/>
      <c r="X87" s="30"/>
      <c r="Y87" s="30"/>
      <c r="Z87" s="30"/>
    </row>
    <row r="88" ht="14.25" customHeight="1">
      <c r="A88" s="30"/>
      <c r="B88" s="30"/>
      <c r="C88" s="104"/>
      <c r="D88" s="59"/>
      <c r="E88" s="59"/>
      <c r="F88" s="59"/>
      <c r="G88" s="161"/>
      <c r="H88" s="59"/>
      <c r="I88" s="104"/>
      <c r="J88" s="104"/>
      <c r="K88" s="104"/>
      <c r="L88" s="104"/>
      <c r="M88" s="104"/>
      <c r="N88" s="104"/>
      <c r="O88" s="104"/>
      <c r="P88" s="104"/>
      <c r="Q88" s="104"/>
      <c r="R88" s="104"/>
      <c r="S88" s="104"/>
      <c r="T88" s="104"/>
      <c r="U88" s="30"/>
      <c r="V88" s="30"/>
      <c r="W88" s="30"/>
      <c r="X88" s="30"/>
      <c r="Y88" s="30"/>
      <c r="Z88" s="30"/>
    </row>
    <row r="89" ht="14.25" customHeight="1">
      <c r="A89" s="30"/>
      <c r="B89" s="30"/>
      <c r="C89" s="104"/>
      <c r="D89" s="59"/>
      <c r="E89" s="59"/>
      <c r="F89" s="59"/>
      <c r="G89" s="161"/>
      <c r="H89" s="59"/>
      <c r="I89" s="104"/>
      <c r="J89" s="104"/>
      <c r="K89" s="104"/>
      <c r="L89" s="104"/>
      <c r="M89" s="104"/>
      <c r="N89" s="104"/>
      <c r="O89" s="104"/>
      <c r="P89" s="104"/>
      <c r="Q89" s="104"/>
      <c r="R89" s="104"/>
      <c r="S89" s="104"/>
      <c r="T89" s="104"/>
      <c r="U89" s="30"/>
      <c r="V89" s="30"/>
      <c r="W89" s="30"/>
      <c r="X89" s="30"/>
      <c r="Y89" s="30"/>
      <c r="Z89" s="30"/>
    </row>
    <row r="90" ht="14.25" customHeight="1">
      <c r="A90" s="30"/>
      <c r="B90" s="30"/>
      <c r="C90" s="104"/>
      <c r="D90" s="59"/>
      <c r="E90" s="59"/>
      <c r="F90" s="59"/>
      <c r="G90" s="161"/>
      <c r="H90" s="59"/>
      <c r="I90" s="104"/>
      <c r="J90" s="104"/>
      <c r="K90" s="104"/>
      <c r="L90" s="104"/>
      <c r="M90" s="104"/>
      <c r="N90" s="104"/>
      <c r="O90" s="104"/>
      <c r="P90" s="104"/>
      <c r="Q90" s="104"/>
      <c r="R90" s="104"/>
      <c r="S90" s="104"/>
      <c r="T90" s="104"/>
      <c r="U90" s="30"/>
      <c r="V90" s="30"/>
      <c r="W90" s="30"/>
      <c r="X90" s="30"/>
      <c r="Y90" s="30"/>
      <c r="Z90" s="30"/>
    </row>
    <row r="91" ht="14.25" customHeight="1">
      <c r="A91" s="30"/>
      <c r="B91" s="30"/>
      <c r="C91" s="104"/>
      <c r="D91" s="59"/>
      <c r="E91" s="59"/>
      <c r="F91" s="59"/>
      <c r="G91" s="161"/>
      <c r="H91" s="59"/>
      <c r="I91" s="104"/>
      <c r="J91" s="104"/>
      <c r="K91" s="104"/>
      <c r="L91" s="104"/>
      <c r="M91" s="104"/>
      <c r="N91" s="104"/>
      <c r="O91" s="104"/>
      <c r="P91" s="104"/>
      <c r="Q91" s="104"/>
      <c r="R91" s="104"/>
      <c r="S91" s="104"/>
      <c r="T91" s="104"/>
      <c r="U91" s="30"/>
      <c r="V91" s="30"/>
      <c r="W91" s="30"/>
      <c r="X91" s="30"/>
      <c r="Y91" s="30"/>
      <c r="Z91" s="30"/>
    </row>
    <row r="92" ht="14.25" customHeight="1">
      <c r="A92" s="30"/>
      <c r="B92" s="30"/>
      <c r="C92" s="104"/>
      <c r="D92" s="59"/>
      <c r="E92" s="59"/>
      <c r="F92" s="59"/>
      <c r="G92" s="161"/>
      <c r="H92" s="59"/>
      <c r="I92" s="104"/>
      <c r="J92" s="104"/>
      <c r="K92" s="104"/>
      <c r="L92" s="104"/>
      <c r="M92" s="104"/>
      <c r="N92" s="104"/>
      <c r="O92" s="104"/>
      <c r="P92" s="104"/>
      <c r="Q92" s="104"/>
      <c r="R92" s="104"/>
      <c r="S92" s="104"/>
      <c r="T92" s="104"/>
      <c r="U92" s="30"/>
      <c r="V92" s="30"/>
      <c r="W92" s="30"/>
      <c r="X92" s="30"/>
      <c r="Y92" s="30"/>
      <c r="Z92" s="30"/>
    </row>
    <row r="93" ht="14.25" customHeight="1">
      <c r="A93" s="30"/>
      <c r="B93" s="30"/>
      <c r="C93" s="104"/>
      <c r="D93" s="59"/>
      <c r="E93" s="59"/>
      <c r="F93" s="59"/>
      <c r="G93" s="161"/>
      <c r="H93" s="59"/>
      <c r="I93" s="104"/>
      <c r="J93" s="104"/>
      <c r="K93" s="104"/>
      <c r="L93" s="104"/>
      <c r="M93" s="104"/>
      <c r="N93" s="104"/>
      <c r="O93" s="104"/>
      <c r="P93" s="104"/>
      <c r="Q93" s="104"/>
      <c r="R93" s="104"/>
      <c r="S93" s="104"/>
      <c r="T93" s="104"/>
      <c r="U93" s="30"/>
      <c r="V93" s="30"/>
      <c r="W93" s="30"/>
      <c r="X93" s="30"/>
      <c r="Y93" s="30"/>
      <c r="Z93" s="30"/>
    </row>
    <row r="94" ht="14.25" customHeight="1">
      <c r="A94" s="30"/>
      <c r="B94" s="30"/>
      <c r="C94" s="104"/>
      <c r="D94" s="59"/>
      <c r="E94" s="59"/>
      <c r="F94" s="59"/>
      <c r="G94" s="161"/>
      <c r="H94" s="59"/>
      <c r="I94" s="104"/>
      <c r="J94" s="104"/>
      <c r="K94" s="104"/>
      <c r="L94" s="104"/>
      <c r="M94" s="104"/>
      <c r="N94" s="104"/>
      <c r="O94" s="104"/>
      <c r="P94" s="104"/>
      <c r="Q94" s="104"/>
      <c r="R94" s="104"/>
      <c r="S94" s="104"/>
      <c r="T94" s="104"/>
      <c r="U94" s="30"/>
      <c r="V94" s="30"/>
      <c r="W94" s="30"/>
      <c r="X94" s="30"/>
      <c r="Y94" s="30"/>
      <c r="Z94" s="30"/>
    </row>
    <row r="95" ht="14.25" customHeight="1">
      <c r="A95" s="30"/>
      <c r="B95" s="30"/>
      <c r="C95" s="104"/>
      <c r="D95" s="59"/>
      <c r="E95" s="59"/>
      <c r="F95" s="59"/>
      <c r="G95" s="161"/>
      <c r="H95" s="59"/>
      <c r="I95" s="104"/>
      <c r="J95" s="104"/>
      <c r="K95" s="104"/>
      <c r="L95" s="104"/>
      <c r="M95" s="104"/>
      <c r="N95" s="104"/>
      <c r="O95" s="104"/>
      <c r="P95" s="104"/>
      <c r="Q95" s="104"/>
      <c r="R95" s="104"/>
      <c r="S95" s="104"/>
      <c r="T95" s="104"/>
      <c r="U95" s="30"/>
      <c r="V95" s="30"/>
      <c r="W95" s="30"/>
      <c r="X95" s="30"/>
      <c r="Y95" s="30"/>
      <c r="Z95" s="30"/>
    </row>
    <row r="96" ht="14.25" customHeight="1">
      <c r="A96" s="30"/>
      <c r="B96" s="30"/>
      <c r="C96" s="104"/>
      <c r="D96" s="59"/>
      <c r="E96" s="59"/>
      <c r="F96" s="59"/>
      <c r="G96" s="161"/>
      <c r="H96" s="59"/>
      <c r="I96" s="104"/>
      <c r="J96" s="104"/>
      <c r="K96" s="104"/>
      <c r="L96" s="104"/>
      <c r="M96" s="104"/>
      <c r="N96" s="104"/>
      <c r="O96" s="104"/>
      <c r="P96" s="104"/>
      <c r="Q96" s="104"/>
      <c r="R96" s="104"/>
      <c r="S96" s="104"/>
      <c r="T96" s="104"/>
      <c r="U96" s="30"/>
      <c r="V96" s="30"/>
      <c r="W96" s="30"/>
      <c r="X96" s="30"/>
      <c r="Y96" s="30"/>
      <c r="Z96" s="30"/>
    </row>
    <row r="97" ht="14.25" customHeight="1">
      <c r="A97" s="30"/>
      <c r="B97" s="30"/>
      <c r="C97" s="104"/>
      <c r="D97" s="59"/>
      <c r="E97" s="59"/>
      <c r="F97" s="59"/>
      <c r="G97" s="161"/>
      <c r="H97" s="59"/>
      <c r="I97" s="104"/>
      <c r="J97" s="104"/>
      <c r="K97" s="104"/>
      <c r="L97" s="104"/>
      <c r="M97" s="104"/>
      <c r="N97" s="104"/>
      <c r="O97" s="104"/>
      <c r="P97" s="104"/>
      <c r="Q97" s="104"/>
      <c r="R97" s="104"/>
      <c r="S97" s="104"/>
      <c r="T97" s="104"/>
      <c r="U97" s="30"/>
      <c r="V97" s="30"/>
      <c r="W97" s="30"/>
      <c r="X97" s="30"/>
      <c r="Y97" s="30"/>
      <c r="Z97" s="30"/>
    </row>
    <row r="98" ht="14.25" customHeight="1">
      <c r="A98" s="30"/>
      <c r="B98" s="30"/>
      <c r="C98" s="104"/>
      <c r="D98" s="59"/>
      <c r="E98" s="59"/>
      <c r="F98" s="59"/>
      <c r="G98" s="161"/>
      <c r="H98" s="59"/>
      <c r="I98" s="104"/>
      <c r="J98" s="104"/>
      <c r="K98" s="104"/>
      <c r="L98" s="104"/>
      <c r="M98" s="104"/>
      <c r="N98" s="104"/>
      <c r="O98" s="104"/>
      <c r="P98" s="104"/>
      <c r="Q98" s="104"/>
      <c r="R98" s="104"/>
      <c r="S98" s="104"/>
      <c r="T98" s="104"/>
      <c r="U98" s="30"/>
      <c r="V98" s="30"/>
      <c r="W98" s="30"/>
      <c r="X98" s="30"/>
      <c r="Y98" s="30"/>
      <c r="Z98" s="30"/>
    </row>
    <row r="99" ht="14.25" customHeight="1">
      <c r="A99" s="30"/>
      <c r="B99" s="30"/>
      <c r="C99" s="104"/>
      <c r="D99" s="59"/>
      <c r="E99" s="59"/>
      <c r="F99" s="59"/>
      <c r="G99" s="161"/>
      <c r="H99" s="59"/>
      <c r="I99" s="104"/>
      <c r="J99" s="104"/>
      <c r="K99" s="104"/>
      <c r="L99" s="104"/>
      <c r="M99" s="104"/>
      <c r="N99" s="104"/>
      <c r="O99" s="104"/>
      <c r="P99" s="104"/>
      <c r="Q99" s="104"/>
      <c r="R99" s="104"/>
      <c r="S99" s="104"/>
      <c r="T99" s="104"/>
      <c r="U99" s="30"/>
      <c r="V99" s="30"/>
      <c r="W99" s="30"/>
      <c r="X99" s="30"/>
      <c r="Y99" s="30"/>
      <c r="Z99" s="30"/>
    </row>
    <row r="100" ht="14.25" customHeight="1">
      <c r="A100" s="30"/>
      <c r="B100" s="30"/>
      <c r="C100" s="104"/>
      <c r="D100" s="59"/>
      <c r="E100" s="59"/>
      <c r="F100" s="59"/>
      <c r="G100" s="161"/>
      <c r="H100" s="59"/>
      <c r="I100" s="104"/>
      <c r="J100" s="104"/>
      <c r="K100" s="104"/>
      <c r="L100" s="104"/>
      <c r="M100" s="104"/>
      <c r="N100" s="104"/>
      <c r="O100" s="104"/>
      <c r="P100" s="104"/>
      <c r="Q100" s="104"/>
      <c r="R100" s="104"/>
      <c r="S100" s="104"/>
      <c r="T100" s="104"/>
      <c r="U100" s="30"/>
      <c r="V100" s="30"/>
      <c r="W100" s="30"/>
      <c r="X100" s="30"/>
      <c r="Y100" s="30"/>
      <c r="Z100" s="30"/>
    </row>
    <row r="101" ht="14.25" customHeight="1">
      <c r="A101" s="30"/>
      <c r="B101" s="30"/>
      <c r="C101" s="104"/>
      <c r="D101" s="59"/>
      <c r="E101" s="59"/>
      <c r="F101" s="59"/>
      <c r="G101" s="161"/>
      <c r="H101" s="59"/>
      <c r="I101" s="104"/>
      <c r="J101" s="104"/>
      <c r="K101" s="104"/>
      <c r="L101" s="104"/>
      <c r="M101" s="104"/>
      <c r="N101" s="104"/>
      <c r="O101" s="104"/>
      <c r="P101" s="104"/>
      <c r="Q101" s="104"/>
      <c r="R101" s="104"/>
      <c r="S101" s="104"/>
      <c r="T101" s="104"/>
      <c r="U101" s="30"/>
      <c r="V101" s="30"/>
      <c r="W101" s="30"/>
      <c r="X101" s="30"/>
      <c r="Y101" s="30"/>
      <c r="Z101" s="30"/>
    </row>
    <row r="102" ht="14.25" customHeight="1">
      <c r="A102" s="30"/>
      <c r="B102" s="30"/>
      <c r="C102" s="104"/>
      <c r="D102" s="59"/>
      <c r="E102" s="59"/>
      <c r="F102" s="59"/>
      <c r="G102" s="161"/>
      <c r="H102" s="59"/>
      <c r="I102" s="104"/>
      <c r="J102" s="104"/>
      <c r="K102" s="104"/>
      <c r="L102" s="104"/>
      <c r="M102" s="104"/>
      <c r="N102" s="104"/>
      <c r="O102" s="104"/>
      <c r="P102" s="104"/>
      <c r="Q102" s="104"/>
      <c r="R102" s="104"/>
      <c r="S102" s="104"/>
      <c r="T102" s="104"/>
      <c r="U102" s="30"/>
      <c r="V102" s="30"/>
      <c r="W102" s="30"/>
      <c r="X102" s="30"/>
      <c r="Y102" s="30"/>
      <c r="Z102" s="30"/>
    </row>
    <row r="103" ht="14.25" customHeight="1">
      <c r="A103" s="30"/>
      <c r="B103" s="30"/>
      <c r="C103" s="104"/>
      <c r="D103" s="59"/>
      <c r="E103" s="59"/>
      <c r="F103" s="59"/>
      <c r="G103" s="161"/>
      <c r="H103" s="59"/>
      <c r="I103" s="104"/>
      <c r="J103" s="104"/>
      <c r="K103" s="104"/>
      <c r="L103" s="104"/>
      <c r="M103" s="104"/>
      <c r="N103" s="104"/>
      <c r="O103" s="104"/>
      <c r="P103" s="104"/>
      <c r="Q103" s="104"/>
      <c r="R103" s="104"/>
      <c r="S103" s="104"/>
      <c r="T103" s="104"/>
      <c r="U103" s="30"/>
      <c r="V103" s="30"/>
      <c r="W103" s="30"/>
      <c r="X103" s="30"/>
      <c r="Y103" s="30"/>
      <c r="Z103" s="30"/>
    </row>
    <row r="104" ht="14.25" customHeight="1">
      <c r="A104" s="30"/>
      <c r="B104" s="30"/>
      <c r="C104" s="104"/>
      <c r="D104" s="59"/>
      <c r="E104" s="59"/>
      <c r="F104" s="59"/>
      <c r="G104" s="161"/>
      <c r="H104" s="59"/>
      <c r="I104" s="104"/>
      <c r="J104" s="104"/>
      <c r="K104" s="104"/>
      <c r="L104" s="104"/>
      <c r="M104" s="104"/>
      <c r="N104" s="104"/>
      <c r="O104" s="104"/>
      <c r="P104" s="104"/>
      <c r="Q104" s="104"/>
      <c r="R104" s="104"/>
      <c r="S104" s="104"/>
      <c r="T104" s="104"/>
      <c r="U104" s="30"/>
      <c r="V104" s="30"/>
      <c r="W104" s="30"/>
      <c r="X104" s="30"/>
      <c r="Y104" s="30"/>
      <c r="Z104" s="30"/>
    </row>
    <row r="105" ht="14.25" customHeight="1">
      <c r="A105" s="30"/>
      <c r="B105" s="30"/>
      <c r="C105" s="104"/>
      <c r="D105" s="59"/>
      <c r="E105" s="59"/>
      <c r="F105" s="59"/>
      <c r="G105" s="161"/>
      <c r="H105" s="59"/>
      <c r="I105" s="104"/>
      <c r="J105" s="104"/>
      <c r="K105" s="104"/>
      <c r="L105" s="104"/>
      <c r="M105" s="104"/>
      <c r="N105" s="104"/>
      <c r="O105" s="104"/>
      <c r="P105" s="104"/>
      <c r="Q105" s="104"/>
      <c r="R105" s="104"/>
      <c r="S105" s="104"/>
      <c r="T105" s="104"/>
      <c r="U105" s="30"/>
      <c r="V105" s="30"/>
      <c r="W105" s="30"/>
      <c r="X105" s="30"/>
      <c r="Y105" s="30"/>
      <c r="Z105" s="30"/>
    </row>
    <row r="106" ht="14.25" customHeight="1">
      <c r="A106" s="30"/>
      <c r="B106" s="30"/>
      <c r="C106" s="104"/>
      <c r="D106" s="59"/>
      <c r="E106" s="59"/>
      <c r="F106" s="59"/>
      <c r="G106" s="161"/>
      <c r="H106" s="59"/>
      <c r="I106" s="104"/>
      <c r="J106" s="104"/>
      <c r="K106" s="104"/>
      <c r="L106" s="104"/>
      <c r="M106" s="104"/>
      <c r="N106" s="104"/>
      <c r="O106" s="104"/>
      <c r="P106" s="104"/>
      <c r="Q106" s="104"/>
      <c r="R106" s="104"/>
      <c r="S106" s="104"/>
      <c r="T106" s="104"/>
      <c r="U106" s="30"/>
      <c r="V106" s="30"/>
      <c r="W106" s="30"/>
      <c r="X106" s="30"/>
      <c r="Y106" s="30"/>
      <c r="Z106" s="30"/>
    </row>
    <row r="107" ht="14.25" customHeight="1">
      <c r="A107" s="30"/>
      <c r="B107" s="30"/>
      <c r="C107" s="104"/>
      <c r="D107" s="59"/>
      <c r="E107" s="59"/>
      <c r="F107" s="59"/>
      <c r="G107" s="161"/>
      <c r="H107" s="59"/>
      <c r="I107" s="104"/>
      <c r="J107" s="104"/>
      <c r="K107" s="104"/>
      <c r="L107" s="104"/>
      <c r="M107" s="104"/>
      <c r="N107" s="104"/>
      <c r="O107" s="104"/>
      <c r="P107" s="104"/>
      <c r="Q107" s="104"/>
      <c r="R107" s="104"/>
      <c r="S107" s="104"/>
      <c r="T107" s="104"/>
      <c r="U107" s="30"/>
      <c r="V107" s="30"/>
      <c r="W107" s="30"/>
      <c r="X107" s="30"/>
      <c r="Y107" s="30"/>
      <c r="Z107" s="30"/>
    </row>
    <row r="108" ht="14.25" customHeight="1">
      <c r="A108" s="30"/>
      <c r="B108" s="30"/>
      <c r="C108" s="104"/>
      <c r="D108" s="59"/>
      <c r="E108" s="59"/>
      <c r="F108" s="59"/>
      <c r="G108" s="161"/>
      <c r="H108" s="59"/>
      <c r="I108" s="104"/>
      <c r="J108" s="104"/>
      <c r="K108" s="104"/>
      <c r="L108" s="104"/>
      <c r="M108" s="104"/>
      <c r="N108" s="104"/>
      <c r="O108" s="104"/>
      <c r="P108" s="104"/>
      <c r="Q108" s="104"/>
      <c r="R108" s="104"/>
      <c r="S108" s="104"/>
      <c r="T108" s="104"/>
      <c r="U108" s="30"/>
      <c r="V108" s="30"/>
      <c r="W108" s="30"/>
      <c r="X108" s="30"/>
      <c r="Y108" s="30"/>
      <c r="Z108" s="30"/>
    </row>
    <row r="109" ht="14.25" customHeight="1">
      <c r="A109" s="30"/>
      <c r="B109" s="30"/>
      <c r="C109" s="104"/>
      <c r="D109" s="59"/>
      <c r="E109" s="59"/>
      <c r="F109" s="59"/>
      <c r="G109" s="161"/>
      <c r="H109" s="59"/>
      <c r="I109" s="104"/>
      <c r="J109" s="104"/>
      <c r="K109" s="104"/>
      <c r="L109" s="104"/>
      <c r="M109" s="104"/>
      <c r="N109" s="104"/>
      <c r="O109" s="104"/>
      <c r="P109" s="104"/>
      <c r="Q109" s="104"/>
      <c r="R109" s="104"/>
      <c r="S109" s="104"/>
      <c r="T109" s="104"/>
      <c r="U109" s="30"/>
      <c r="V109" s="30"/>
      <c r="W109" s="30"/>
      <c r="X109" s="30"/>
      <c r="Y109" s="30"/>
      <c r="Z109" s="30"/>
    </row>
    <row r="110" ht="14.25" customHeight="1">
      <c r="A110" s="30"/>
      <c r="B110" s="30"/>
      <c r="C110" s="104"/>
      <c r="D110" s="59"/>
      <c r="E110" s="59"/>
      <c r="F110" s="59"/>
      <c r="G110" s="161"/>
      <c r="H110" s="59"/>
      <c r="I110" s="104"/>
      <c r="J110" s="104"/>
      <c r="K110" s="104"/>
      <c r="L110" s="104"/>
      <c r="M110" s="104"/>
      <c r="N110" s="104"/>
      <c r="O110" s="104"/>
      <c r="P110" s="104"/>
      <c r="Q110" s="104"/>
      <c r="R110" s="104"/>
      <c r="S110" s="104"/>
      <c r="T110" s="104"/>
      <c r="U110" s="30"/>
      <c r="V110" s="30"/>
      <c r="W110" s="30"/>
      <c r="X110" s="30"/>
      <c r="Y110" s="30"/>
      <c r="Z110" s="30"/>
    </row>
    <row r="111" ht="14.25" customHeight="1">
      <c r="A111" s="30"/>
      <c r="B111" s="30"/>
      <c r="C111" s="104"/>
      <c r="D111" s="59"/>
      <c r="E111" s="59"/>
      <c r="F111" s="59"/>
      <c r="G111" s="161"/>
      <c r="H111" s="59"/>
      <c r="I111" s="104"/>
      <c r="J111" s="104"/>
      <c r="K111" s="104"/>
      <c r="L111" s="104"/>
      <c r="M111" s="104"/>
      <c r="N111" s="104"/>
      <c r="O111" s="104"/>
      <c r="P111" s="104"/>
      <c r="Q111" s="104"/>
      <c r="R111" s="104"/>
      <c r="S111" s="104"/>
      <c r="T111" s="104"/>
      <c r="U111" s="30"/>
      <c r="V111" s="30"/>
      <c r="W111" s="30"/>
      <c r="X111" s="30"/>
      <c r="Y111" s="30"/>
      <c r="Z111" s="30"/>
    </row>
    <row r="112" ht="14.25" customHeight="1">
      <c r="A112" s="30"/>
      <c r="B112" s="30"/>
      <c r="C112" s="104"/>
      <c r="D112" s="59"/>
      <c r="E112" s="59"/>
      <c r="F112" s="59"/>
      <c r="G112" s="161"/>
      <c r="H112" s="59"/>
      <c r="I112" s="104"/>
      <c r="J112" s="104"/>
      <c r="K112" s="104"/>
      <c r="L112" s="104"/>
      <c r="M112" s="104"/>
      <c r="N112" s="104"/>
      <c r="O112" s="104"/>
      <c r="P112" s="104"/>
      <c r="Q112" s="104"/>
      <c r="R112" s="104"/>
      <c r="S112" s="104"/>
      <c r="T112" s="104"/>
      <c r="U112" s="30"/>
      <c r="V112" s="30"/>
      <c r="W112" s="30"/>
      <c r="X112" s="30"/>
      <c r="Y112" s="30"/>
      <c r="Z112" s="30"/>
    </row>
    <row r="113" ht="14.25" customHeight="1">
      <c r="A113" s="30"/>
      <c r="B113" s="30"/>
      <c r="C113" s="104"/>
      <c r="D113" s="59"/>
      <c r="E113" s="59"/>
      <c r="F113" s="59"/>
      <c r="G113" s="161"/>
      <c r="H113" s="59"/>
      <c r="I113" s="104"/>
      <c r="J113" s="104"/>
      <c r="K113" s="104"/>
      <c r="L113" s="104"/>
      <c r="M113" s="104"/>
      <c r="N113" s="104"/>
      <c r="O113" s="104"/>
      <c r="P113" s="104"/>
      <c r="Q113" s="104"/>
      <c r="R113" s="104"/>
      <c r="S113" s="104"/>
      <c r="T113" s="104"/>
      <c r="U113" s="30"/>
      <c r="V113" s="30"/>
      <c r="W113" s="30"/>
      <c r="X113" s="30"/>
      <c r="Y113" s="30"/>
      <c r="Z113" s="30"/>
    </row>
    <row r="114" ht="14.25" customHeight="1">
      <c r="A114" s="30"/>
      <c r="B114" s="30"/>
      <c r="C114" s="104"/>
      <c r="D114" s="59"/>
      <c r="E114" s="59"/>
      <c r="F114" s="59"/>
      <c r="G114" s="161"/>
      <c r="H114" s="59"/>
      <c r="I114" s="104"/>
      <c r="J114" s="104"/>
      <c r="K114" s="104"/>
      <c r="L114" s="104"/>
      <c r="M114" s="104"/>
      <c r="N114" s="104"/>
      <c r="O114" s="104"/>
      <c r="P114" s="104"/>
      <c r="Q114" s="104"/>
      <c r="R114" s="104"/>
      <c r="S114" s="104"/>
      <c r="T114" s="104"/>
      <c r="U114" s="30"/>
      <c r="V114" s="30"/>
      <c r="W114" s="30"/>
      <c r="X114" s="30"/>
      <c r="Y114" s="30"/>
      <c r="Z114" s="30"/>
    </row>
    <row r="115" ht="14.25" customHeight="1">
      <c r="A115" s="30"/>
      <c r="B115" s="30"/>
      <c r="C115" s="104"/>
      <c r="D115" s="59"/>
      <c r="E115" s="59"/>
      <c r="F115" s="59"/>
      <c r="G115" s="161"/>
      <c r="H115" s="59"/>
      <c r="I115" s="104"/>
      <c r="J115" s="104"/>
      <c r="K115" s="104"/>
      <c r="L115" s="104"/>
      <c r="M115" s="104"/>
      <c r="N115" s="104"/>
      <c r="O115" s="104"/>
      <c r="P115" s="104"/>
      <c r="Q115" s="104"/>
      <c r="R115" s="104"/>
      <c r="S115" s="104"/>
      <c r="T115" s="104"/>
      <c r="U115" s="30"/>
      <c r="V115" s="30"/>
      <c r="W115" s="30"/>
      <c r="X115" s="30"/>
      <c r="Y115" s="30"/>
      <c r="Z115" s="30"/>
    </row>
    <row r="116" ht="14.25" customHeight="1">
      <c r="A116" s="30"/>
      <c r="B116" s="30"/>
      <c r="C116" s="104"/>
      <c r="D116" s="59"/>
      <c r="E116" s="59"/>
      <c r="F116" s="59"/>
      <c r="G116" s="161"/>
      <c r="H116" s="59"/>
      <c r="I116" s="104"/>
      <c r="J116" s="104"/>
      <c r="K116" s="104"/>
      <c r="L116" s="104"/>
      <c r="M116" s="104"/>
      <c r="N116" s="104"/>
      <c r="O116" s="104"/>
      <c r="P116" s="104"/>
      <c r="Q116" s="104"/>
      <c r="R116" s="104"/>
      <c r="S116" s="104"/>
      <c r="T116" s="104"/>
      <c r="U116" s="30"/>
      <c r="V116" s="30"/>
      <c r="W116" s="30"/>
      <c r="X116" s="30"/>
      <c r="Y116" s="30"/>
      <c r="Z116" s="30"/>
    </row>
    <row r="117" ht="14.25" customHeight="1">
      <c r="A117" s="30"/>
      <c r="B117" s="30"/>
      <c r="C117" s="104"/>
      <c r="D117" s="59"/>
      <c r="E117" s="59"/>
      <c r="F117" s="59"/>
      <c r="G117" s="161"/>
      <c r="H117" s="59"/>
      <c r="I117" s="104"/>
      <c r="J117" s="104"/>
      <c r="K117" s="104"/>
      <c r="L117" s="104"/>
      <c r="M117" s="104"/>
      <c r="N117" s="104"/>
      <c r="O117" s="104"/>
      <c r="P117" s="104"/>
      <c r="Q117" s="104"/>
      <c r="R117" s="104"/>
      <c r="S117" s="104"/>
      <c r="T117" s="104"/>
      <c r="U117" s="30"/>
      <c r="V117" s="30"/>
      <c r="W117" s="30"/>
      <c r="X117" s="30"/>
      <c r="Y117" s="30"/>
      <c r="Z117" s="30"/>
    </row>
    <row r="118" ht="14.25" customHeight="1">
      <c r="A118" s="30"/>
      <c r="B118" s="30"/>
      <c r="C118" s="104"/>
      <c r="D118" s="59"/>
      <c r="E118" s="59"/>
      <c r="F118" s="59"/>
      <c r="G118" s="161"/>
      <c r="H118" s="59"/>
      <c r="I118" s="104"/>
      <c r="J118" s="104"/>
      <c r="K118" s="104"/>
      <c r="L118" s="104"/>
      <c r="M118" s="104"/>
      <c r="N118" s="104"/>
      <c r="O118" s="104"/>
      <c r="P118" s="104"/>
      <c r="Q118" s="104"/>
      <c r="R118" s="104"/>
      <c r="S118" s="104"/>
      <c r="T118" s="104"/>
      <c r="U118" s="30"/>
      <c r="V118" s="30"/>
      <c r="W118" s="30"/>
      <c r="X118" s="30"/>
      <c r="Y118" s="30"/>
      <c r="Z118" s="30"/>
    </row>
    <row r="119" ht="14.25" customHeight="1">
      <c r="A119" s="30"/>
      <c r="B119" s="30"/>
      <c r="C119" s="104"/>
      <c r="D119" s="59"/>
      <c r="E119" s="59"/>
      <c r="F119" s="59"/>
      <c r="G119" s="161"/>
      <c r="H119" s="59"/>
      <c r="I119" s="104"/>
      <c r="J119" s="104"/>
      <c r="K119" s="104"/>
      <c r="L119" s="104"/>
      <c r="M119" s="104"/>
      <c r="N119" s="104"/>
      <c r="O119" s="104"/>
      <c r="P119" s="104"/>
      <c r="Q119" s="104"/>
      <c r="R119" s="104"/>
      <c r="S119" s="104"/>
      <c r="T119" s="104"/>
      <c r="U119" s="30"/>
      <c r="V119" s="30"/>
      <c r="W119" s="30"/>
      <c r="X119" s="30"/>
      <c r="Y119" s="30"/>
      <c r="Z119" s="30"/>
    </row>
    <row r="120" ht="14.25" customHeight="1">
      <c r="A120" s="30"/>
      <c r="B120" s="30"/>
      <c r="C120" s="104"/>
      <c r="D120" s="59"/>
      <c r="E120" s="59"/>
      <c r="F120" s="59"/>
      <c r="G120" s="161"/>
      <c r="H120" s="59"/>
      <c r="I120" s="104"/>
      <c r="J120" s="104"/>
      <c r="K120" s="104"/>
      <c r="L120" s="104"/>
      <c r="M120" s="104"/>
      <c r="N120" s="104"/>
      <c r="O120" s="104"/>
      <c r="P120" s="104"/>
      <c r="Q120" s="104"/>
      <c r="R120" s="104"/>
      <c r="S120" s="104"/>
      <c r="T120" s="104"/>
      <c r="U120" s="30"/>
      <c r="V120" s="30"/>
      <c r="W120" s="30"/>
      <c r="X120" s="30"/>
      <c r="Y120" s="30"/>
      <c r="Z120" s="30"/>
    </row>
    <row r="121" ht="14.25" customHeight="1">
      <c r="A121" s="30"/>
      <c r="B121" s="30"/>
      <c r="C121" s="104"/>
      <c r="D121" s="59"/>
      <c r="E121" s="59"/>
      <c r="F121" s="59"/>
      <c r="G121" s="161"/>
      <c r="H121" s="59"/>
      <c r="I121" s="104"/>
      <c r="J121" s="104"/>
      <c r="K121" s="104"/>
      <c r="L121" s="104"/>
      <c r="M121" s="104"/>
      <c r="N121" s="104"/>
      <c r="O121" s="104"/>
      <c r="P121" s="104"/>
      <c r="Q121" s="104"/>
      <c r="R121" s="104"/>
      <c r="S121" s="104"/>
      <c r="T121" s="104"/>
      <c r="U121" s="30"/>
      <c r="V121" s="30"/>
      <c r="W121" s="30"/>
      <c r="X121" s="30"/>
      <c r="Y121" s="30"/>
      <c r="Z121" s="30"/>
    </row>
    <row r="122" ht="14.25" customHeight="1">
      <c r="A122" s="30"/>
      <c r="B122" s="30"/>
      <c r="C122" s="104"/>
      <c r="D122" s="59"/>
      <c r="E122" s="59"/>
      <c r="F122" s="59"/>
      <c r="G122" s="161"/>
      <c r="H122" s="59"/>
      <c r="I122" s="104"/>
      <c r="J122" s="104"/>
      <c r="K122" s="104"/>
      <c r="L122" s="104"/>
      <c r="M122" s="104"/>
      <c r="N122" s="104"/>
      <c r="O122" s="104"/>
      <c r="P122" s="104"/>
      <c r="Q122" s="104"/>
      <c r="R122" s="104"/>
      <c r="S122" s="104"/>
      <c r="T122" s="104"/>
      <c r="U122" s="30"/>
      <c r="V122" s="30"/>
      <c r="W122" s="30"/>
      <c r="X122" s="30"/>
      <c r="Y122" s="30"/>
      <c r="Z122" s="30"/>
    </row>
    <row r="123" ht="14.25" customHeight="1">
      <c r="A123" s="30"/>
      <c r="B123" s="30"/>
      <c r="C123" s="104"/>
      <c r="D123" s="59"/>
      <c r="E123" s="59"/>
      <c r="F123" s="59"/>
      <c r="G123" s="161"/>
      <c r="H123" s="59"/>
      <c r="I123" s="104"/>
      <c r="J123" s="104"/>
      <c r="K123" s="104"/>
      <c r="L123" s="104"/>
      <c r="M123" s="104"/>
      <c r="N123" s="104"/>
      <c r="O123" s="104"/>
      <c r="P123" s="104"/>
      <c r="Q123" s="104"/>
      <c r="R123" s="104"/>
      <c r="S123" s="104"/>
      <c r="T123" s="104"/>
      <c r="U123" s="30"/>
      <c r="V123" s="30"/>
      <c r="W123" s="30"/>
      <c r="X123" s="30"/>
      <c r="Y123" s="30"/>
      <c r="Z123" s="30"/>
    </row>
    <row r="124" ht="14.25" customHeight="1">
      <c r="A124" s="30"/>
      <c r="B124" s="30"/>
      <c r="C124" s="104"/>
      <c r="D124" s="59"/>
      <c r="E124" s="59"/>
      <c r="F124" s="59"/>
      <c r="G124" s="161"/>
      <c r="H124" s="59"/>
      <c r="I124" s="104"/>
      <c r="J124" s="104"/>
      <c r="K124" s="104"/>
      <c r="L124" s="104"/>
      <c r="M124" s="104"/>
      <c r="N124" s="104"/>
      <c r="O124" s="104"/>
      <c r="P124" s="104"/>
      <c r="Q124" s="104"/>
      <c r="R124" s="104"/>
      <c r="S124" s="104"/>
      <c r="T124" s="104"/>
      <c r="U124" s="30"/>
      <c r="V124" s="30"/>
      <c r="W124" s="30"/>
      <c r="X124" s="30"/>
      <c r="Y124" s="30"/>
      <c r="Z124" s="30"/>
    </row>
    <row r="125" ht="14.25" customHeight="1">
      <c r="A125" s="30"/>
      <c r="B125" s="30"/>
      <c r="C125" s="104"/>
      <c r="D125" s="59"/>
      <c r="E125" s="59"/>
      <c r="F125" s="59"/>
      <c r="G125" s="161"/>
      <c r="H125" s="59"/>
      <c r="I125" s="104"/>
      <c r="J125" s="104"/>
      <c r="K125" s="104"/>
      <c r="L125" s="104"/>
      <c r="M125" s="104"/>
      <c r="N125" s="104"/>
      <c r="O125" s="104"/>
      <c r="P125" s="104"/>
      <c r="Q125" s="104"/>
      <c r="R125" s="104"/>
      <c r="S125" s="104"/>
      <c r="T125" s="104"/>
      <c r="U125" s="30"/>
      <c r="V125" s="30"/>
      <c r="W125" s="30"/>
      <c r="X125" s="30"/>
      <c r="Y125" s="30"/>
      <c r="Z125" s="30"/>
    </row>
    <row r="126" ht="14.25" customHeight="1">
      <c r="A126" s="30"/>
      <c r="B126" s="30"/>
      <c r="C126" s="104"/>
      <c r="D126" s="59"/>
      <c r="E126" s="59"/>
      <c r="F126" s="59"/>
      <c r="G126" s="161"/>
      <c r="H126" s="59"/>
      <c r="I126" s="104"/>
      <c r="J126" s="104"/>
      <c r="K126" s="104"/>
      <c r="L126" s="104"/>
      <c r="M126" s="104"/>
      <c r="N126" s="104"/>
      <c r="O126" s="104"/>
      <c r="P126" s="104"/>
      <c r="Q126" s="104"/>
      <c r="R126" s="104"/>
      <c r="S126" s="104"/>
      <c r="T126" s="104"/>
      <c r="U126" s="30"/>
      <c r="V126" s="30"/>
      <c r="W126" s="30"/>
      <c r="X126" s="30"/>
      <c r="Y126" s="30"/>
      <c r="Z126" s="30"/>
    </row>
    <row r="127" ht="14.25" customHeight="1">
      <c r="A127" s="30"/>
      <c r="B127" s="30"/>
      <c r="C127" s="104"/>
      <c r="D127" s="59"/>
      <c r="E127" s="59"/>
      <c r="F127" s="59"/>
      <c r="G127" s="161"/>
      <c r="H127" s="59"/>
      <c r="I127" s="104"/>
      <c r="J127" s="104"/>
      <c r="K127" s="104"/>
      <c r="L127" s="104"/>
      <c r="M127" s="104"/>
      <c r="N127" s="104"/>
      <c r="O127" s="104"/>
      <c r="P127" s="104"/>
      <c r="Q127" s="104"/>
      <c r="R127" s="104"/>
      <c r="S127" s="104"/>
      <c r="T127" s="104"/>
      <c r="U127" s="30"/>
      <c r="V127" s="30"/>
      <c r="W127" s="30"/>
      <c r="X127" s="30"/>
      <c r="Y127" s="30"/>
      <c r="Z127" s="30"/>
    </row>
    <row r="128" ht="14.25" customHeight="1">
      <c r="A128" s="30"/>
      <c r="B128" s="30"/>
      <c r="C128" s="104"/>
      <c r="D128" s="59"/>
      <c r="E128" s="59"/>
      <c r="F128" s="59"/>
      <c r="G128" s="161"/>
      <c r="H128" s="59"/>
      <c r="I128" s="104"/>
      <c r="J128" s="104"/>
      <c r="K128" s="104"/>
      <c r="L128" s="104"/>
      <c r="M128" s="104"/>
      <c r="N128" s="104"/>
      <c r="O128" s="104"/>
      <c r="P128" s="104"/>
      <c r="Q128" s="104"/>
      <c r="R128" s="104"/>
      <c r="S128" s="104"/>
      <c r="T128" s="104"/>
      <c r="U128" s="30"/>
      <c r="V128" s="30"/>
      <c r="W128" s="30"/>
      <c r="X128" s="30"/>
      <c r="Y128" s="30"/>
      <c r="Z128" s="30"/>
    </row>
    <row r="129" ht="14.25" customHeight="1">
      <c r="A129" s="30"/>
      <c r="B129" s="30"/>
      <c r="C129" s="104"/>
      <c r="D129" s="59"/>
      <c r="E129" s="59"/>
      <c r="F129" s="59"/>
      <c r="G129" s="161"/>
      <c r="H129" s="59"/>
      <c r="I129" s="104"/>
      <c r="J129" s="104"/>
      <c r="K129" s="104"/>
      <c r="L129" s="104"/>
      <c r="M129" s="104"/>
      <c r="N129" s="104"/>
      <c r="O129" s="104"/>
      <c r="P129" s="104"/>
      <c r="Q129" s="104"/>
      <c r="R129" s="104"/>
      <c r="S129" s="104"/>
      <c r="T129" s="104"/>
      <c r="U129" s="30"/>
      <c r="V129" s="30"/>
      <c r="W129" s="30"/>
      <c r="X129" s="30"/>
      <c r="Y129" s="30"/>
      <c r="Z129" s="30"/>
    </row>
    <row r="130" ht="14.25" customHeight="1">
      <c r="A130" s="30"/>
      <c r="B130" s="30"/>
      <c r="C130" s="104"/>
      <c r="D130" s="59"/>
      <c r="E130" s="59"/>
      <c r="F130" s="59"/>
      <c r="G130" s="161"/>
      <c r="H130" s="59"/>
      <c r="I130" s="104"/>
      <c r="J130" s="104"/>
      <c r="K130" s="104"/>
      <c r="L130" s="104"/>
      <c r="M130" s="104"/>
      <c r="N130" s="104"/>
      <c r="O130" s="104"/>
      <c r="P130" s="104"/>
      <c r="Q130" s="104"/>
      <c r="R130" s="104"/>
      <c r="S130" s="104"/>
      <c r="T130" s="104"/>
      <c r="U130" s="30"/>
      <c r="V130" s="30"/>
      <c r="W130" s="30"/>
      <c r="X130" s="30"/>
      <c r="Y130" s="30"/>
      <c r="Z130" s="30"/>
    </row>
    <row r="131" ht="14.25" customHeight="1">
      <c r="A131" s="30"/>
      <c r="B131" s="30"/>
      <c r="C131" s="104"/>
      <c r="D131" s="59"/>
      <c r="E131" s="59"/>
      <c r="F131" s="59"/>
      <c r="G131" s="161"/>
      <c r="H131" s="59"/>
      <c r="I131" s="104"/>
      <c r="J131" s="104"/>
      <c r="K131" s="104"/>
      <c r="L131" s="104"/>
      <c r="M131" s="104"/>
      <c r="N131" s="104"/>
      <c r="O131" s="104"/>
      <c r="P131" s="104"/>
      <c r="Q131" s="104"/>
      <c r="R131" s="104"/>
      <c r="S131" s="104"/>
      <c r="T131" s="104"/>
      <c r="U131" s="30"/>
      <c r="V131" s="30"/>
      <c r="W131" s="30"/>
      <c r="X131" s="30"/>
      <c r="Y131" s="30"/>
      <c r="Z131" s="30"/>
    </row>
    <row r="132" ht="14.25" customHeight="1">
      <c r="A132" s="30"/>
      <c r="B132" s="30"/>
      <c r="C132" s="104"/>
      <c r="D132" s="59"/>
      <c r="E132" s="59"/>
      <c r="F132" s="59"/>
      <c r="G132" s="161"/>
      <c r="H132" s="59"/>
      <c r="I132" s="104"/>
      <c r="J132" s="104"/>
      <c r="K132" s="104"/>
      <c r="L132" s="104"/>
      <c r="M132" s="104"/>
      <c r="N132" s="104"/>
      <c r="O132" s="104"/>
      <c r="P132" s="104"/>
      <c r="Q132" s="104"/>
      <c r="R132" s="104"/>
      <c r="S132" s="104"/>
      <c r="T132" s="104"/>
      <c r="U132" s="30"/>
      <c r="V132" s="30"/>
      <c r="W132" s="30"/>
      <c r="X132" s="30"/>
      <c r="Y132" s="30"/>
      <c r="Z132" s="30"/>
    </row>
    <row r="133" ht="14.25" customHeight="1">
      <c r="A133" s="30"/>
      <c r="B133" s="30"/>
      <c r="C133" s="104"/>
      <c r="D133" s="59"/>
      <c r="E133" s="59"/>
      <c r="F133" s="59"/>
      <c r="G133" s="161"/>
      <c r="H133" s="59"/>
      <c r="I133" s="104"/>
      <c r="J133" s="104"/>
      <c r="K133" s="104"/>
      <c r="L133" s="104"/>
      <c r="M133" s="104"/>
      <c r="N133" s="104"/>
      <c r="O133" s="104"/>
      <c r="P133" s="104"/>
      <c r="Q133" s="104"/>
      <c r="R133" s="104"/>
      <c r="S133" s="104"/>
      <c r="T133" s="104"/>
      <c r="U133" s="30"/>
      <c r="V133" s="30"/>
      <c r="W133" s="30"/>
      <c r="X133" s="30"/>
      <c r="Y133" s="30"/>
      <c r="Z133" s="30"/>
    </row>
    <row r="134" ht="14.25" customHeight="1">
      <c r="A134" s="30"/>
      <c r="B134" s="30"/>
      <c r="C134" s="104"/>
      <c r="D134" s="59"/>
      <c r="E134" s="59"/>
      <c r="F134" s="59"/>
      <c r="G134" s="161"/>
      <c r="H134" s="59"/>
      <c r="I134" s="104"/>
      <c r="J134" s="104"/>
      <c r="K134" s="104"/>
      <c r="L134" s="104"/>
      <c r="M134" s="104"/>
      <c r="N134" s="104"/>
      <c r="O134" s="104"/>
      <c r="P134" s="104"/>
      <c r="Q134" s="104"/>
      <c r="R134" s="104"/>
      <c r="S134" s="104"/>
      <c r="T134" s="104"/>
      <c r="U134" s="30"/>
      <c r="V134" s="30"/>
      <c r="W134" s="30"/>
      <c r="X134" s="30"/>
      <c r="Y134" s="30"/>
      <c r="Z134" s="30"/>
    </row>
    <row r="135" ht="14.25" customHeight="1">
      <c r="A135" s="30"/>
      <c r="B135" s="30"/>
      <c r="C135" s="104"/>
      <c r="D135" s="59"/>
      <c r="E135" s="59"/>
      <c r="F135" s="59"/>
      <c r="G135" s="161"/>
      <c r="H135" s="59"/>
      <c r="I135" s="104"/>
      <c r="J135" s="104"/>
      <c r="K135" s="104"/>
      <c r="L135" s="104"/>
      <c r="M135" s="104"/>
      <c r="N135" s="104"/>
      <c r="O135" s="104"/>
      <c r="P135" s="104"/>
      <c r="Q135" s="104"/>
      <c r="R135" s="104"/>
      <c r="S135" s="104"/>
      <c r="T135" s="104"/>
      <c r="U135" s="30"/>
      <c r="V135" s="30"/>
      <c r="W135" s="30"/>
      <c r="X135" s="30"/>
      <c r="Y135" s="30"/>
      <c r="Z135" s="30"/>
    </row>
    <row r="136" ht="14.25" customHeight="1">
      <c r="A136" s="30"/>
      <c r="B136" s="30"/>
      <c r="C136" s="104"/>
      <c r="D136" s="59"/>
      <c r="E136" s="59"/>
      <c r="F136" s="59"/>
      <c r="G136" s="161"/>
      <c r="H136" s="59"/>
      <c r="I136" s="104"/>
      <c r="J136" s="104"/>
      <c r="K136" s="104"/>
      <c r="L136" s="104"/>
      <c r="M136" s="104"/>
      <c r="N136" s="104"/>
      <c r="O136" s="104"/>
      <c r="P136" s="104"/>
      <c r="Q136" s="104"/>
      <c r="R136" s="104"/>
      <c r="S136" s="104"/>
      <c r="T136" s="104"/>
      <c r="U136" s="30"/>
      <c r="V136" s="30"/>
      <c r="W136" s="30"/>
      <c r="X136" s="30"/>
      <c r="Y136" s="30"/>
      <c r="Z136" s="30"/>
    </row>
    <row r="137" ht="14.25" customHeight="1">
      <c r="A137" s="30"/>
      <c r="B137" s="30"/>
      <c r="C137" s="104"/>
      <c r="D137" s="59"/>
      <c r="E137" s="59"/>
      <c r="F137" s="59"/>
      <c r="G137" s="161"/>
      <c r="H137" s="59"/>
      <c r="I137" s="104"/>
      <c r="J137" s="104"/>
      <c r="K137" s="104"/>
      <c r="L137" s="104"/>
      <c r="M137" s="104"/>
      <c r="N137" s="104"/>
      <c r="O137" s="104"/>
      <c r="P137" s="104"/>
      <c r="Q137" s="104"/>
      <c r="R137" s="104"/>
      <c r="S137" s="104"/>
      <c r="T137" s="104"/>
      <c r="U137" s="30"/>
      <c r="V137" s="30"/>
      <c r="W137" s="30"/>
      <c r="X137" s="30"/>
      <c r="Y137" s="30"/>
      <c r="Z137" s="30"/>
    </row>
    <row r="138" ht="14.25" customHeight="1">
      <c r="A138" s="30"/>
      <c r="B138" s="30"/>
      <c r="C138" s="104"/>
      <c r="D138" s="59"/>
      <c r="E138" s="59"/>
      <c r="F138" s="59"/>
      <c r="G138" s="161"/>
      <c r="H138" s="59"/>
      <c r="I138" s="104"/>
      <c r="J138" s="104"/>
      <c r="K138" s="104"/>
      <c r="L138" s="104"/>
      <c r="M138" s="104"/>
      <c r="N138" s="104"/>
      <c r="O138" s="104"/>
      <c r="P138" s="104"/>
      <c r="Q138" s="104"/>
      <c r="R138" s="104"/>
      <c r="S138" s="104"/>
      <c r="T138" s="104"/>
      <c r="U138" s="30"/>
      <c r="V138" s="30"/>
      <c r="W138" s="30"/>
      <c r="X138" s="30"/>
      <c r="Y138" s="30"/>
      <c r="Z138" s="30"/>
    </row>
    <row r="139" ht="14.25" customHeight="1">
      <c r="A139" s="30"/>
      <c r="B139" s="30"/>
      <c r="C139" s="104"/>
      <c r="D139" s="59"/>
      <c r="E139" s="59"/>
      <c r="F139" s="59"/>
      <c r="G139" s="161"/>
      <c r="H139" s="59"/>
      <c r="I139" s="104"/>
      <c r="J139" s="104"/>
      <c r="K139" s="104"/>
      <c r="L139" s="104"/>
      <c r="M139" s="104"/>
      <c r="N139" s="104"/>
      <c r="O139" s="104"/>
      <c r="P139" s="104"/>
      <c r="Q139" s="104"/>
      <c r="R139" s="104"/>
      <c r="S139" s="104"/>
      <c r="T139" s="104"/>
      <c r="U139" s="30"/>
      <c r="V139" s="30"/>
      <c r="W139" s="30"/>
      <c r="X139" s="30"/>
      <c r="Y139" s="30"/>
      <c r="Z139" s="30"/>
    </row>
    <row r="140" ht="14.25" customHeight="1">
      <c r="A140" s="30"/>
      <c r="B140" s="30"/>
      <c r="C140" s="104"/>
      <c r="D140" s="59"/>
      <c r="E140" s="59"/>
      <c r="F140" s="59"/>
      <c r="G140" s="161"/>
      <c r="H140" s="59"/>
      <c r="I140" s="104"/>
      <c r="J140" s="104"/>
      <c r="K140" s="104"/>
      <c r="L140" s="104"/>
      <c r="M140" s="104"/>
      <c r="N140" s="104"/>
      <c r="O140" s="104"/>
      <c r="P140" s="104"/>
      <c r="Q140" s="104"/>
      <c r="R140" s="104"/>
      <c r="S140" s="104"/>
      <c r="T140" s="104"/>
      <c r="U140" s="30"/>
      <c r="V140" s="30"/>
      <c r="W140" s="30"/>
      <c r="X140" s="30"/>
      <c r="Y140" s="30"/>
      <c r="Z140" s="30"/>
    </row>
    <row r="141" ht="14.25" customHeight="1">
      <c r="A141" s="30"/>
      <c r="B141" s="30"/>
      <c r="C141" s="104"/>
      <c r="D141" s="59"/>
      <c r="E141" s="59"/>
      <c r="F141" s="59"/>
      <c r="G141" s="161"/>
      <c r="H141" s="59"/>
      <c r="I141" s="104"/>
      <c r="J141" s="104"/>
      <c r="K141" s="104"/>
      <c r="L141" s="104"/>
      <c r="M141" s="104"/>
      <c r="N141" s="104"/>
      <c r="O141" s="104"/>
      <c r="P141" s="104"/>
      <c r="Q141" s="104"/>
      <c r="R141" s="104"/>
      <c r="S141" s="104"/>
      <c r="T141" s="104"/>
      <c r="U141" s="30"/>
      <c r="V141" s="30"/>
      <c r="W141" s="30"/>
      <c r="X141" s="30"/>
      <c r="Y141" s="30"/>
      <c r="Z141" s="30"/>
    </row>
    <row r="142" ht="14.25" customHeight="1">
      <c r="A142" s="30"/>
      <c r="B142" s="30"/>
      <c r="C142" s="104"/>
      <c r="D142" s="59"/>
      <c r="E142" s="59"/>
      <c r="F142" s="59"/>
      <c r="G142" s="161"/>
      <c r="H142" s="59"/>
      <c r="I142" s="104"/>
      <c r="J142" s="104"/>
      <c r="K142" s="104"/>
      <c r="L142" s="104"/>
      <c r="M142" s="104"/>
      <c r="N142" s="104"/>
      <c r="O142" s="104"/>
      <c r="P142" s="104"/>
      <c r="Q142" s="104"/>
      <c r="R142" s="104"/>
      <c r="S142" s="104"/>
      <c r="T142" s="104"/>
      <c r="U142" s="30"/>
      <c r="V142" s="30"/>
      <c r="W142" s="30"/>
      <c r="X142" s="30"/>
      <c r="Y142" s="30"/>
      <c r="Z142" s="30"/>
    </row>
    <row r="143" ht="14.25" customHeight="1">
      <c r="A143" s="30"/>
      <c r="B143" s="30"/>
      <c r="C143" s="104"/>
      <c r="D143" s="59"/>
      <c r="E143" s="59"/>
      <c r="F143" s="59"/>
      <c r="G143" s="161"/>
      <c r="H143" s="59"/>
      <c r="I143" s="104"/>
      <c r="J143" s="104"/>
      <c r="K143" s="104"/>
      <c r="L143" s="104"/>
      <c r="M143" s="104"/>
      <c r="N143" s="104"/>
      <c r="O143" s="104"/>
      <c r="P143" s="104"/>
      <c r="Q143" s="104"/>
      <c r="R143" s="104"/>
      <c r="S143" s="104"/>
      <c r="T143" s="104"/>
      <c r="U143" s="30"/>
      <c r="V143" s="30"/>
      <c r="W143" s="30"/>
      <c r="X143" s="30"/>
      <c r="Y143" s="30"/>
      <c r="Z143" s="30"/>
    </row>
    <row r="144" ht="14.25" customHeight="1">
      <c r="A144" s="30"/>
      <c r="B144" s="30"/>
      <c r="C144" s="104"/>
      <c r="D144" s="59"/>
      <c r="E144" s="59"/>
      <c r="F144" s="59"/>
      <c r="G144" s="161"/>
      <c r="H144" s="59"/>
      <c r="I144" s="104"/>
      <c r="J144" s="104"/>
      <c r="K144" s="104"/>
      <c r="L144" s="104"/>
      <c r="M144" s="104"/>
      <c r="N144" s="104"/>
      <c r="O144" s="104"/>
      <c r="P144" s="104"/>
      <c r="Q144" s="104"/>
      <c r="R144" s="104"/>
      <c r="S144" s="104"/>
      <c r="T144" s="104"/>
      <c r="U144" s="30"/>
      <c r="V144" s="30"/>
      <c r="W144" s="30"/>
      <c r="X144" s="30"/>
      <c r="Y144" s="30"/>
      <c r="Z144" s="30"/>
    </row>
    <row r="145" ht="14.25" customHeight="1">
      <c r="A145" s="30"/>
      <c r="B145" s="30"/>
      <c r="C145" s="104"/>
      <c r="D145" s="59"/>
      <c r="E145" s="59"/>
      <c r="F145" s="59"/>
      <c r="G145" s="161"/>
      <c r="H145" s="59"/>
      <c r="I145" s="104"/>
      <c r="J145" s="104"/>
      <c r="K145" s="104"/>
      <c r="L145" s="104"/>
      <c r="M145" s="104"/>
      <c r="N145" s="104"/>
      <c r="O145" s="104"/>
      <c r="P145" s="104"/>
      <c r="Q145" s="104"/>
      <c r="R145" s="104"/>
      <c r="S145" s="104"/>
      <c r="T145" s="104"/>
      <c r="U145" s="30"/>
      <c r="V145" s="30"/>
      <c r="W145" s="30"/>
      <c r="X145" s="30"/>
      <c r="Y145" s="30"/>
      <c r="Z145" s="30"/>
    </row>
    <row r="146" ht="14.25" customHeight="1">
      <c r="A146" s="30"/>
      <c r="B146" s="30"/>
      <c r="C146" s="104"/>
      <c r="D146" s="59"/>
      <c r="E146" s="59"/>
      <c r="F146" s="59"/>
      <c r="G146" s="161"/>
      <c r="H146" s="59"/>
      <c r="I146" s="104"/>
      <c r="J146" s="104"/>
      <c r="K146" s="104"/>
      <c r="L146" s="104"/>
      <c r="M146" s="104"/>
      <c r="N146" s="104"/>
      <c r="O146" s="104"/>
      <c r="P146" s="104"/>
      <c r="Q146" s="104"/>
      <c r="R146" s="104"/>
      <c r="S146" s="104"/>
      <c r="T146" s="104"/>
      <c r="U146" s="30"/>
      <c r="V146" s="30"/>
      <c r="W146" s="30"/>
      <c r="X146" s="30"/>
      <c r="Y146" s="30"/>
      <c r="Z146" s="30"/>
    </row>
    <row r="147" ht="14.25" customHeight="1">
      <c r="A147" s="30"/>
      <c r="B147" s="30"/>
      <c r="C147" s="104"/>
      <c r="D147" s="59"/>
      <c r="E147" s="59"/>
      <c r="F147" s="59"/>
      <c r="G147" s="161"/>
      <c r="H147" s="59"/>
      <c r="I147" s="104"/>
      <c r="J147" s="104"/>
      <c r="K147" s="104"/>
      <c r="L147" s="104"/>
      <c r="M147" s="104"/>
      <c r="N147" s="104"/>
      <c r="O147" s="104"/>
      <c r="P147" s="104"/>
      <c r="Q147" s="104"/>
      <c r="R147" s="104"/>
      <c r="S147" s="104"/>
      <c r="T147" s="104"/>
      <c r="U147" s="30"/>
      <c r="V147" s="30"/>
      <c r="W147" s="30"/>
      <c r="X147" s="30"/>
      <c r="Y147" s="30"/>
      <c r="Z147" s="30"/>
    </row>
    <row r="148" ht="14.25" customHeight="1">
      <c r="A148" s="30"/>
      <c r="B148" s="30"/>
      <c r="C148" s="104"/>
      <c r="D148" s="59"/>
      <c r="E148" s="59"/>
      <c r="F148" s="59"/>
      <c r="G148" s="161"/>
      <c r="H148" s="59"/>
      <c r="I148" s="104"/>
      <c r="J148" s="104"/>
      <c r="K148" s="104"/>
      <c r="L148" s="104"/>
      <c r="M148" s="104"/>
      <c r="N148" s="104"/>
      <c r="O148" s="104"/>
      <c r="P148" s="104"/>
      <c r="Q148" s="104"/>
      <c r="R148" s="104"/>
      <c r="S148" s="104"/>
      <c r="T148" s="104"/>
      <c r="U148" s="30"/>
      <c r="V148" s="30"/>
      <c r="W148" s="30"/>
      <c r="X148" s="30"/>
      <c r="Y148" s="30"/>
      <c r="Z148" s="30"/>
    </row>
    <row r="149" ht="14.25" customHeight="1">
      <c r="A149" s="30"/>
      <c r="B149" s="30"/>
      <c r="C149" s="104"/>
      <c r="D149" s="59"/>
      <c r="E149" s="59"/>
      <c r="F149" s="59"/>
      <c r="G149" s="161"/>
      <c r="H149" s="59"/>
      <c r="I149" s="104"/>
      <c r="J149" s="104"/>
      <c r="K149" s="104"/>
      <c r="L149" s="104"/>
      <c r="M149" s="104"/>
      <c r="N149" s="104"/>
      <c r="O149" s="104"/>
      <c r="P149" s="104"/>
      <c r="Q149" s="104"/>
      <c r="R149" s="104"/>
      <c r="S149" s="104"/>
      <c r="T149" s="104"/>
      <c r="U149" s="30"/>
      <c r="V149" s="30"/>
      <c r="W149" s="30"/>
      <c r="X149" s="30"/>
      <c r="Y149" s="30"/>
      <c r="Z149" s="30"/>
    </row>
    <row r="150" ht="14.25" customHeight="1">
      <c r="A150" s="30"/>
      <c r="B150" s="30"/>
      <c r="C150" s="104"/>
      <c r="D150" s="59"/>
      <c r="E150" s="59"/>
      <c r="F150" s="59"/>
      <c r="G150" s="161"/>
      <c r="H150" s="59"/>
      <c r="I150" s="104"/>
      <c r="J150" s="104"/>
      <c r="K150" s="104"/>
      <c r="L150" s="104"/>
      <c r="M150" s="104"/>
      <c r="N150" s="104"/>
      <c r="O150" s="104"/>
      <c r="P150" s="104"/>
      <c r="Q150" s="104"/>
      <c r="R150" s="104"/>
      <c r="S150" s="104"/>
      <c r="T150" s="104"/>
      <c r="U150" s="30"/>
      <c r="V150" s="30"/>
      <c r="W150" s="30"/>
      <c r="X150" s="30"/>
      <c r="Y150" s="30"/>
      <c r="Z150" s="30"/>
    </row>
    <row r="151" ht="14.25" customHeight="1">
      <c r="A151" s="30"/>
      <c r="B151" s="30"/>
      <c r="C151" s="104"/>
      <c r="D151" s="59"/>
      <c r="E151" s="59"/>
      <c r="F151" s="59"/>
      <c r="G151" s="161"/>
      <c r="H151" s="59"/>
      <c r="I151" s="104"/>
      <c r="J151" s="104"/>
      <c r="K151" s="104"/>
      <c r="L151" s="104"/>
      <c r="M151" s="104"/>
      <c r="N151" s="104"/>
      <c r="O151" s="104"/>
      <c r="P151" s="104"/>
      <c r="Q151" s="104"/>
      <c r="R151" s="104"/>
      <c r="S151" s="104"/>
      <c r="T151" s="104"/>
      <c r="U151" s="30"/>
      <c r="V151" s="30"/>
      <c r="W151" s="30"/>
      <c r="X151" s="30"/>
      <c r="Y151" s="30"/>
      <c r="Z151" s="30"/>
    </row>
    <row r="152" ht="14.25" customHeight="1">
      <c r="A152" s="30"/>
      <c r="B152" s="30"/>
      <c r="C152" s="104"/>
      <c r="D152" s="59"/>
      <c r="E152" s="59"/>
      <c r="F152" s="59"/>
      <c r="G152" s="161"/>
      <c r="H152" s="59"/>
      <c r="I152" s="104"/>
      <c r="J152" s="104"/>
      <c r="K152" s="104"/>
      <c r="L152" s="104"/>
      <c r="M152" s="104"/>
      <c r="N152" s="104"/>
      <c r="O152" s="104"/>
      <c r="P152" s="104"/>
      <c r="Q152" s="104"/>
      <c r="R152" s="104"/>
      <c r="S152" s="104"/>
      <c r="T152" s="104"/>
      <c r="U152" s="30"/>
      <c r="V152" s="30"/>
      <c r="W152" s="30"/>
      <c r="X152" s="30"/>
      <c r="Y152" s="30"/>
      <c r="Z152" s="30"/>
    </row>
    <row r="153" ht="14.25" customHeight="1">
      <c r="A153" s="30"/>
      <c r="B153" s="30"/>
      <c r="C153" s="104"/>
      <c r="D153" s="59"/>
      <c r="E153" s="59"/>
      <c r="F153" s="59"/>
      <c r="G153" s="161"/>
      <c r="H153" s="59"/>
      <c r="I153" s="104"/>
      <c r="J153" s="104"/>
      <c r="K153" s="104"/>
      <c r="L153" s="104"/>
      <c r="M153" s="104"/>
      <c r="N153" s="104"/>
      <c r="O153" s="104"/>
      <c r="P153" s="104"/>
      <c r="Q153" s="104"/>
      <c r="R153" s="104"/>
      <c r="S153" s="104"/>
      <c r="T153" s="104"/>
      <c r="U153" s="30"/>
      <c r="V153" s="30"/>
      <c r="W153" s="30"/>
      <c r="X153" s="30"/>
      <c r="Y153" s="30"/>
      <c r="Z153" s="30"/>
    </row>
    <row r="154" ht="14.25" customHeight="1">
      <c r="A154" s="30"/>
      <c r="B154" s="30"/>
      <c r="C154" s="104"/>
      <c r="D154" s="59"/>
      <c r="E154" s="59"/>
      <c r="F154" s="59"/>
      <c r="G154" s="161"/>
      <c r="H154" s="59"/>
      <c r="I154" s="104"/>
      <c r="J154" s="104"/>
      <c r="K154" s="104"/>
      <c r="L154" s="104"/>
      <c r="M154" s="104"/>
      <c r="N154" s="104"/>
      <c r="O154" s="104"/>
      <c r="P154" s="104"/>
      <c r="Q154" s="104"/>
      <c r="R154" s="104"/>
      <c r="S154" s="104"/>
      <c r="T154" s="104"/>
      <c r="U154" s="30"/>
      <c r="V154" s="30"/>
      <c r="W154" s="30"/>
      <c r="X154" s="30"/>
      <c r="Y154" s="30"/>
      <c r="Z154" s="30"/>
    </row>
    <row r="155" ht="14.25" customHeight="1">
      <c r="A155" s="30"/>
      <c r="B155" s="30"/>
      <c r="C155" s="104"/>
      <c r="D155" s="59"/>
      <c r="E155" s="59"/>
      <c r="F155" s="59"/>
      <c r="G155" s="161"/>
      <c r="H155" s="59"/>
      <c r="I155" s="104"/>
      <c r="J155" s="104"/>
      <c r="K155" s="104"/>
      <c r="L155" s="104"/>
      <c r="M155" s="104"/>
      <c r="N155" s="104"/>
      <c r="O155" s="104"/>
      <c r="P155" s="104"/>
      <c r="Q155" s="104"/>
      <c r="R155" s="104"/>
      <c r="S155" s="104"/>
      <c r="T155" s="104"/>
      <c r="U155" s="30"/>
      <c r="V155" s="30"/>
      <c r="W155" s="30"/>
      <c r="X155" s="30"/>
      <c r="Y155" s="30"/>
      <c r="Z155" s="30"/>
    </row>
    <row r="156" ht="14.25" customHeight="1">
      <c r="A156" s="30"/>
      <c r="B156" s="30"/>
      <c r="C156" s="104"/>
      <c r="D156" s="59"/>
      <c r="E156" s="59"/>
      <c r="F156" s="59"/>
      <c r="G156" s="161"/>
      <c r="H156" s="59"/>
      <c r="I156" s="104"/>
      <c r="J156" s="104"/>
      <c r="K156" s="104"/>
      <c r="L156" s="104"/>
      <c r="M156" s="104"/>
      <c r="N156" s="104"/>
      <c r="O156" s="104"/>
      <c r="P156" s="104"/>
      <c r="Q156" s="104"/>
      <c r="R156" s="104"/>
      <c r="S156" s="104"/>
      <c r="T156" s="104"/>
      <c r="U156" s="30"/>
      <c r="V156" s="30"/>
      <c r="W156" s="30"/>
      <c r="X156" s="30"/>
      <c r="Y156" s="30"/>
      <c r="Z156" s="30"/>
    </row>
    <row r="157" ht="14.25" customHeight="1">
      <c r="A157" s="30"/>
      <c r="B157" s="30"/>
      <c r="C157" s="104"/>
      <c r="D157" s="59"/>
      <c r="E157" s="59"/>
      <c r="F157" s="59"/>
      <c r="G157" s="161"/>
      <c r="H157" s="59"/>
      <c r="I157" s="104"/>
      <c r="J157" s="104"/>
      <c r="K157" s="104"/>
      <c r="L157" s="104"/>
      <c r="M157" s="104"/>
      <c r="N157" s="104"/>
      <c r="O157" s="104"/>
      <c r="P157" s="104"/>
      <c r="Q157" s="104"/>
      <c r="R157" s="104"/>
      <c r="S157" s="104"/>
      <c r="T157" s="104"/>
      <c r="U157" s="30"/>
      <c r="V157" s="30"/>
      <c r="W157" s="30"/>
      <c r="X157" s="30"/>
      <c r="Y157" s="30"/>
      <c r="Z157" s="30"/>
    </row>
    <row r="158" ht="14.25" customHeight="1">
      <c r="A158" s="30"/>
      <c r="B158" s="30"/>
      <c r="C158" s="104"/>
      <c r="D158" s="59"/>
      <c r="E158" s="59"/>
      <c r="F158" s="59"/>
      <c r="G158" s="161"/>
      <c r="H158" s="59"/>
      <c r="I158" s="104"/>
      <c r="J158" s="104"/>
      <c r="K158" s="104"/>
      <c r="L158" s="104"/>
      <c r="M158" s="104"/>
      <c r="N158" s="104"/>
      <c r="O158" s="104"/>
      <c r="P158" s="104"/>
      <c r="Q158" s="104"/>
      <c r="R158" s="104"/>
      <c r="S158" s="104"/>
      <c r="T158" s="104"/>
      <c r="U158" s="30"/>
      <c r="V158" s="30"/>
      <c r="W158" s="30"/>
      <c r="X158" s="30"/>
      <c r="Y158" s="30"/>
      <c r="Z158" s="30"/>
    </row>
    <row r="159" ht="14.25" customHeight="1">
      <c r="A159" s="30"/>
      <c r="B159" s="30"/>
      <c r="C159" s="104"/>
      <c r="D159" s="59"/>
      <c r="E159" s="59"/>
      <c r="F159" s="59"/>
      <c r="G159" s="161"/>
      <c r="H159" s="59"/>
      <c r="I159" s="104"/>
      <c r="J159" s="104"/>
      <c r="K159" s="104"/>
      <c r="L159" s="104"/>
      <c r="M159" s="104"/>
      <c r="N159" s="104"/>
      <c r="O159" s="104"/>
      <c r="P159" s="104"/>
      <c r="Q159" s="104"/>
      <c r="R159" s="104"/>
      <c r="S159" s="104"/>
      <c r="T159" s="104"/>
      <c r="U159" s="30"/>
      <c r="V159" s="30"/>
      <c r="W159" s="30"/>
      <c r="X159" s="30"/>
      <c r="Y159" s="30"/>
      <c r="Z159" s="30"/>
    </row>
    <row r="160" ht="14.25" customHeight="1">
      <c r="A160" s="30"/>
      <c r="B160" s="30"/>
      <c r="C160" s="104"/>
      <c r="D160" s="59"/>
      <c r="E160" s="59"/>
      <c r="F160" s="59"/>
      <c r="G160" s="161"/>
      <c r="H160" s="59"/>
      <c r="I160" s="104"/>
      <c r="J160" s="104"/>
      <c r="K160" s="104"/>
      <c r="L160" s="104"/>
      <c r="M160" s="104"/>
      <c r="N160" s="104"/>
      <c r="O160" s="104"/>
      <c r="P160" s="104"/>
      <c r="Q160" s="104"/>
      <c r="R160" s="104"/>
      <c r="S160" s="104"/>
      <c r="T160" s="104"/>
      <c r="U160" s="30"/>
      <c r="V160" s="30"/>
      <c r="W160" s="30"/>
      <c r="X160" s="30"/>
      <c r="Y160" s="30"/>
      <c r="Z160" s="30"/>
    </row>
    <row r="161" ht="14.25" customHeight="1">
      <c r="A161" s="30"/>
      <c r="B161" s="30"/>
      <c r="C161" s="104"/>
      <c r="D161" s="59"/>
      <c r="E161" s="59"/>
      <c r="F161" s="59"/>
      <c r="G161" s="161"/>
      <c r="H161" s="59"/>
      <c r="I161" s="104"/>
      <c r="J161" s="104"/>
      <c r="K161" s="104"/>
      <c r="L161" s="104"/>
      <c r="M161" s="104"/>
      <c r="N161" s="104"/>
      <c r="O161" s="104"/>
      <c r="P161" s="104"/>
      <c r="Q161" s="104"/>
      <c r="R161" s="104"/>
      <c r="S161" s="104"/>
      <c r="T161" s="104"/>
      <c r="U161" s="30"/>
      <c r="V161" s="30"/>
      <c r="W161" s="30"/>
      <c r="X161" s="30"/>
      <c r="Y161" s="30"/>
      <c r="Z161" s="30"/>
    </row>
    <row r="162" ht="14.25" customHeight="1">
      <c r="A162" s="30"/>
      <c r="B162" s="30"/>
      <c r="C162" s="104"/>
      <c r="D162" s="59"/>
      <c r="E162" s="59"/>
      <c r="F162" s="59"/>
      <c r="G162" s="161"/>
      <c r="H162" s="59"/>
      <c r="I162" s="104"/>
      <c r="J162" s="104"/>
      <c r="K162" s="104"/>
      <c r="L162" s="104"/>
      <c r="M162" s="104"/>
      <c r="N162" s="104"/>
      <c r="O162" s="104"/>
      <c r="P162" s="104"/>
      <c r="Q162" s="104"/>
      <c r="R162" s="104"/>
      <c r="S162" s="104"/>
      <c r="T162" s="104"/>
      <c r="U162" s="30"/>
      <c r="V162" s="30"/>
      <c r="W162" s="30"/>
      <c r="X162" s="30"/>
      <c r="Y162" s="30"/>
      <c r="Z162" s="30"/>
    </row>
    <row r="163" ht="14.25" customHeight="1">
      <c r="A163" s="30"/>
      <c r="B163" s="30"/>
      <c r="C163" s="104"/>
      <c r="D163" s="59"/>
      <c r="E163" s="59"/>
      <c r="F163" s="59"/>
      <c r="G163" s="161"/>
      <c r="H163" s="59"/>
      <c r="I163" s="104"/>
      <c r="J163" s="104"/>
      <c r="K163" s="104"/>
      <c r="L163" s="104"/>
      <c r="M163" s="104"/>
      <c r="N163" s="104"/>
      <c r="O163" s="104"/>
      <c r="P163" s="104"/>
      <c r="Q163" s="104"/>
      <c r="R163" s="104"/>
      <c r="S163" s="104"/>
      <c r="T163" s="104"/>
      <c r="U163" s="30"/>
      <c r="V163" s="30"/>
      <c r="W163" s="30"/>
      <c r="X163" s="30"/>
      <c r="Y163" s="30"/>
      <c r="Z163" s="30"/>
    </row>
    <row r="164" ht="14.25" customHeight="1">
      <c r="A164" s="30"/>
      <c r="B164" s="30"/>
      <c r="C164" s="104"/>
      <c r="D164" s="59"/>
      <c r="E164" s="59"/>
      <c r="F164" s="59"/>
      <c r="G164" s="161"/>
      <c r="H164" s="59"/>
      <c r="I164" s="104"/>
      <c r="J164" s="104"/>
      <c r="K164" s="104"/>
      <c r="L164" s="104"/>
      <c r="M164" s="104"/>
      <c r="N164" s="104"/>
      <c r="O164" s="104"/>
      <c r="P164" s="104"/>
      <c r="Q164" s="104"/>
      <c r="R164" s="104"/>
      <c r="S164" s="104"/>
      <c r="T164" s="104"/>
      <c r="U164" s="30"/>
      <c r="V164" s="30"/>
      <c r="W164" s="30"/>
      <c r="X164" s="30"/>
      <c r="Y164" s="30"/>
      <c r="Z164" s="30"/>
    </row>
    <row r="165" ht="14.25" customHeight="1">
      <c r="A165" s="30"/>
      <c r="B165" s="30"/>
      <c r="C165" s="104"/>
      <c r="D165" s="59"/>
      <c r="E165" s="59"/>
      <c r="F165" s="59"/>
      <c r="G165" s="161"/>
      <c r="H165" s="59"/>
      <c r="I165" s="104"/>
      <c r="J165" s="104"/>
      <c r="K165" s="104"/>
      <c r="L165" s="104"/>
      <c r="M165" s="104"/>
      <c r="N165" s="104"/>
      <c r="O165" s="104"/>
      <c r="P165" s="104"/>
      <c r="Q165" s="104"/>
      <c r="R165" s="104"/>
      <c r="S165" s="104"/>
      <c r="T165" s="104"/>
      <c r="U165" s="30"/>
      <c r="V165" s="30"/>
      <c r="W165" s="30"/>
      <c r="X165" s="30"/>
      <c r="Y165" s="30"/>
      <c r="Z165" s="30"/>
    </row>
    <row r="166" ht="14.25" customHeight="1">
      <c r="A166" s="30"/>
      <c r="B166" s="30"/>
      <c r="C166" s="104"/>
      <c r="D166" s="59"/>
      <c r="E166" s="59"/>
      <c r="F166" s="59"/>
      <c r="G166" s="161"/>
      <c r="H166" s="59"/>
      <c r="I166" s="104"/>
      <c r="J166" s="104"/>
      <c r="K166" s="104"/>
      <c r="L166" s="104"/>
      <c r="M166" s="104"/>
      <c r="N166" s="104"/>
      <c r="O166" s="104"/>
      <c r="P166" s="104"/>
      <c r="Q166" s="104"/>
      <c r="R166" s="104"/>
      <c r="S166" s="104"/>
      <c r="T166" s="104"/>
      <c r="U166" s="30"/>
      <c r="V166" s="30"/>
      <c r="W166" s="30"/>
      <c r="X166" s="30"/>
      <c r="Y166" s="30"/>
      <c r="Z166" s="30"/>
    </row>
    <row r="167" ht="14.25" customHeight="1">
      <c r="A167" s="30"/>
      <c r="B167" s="30"/>
      <c r="C167" s="104"/>
      <c r="D167" s="59"/>
      <c r="E167" s="59"/>
      <c r="F167" s="59"/>
      <c r="G167" s="161"/>
      <c r="H167" s="59"/>
      <c r="I167" s="104"/>
      <c r="J167" s="104"/>
      <c r="K167" s="104"/>
      <c r="L167" s="104"/>
      <c r="M167" s="104"/>
      <c r="N167" s="104"/>
      <c r="O167" s="104"/>
      <c r="P167" s="104"/>
      <c r="Q167" s="104"/>
      <c r="R167" s="104"/>
      <c r="S167" s="104"/>
      <c r="T167" s="104"/>
      <c r="U167" s="30"/>
      <c r="V167" s="30"/>
      <c r="W167" s="30"/>
      <c r="X167" s="30"/>
      <c r="Y167" s="30"/>
      <c r="Z167" s="30"/>
    </row>
    <row r="168" ht="14.25" customHeight="1">
      <c r="A168" s="30"/>
      <c r="B168" s="30"/>
      <c r="C168" s="104"/>
      <c r="D168" s="59"/>
      <c r="E168" s="59"/>
      <c r="F168" s="59"/>
      <c r="G168" s="161"/>
      <c r="H168" s="59"/>
      <c r="I168" s="104"/>
      <c r="J168" s="104"/>
      <c r="K168" s="104"/>
      <c r="L168" s="104"/>
      <c r="M168" s="104"/>
      <c r="N168" s="104"/>
      <c r="O168" s="104"/>
      <c r="P168" s="104"/>
      <c r="Q168" s="104"/>
      <c r="R168" s="104"/>
      <c r="S168" s="104"/>
      <c r="T168" s="104"/>
      <c r="U168" s="30"/>
      <c r="V168" s="30"/>
      <c r="W168" s="30"/>
      <c r="X168" s="30"/>
      <c r="Y168" s="30"/>
      <c r="Z168" s="30"/>
    </row>
    <row r="169" ht="14.25" customHeight="1">
      <c r="A169" s="30"/>
      <c r="B169" s="30"/>
      <c r="C169" s="104"/>
      <c r="D169" s="59"/>
      <c r="E169" s="59"/>
      <c r="F169" s="59"/>
      <c r="G169" s="161"/>
      <c r="H169" s="59"/>
      <c r="I169" s="104"/>
      <c r="J169" s="104"/>
      <c r="K169" s="104"/>
      <c r="L169" s="104"/>
      <c r="M169" s="104"/>
      <c r="N169" s="104"/>
      <c r="O169" s="104"/>
      <c r="P169" s="104"/>
      <c r="Q169" s="104"/>
      <c r="R169" s="104"/>
      <c r="S169" s="104"/>
      <c r="T169" s="104"/>
      <c r="U169" s="30"/>
      <c r="V169" s="30"/>
      <c r="W169" s="30"/>
      <c r="X169" s="30"/>
      <c r="Y169" s="30"/>
      <c r="Z169" s="30"/>
    </row>
    <row r="170" ht="14.25" customHeight="1">
      <c r="A170" s="30"/>
      <c r="B170" s="30"/>
      <c r="C170" s="104"/>
      <c r="D170" s="59"/>
      <c r="E170" s="59"/>
      <c r="F170" s="59"/>
      <c r="G170" s="161"/>
      <c r="H170" s="59"/>
      <c r="I170" s="104"/>
      <c r="J170" s="104"/>
      <c r="K170" s="104"/>
      <c r="L170" s="104"/>
      <c r="M170" s="104"/>
      <c r="N170" s="104"/>
      <c r="O170" s="104"/>
      <c r="P170" s="104"/>
      <c r="Q170" s="104"/>
      <c r="R170" s="104"/>
      <c r="S170" s="104"/>
      <c r="T170" s="104"/>
      <c r="U170" s="30"/>
      <c r="V170" s="30"/>
      <c r="W170" s="30"/>
      <c r="X170" s="30"/>
      <c r="Y170" s="30"/>
      <c r="Z170" s="30"/>
    </row>
    <row r="171" ht="14.25" customHeight="1">
      <c r="A171" s="30"/>
      <c r="B171" s="30"/>
      <c r="C171" s="104"/>
      <c r="D171" s="59"/>
      <c r="E171" s="59"/>
      <c r="F171" s="59"/>
      <c r="G171" s="161"/>
      <c r="H171" s="59"/>
      <c r="I171" s="104"/>
      <c r="J171" s="104"/>
      <c r="K171" s="104"/>
      <c r="L171" s="104"/>
      <c r="M171" s="104"/>
      <c r="N171" s="104"/>
      <c r="O171" s="104"/>
      <c r="P171" s="104"/>
      <c r="Q171" s="104"/>
      <c r="R171" s="104"/>
      <c r="S171" s="104"/>
      <c r="T171" s="104"/>
      <c r="U171" s="30"/>
      <c r="V171" s="30"/>
      <c r="W171" s="30"/>
      <c r="X171" s="30"/>
      <c r="Y171" s="30"/>
      <c r="Z171" s="30"/>
    </row>
    <row r="172" ht="14.25" customHeight="1">
      <c r="A172" s="30"/>
      <c r="B172" s="30"/>
      <c r="C172" s="104"/>
      <c r="D172" s="59"/>
      <c r="E172" s="59"/>
      <c r="F172" s="59"/>
      <c r="G172" s="161"/>
      <c r="H172" s="59"/>
      <c r="I172" s="104"/>
      <c r="J172" s="104"/>
      <c r="K172" s="104"/>
      <c r="L172" s="104"/>
      <c r="M172" s="104"/>
      <c r="N172" s="104"/>
      <c r="O172" s="104"/>
      <c r="P172" s="104"/>
      <c r="Q172" s="104"/>
      <c r="R172" s="104"/>
      <c r="S172" s="104"/>
      <c r="T172" s="104"/>
      <c r="U172" s="30"/>
      <c r="V172" s="30"/>
      <c r="W172" s="30"/>
      <c r="X172" s="30"/>
      <c r="Y172" s="30"/>
      <c r="Z172" s="30"/>
    </row>
    <row r="173" ht="14.25" customHeight="1">
      <c r="A173" s="30"/>
      <c r="B173" s="30"/>
      <c r="C173" s="104"/>
      <c r="D173" s="59"/>
      <c r="E173" s="59"/>
      <c r="F173" s="59"/>
      <c r="G173" s="161"/>
      <c r="H173" s="59"/>
      <c r="I173" s="104"/>
      <c r="J173" s="104"/>
      <c r="K173" s="104"/>
      <c r="L173" s="104"/>
      <c r="M173" s="104"/>
      <c r="N173" s="104"/>
      <c r="O173" s="104"/>
      <c r="P173" s="104"/>
      <c r="Q173" s="104"/>
      <c r="R173" s="104"/>
      <c r="S173" s="104"/>
      <c r="T173" s="104"/>
      <c r="U173" s="30"/>
      <c r="V173" s="30"/>
      <c r="W173" s="30"/>
      <c r="X173" s="30"/>
      <c r="Y173" s="30"/>
      <c r="Z173" s="30"/>
    </row>
    <row r="174" ht="14.25" customHeight="1">
      <c r="A174" s="30"/>
      <c r="B174" s="30"/>
      <c r="C174" s="104"/>
      <c r="D174" s="59"/>
      <c r="E174" s="59"/>
      <c r="F174" s="59"/>
      <c r="G174" s="161"/>
      <c r="H174" s="59"/>
      <c r="I174" s="104"/>
      <c r="J174" s="104"/>
      <c r="K174" s="104"/>
      <c r="L174" s="104"/>
      <c r="M174" s="104"/>
      <c r="N174" s="104"/>
      <c r="O174" s="104"/>
      <c r="P174" s="104"/>
      <c r="Q174" s="104"/>
      <c r="R174" s="104"/>
      <c r="S174" s="104"/>
      <c r="T174" s="104"/>
      <c r="U174" s="30"/>
      <c r="V174" s="30"/>
      <c r="W174" s="30"/>
      <c r="X174" s="30"/>
      <c r="Y174" s="30"/>
      <c r="Z174" s="30"/>
    </row>
    <row r="175" ht="14.25" customHeight="1">
      <c r="A175" s="30"/>
      <c r="B175" s="30"/>
      <c r="C175" s="104"/>
      <c r="D175" s="59"/>
      <c r="E175" s="59"/>
      <c r="F175" s="59"/>
      <c r="G175" s="161"/>
      <c r="H175" s="59"/>
      <c r="I175" s="104"/>
      <c r="J175" s="104"/>
      <c r="K175" s="104"/>
      <c r="L175" s="104"/>
      <c r="M175" s="104"/>
      <c r="N175" s="104"/>
      <c r="O175" s="104"/>
      <c r="P175" s="104"/>
      <c r="Q175" s="104"/>
      <c r="R175" s="104"/>
      <c r="S175" s="104"/>
      <c r="T175" s="104"/>
      <c r="U175" s="30"/>
      <c r="V175" s="30"/>
      <c r="W175" s="30"/>
      <c r="X175" s="30"/>
      <c r="Y175" s="30"/>
      <c r="Z175" s="30"/>
    </row>
    <row r="176" ht="14.25" customHeight="1">
      <c r="A176" s="30"/>
      <c r="B176" s="30"/>
      <c r="C176" s="104"/>
      <c r="D176" s="59"/>
      <c r="E176" s="59"/>
      <c r="F176" s="59"/>
      <c r="G176" s="161"/>
      <c r="H176" s="59"/>
      <c r="I176" s="104"/>
      <c r="J176" s="104"/>
      <c r="K176" s="104"/>
      <c r="L176" s="104"/>
      <c r="M176" s="104"/>
      <c r="N176" s="104"/>
      <c r="O176" s="104"/>
      <c r="P176" s="104"/>
      <c r="Q176" s="104"/>
      <c r="R176" s="104"/>
      <c r="S176" s="104"/>
      <c r="T176" s="104"/>
      <c r="U176" s="30"/>
      <c r="V176" s="30"/>
      <c r="W176" s="30"/>
      <c r="X176" s="30"/>
      <c r="Y176" s="30"/>
      <c r="Z176" s="30"/>
    </row>
    <row r="177" ht="14.25" customHeight="1">
      <c r="A177" s="30"/>
      <c r="B177" s="30"/>
      <c r="C177" s="104"/>
      <c r="D177" s="59"/>
      <c r="E177" s="59"/>
      <c r="F177" s="59"/>
      <c r="G177" s="161"/>
      <c r="H177" s="59"/>
      <c r="I177" s="104"/>
      <c r="J177" s="104"/>
      <c r="K177" s="104"/>
      <c r="L177" s="104"/>
      <c r="M177" s="104"/>
      <c r="N177" s="104"/>
      <c r="O177" s="104"/>
      <c r="P177" s="104"/>
      <c r="Q177" s="104"/>
      <c r="R177" s="104"/>
      <c r="S177" s="104"/>
      <c r="T177" s="104"/>
      <c r="U177" s="30"/>
      <c r="V177" s="30"/>
      <c r="W177" s="30"/>
      <c r="X177" s="30"/>
      <c r="Y177" s="30"/>
      <c r="Z177" s="30"/>
    </row>
    <row r="178" ht="14.25" customHeight="1">
      <c r="A178" s="30"/>
      <c r="B178" s="30"/>
      <c r="C178" s="104"/>
      <c r="D178" s="59"/>
      <c r="E178" s="59"/>
      <c r="F178" s="59"/>
      <c r="G178" s="161"/>
      <c r="H178" s="59"/>
      <c r="I178" s="104"/>
      <c r="J178" s="104"/>
      <c r="K178" s="104"/>
      <c r="L178" s="104"/>
      <c r="M178" s="104"/>
      <c r="N178" s="104"/>
      <c r="O178" s="104"/>
      <c r="P178" s="104"/>
      <c r="Q178" s="104"/>
      <c r="R178" s="104"/>
      <c r="S178" s="104"/>
      <c r="T178" s="104"/>
      <c r="U178" s="30"/>
      <c r="V178" s="30"/>
      <c r="W178" s="30"/>
      <c r="X178" s="30"/>
      <c r="Y178" s="30"/>
      <c r="Z178" s="30"/>
    </row>
    <row r="179" ht="14.25" customHeight="1">
      <c r="A179" s="30"/>
      <c r="B179" s="30"/>
      <c r="C179" s="104"/>
      <c r="D179" s="59"/>
      <c r="E179" s="59"/>
      <c r="F179" s="59"/>
      <c r="G179" s="161"/>
      <c r="H179" s="59"/>
      <c r="I179" s="104"/>
      <c r="J179" s="104"/>
      <c r="K179" s="104"/>
      <c r="L179" s="104"/>
      <c r="M179" s="104"/>
      <c r="N179" s="104"/>
      <c r="O179" s="104"/>
      <c r="P179" s="104"/>
      <c r="Q179" s="104"/>
      <c r="R179" s="104"/>
      <c r="S179" s="104"/>
      <c r="T179" s="104"/>
      <c r="U179" s="30"/>
      <c r="V179" s="30"/>
      <c r="W179" s="30"/>
      <c r="X179" s="30"/>
      <c r="Y179" s="30"/>
      <c r="Z179" s="30"/>
    </row>
    <row r="180" ht="14.25" customHeight="1">
      <c r="A180" s="30"/>
      <c r="B180" s="30"/>
      <c r="C180" s="104"/>
      <c r="D180" s="59"/>
      <c r="E180" s="59"/>
      <c r="F180" s="59"/>
      <c r="G180" s="161"/>
      <c r="H180" s="59"/>
      <c r="I180" s="104"/>
      <c r="J180" s="104"/>
      <c r="K180" s="104"/>
      <c r="L180" s="104"/>
      <c r="M180" s="104"/>
      <c r="N180" s="104"/>
      <c r="O180" s="104"/>
      <c r="P180" s="104"/>
      <c r="Q180" s="104"/>
      <c r="R180" s="104"/>
      <c r="S180" s="104"/>
      <c r="T180" s="104"/>
      <c r="U180" s="30"/>
      <c r="V180" s="30"/>
      <c r="W180" s="30"/>
      <c r="X180" s="30"/>
      <c r="Y180" s="30"/>
      <c r="Z180" s="30"/>
    </row>
    <row r="181" ht="14.25" customHeight="1">
      <c r="A181" s="30"/>
      <c r="B181" s="30"/>
      <c r="C181" s="104"/>
      <c r="D181" s="59"/>
      <c r="E181" s="59"/>
      <c r="F181" s="59"/>
      <c r="G181" s="161"/>
      <c r="H181" s="59"/>
      <c r="I181" s="104"/>
      <c r="J181" s="104"/>
      <c r="K181" s="104"/>
      <c r="L181" s="104"/>
      <c r="M181" s="104"/>
      <c r="N181" s="104"/>
      <c r="O181" s="104"/>
      <c r="P181" s="104"/>
      <c r="Q181" s="104"/>
      <c r="R181" s="104"/>
      <c r="S181" s="104"/>
      <c r="T181" s="104"/>
      <c r="U181" s="30"/>
      <c r="V181" s="30"/>
      <c r="W181" s="30"/>
      <c r="X181" s="30"/>
      <c r="Y181" s="30"/>
      <c r="Z181" s="30"/>
    </row>
    <row r="182" ht="14.25" customHeight="1">
      <c r="A182" s="30"/>
      <c r="B182" s="30"/>
      <c r="C182" s="104"/>
      <c r="D182" s="59"/>
      <c r="E182" s="59"/>
      <c r="F182" s="59"/>
      <c r="G182" s="161"/>
      <c r="H182" s="59"/>
      <c r="I182" s="104"/>
      <c r="J182" s="104"/>
      <c r="K182" s="104"/>
      <c r="L182" s="104"/>
      <c r="M182" s="104"/>
      <c r="N182" s="104"/>
      <c r="O182" s="104"/>
      <c r="P182" s="104"/>
      <c r="Q182" s="104"/>
      <c r="R182" s="104"/>
      <c r="S182" s="104"/>
      <c r="T182" s="104"/>
      <c r="U182" s="30"/>
      <c r="V182" s="30"/>
      <c r="W182" s="30"/>
      <c r="X182" s="30"/>
      <c r="Y182" s="30"/>
      <c r="Z182" s="30"/>
    </row>
    <row r="183" ht="14.25" customHeight="1">
      <c r="A183" s="30"/>
      <c r="B183" s="30"/>
      <c r="C183" s="104"/>
      <c r="D183" s="59"/>
      <c r="E183" s="59"/>
      <c r="F183" s="59"/>
      <c r="G183" s="161"/>
      <c r="H183" s="59"/>
      <c r="I183" s="104"/>
      <c r="J183" s="104"/>
      <c r="K183" s="104"/>
      <c r="L183" s="104"/>
      <c r="M183" s="104"/>
      <c r="N183" s="104"/>
      <c r="O183" s="104"/>
      <c r="P183" s="104"/>
      <c r="Q183" s="104"/>
      <c r="R183" s="104"/>
      <c r="S183" s="104"/>
      <c r="T183" s="104"/>
      <c r="U183" s="30"/>
      <c r="V183" s="30"/>
      <c r="W183" s="30"/>
      <c r="X183" s="30"/>
      <c r="Y183" s="30"/>
      <c r="Z183" s="30"/>
    </row>
    <row r="184" ht="14.25" customHeight="1">
      <c r="A184" s="30"/>
      <c r="B184" s="30"/>
      <c r="C184" s="104"/>
      <c r="D184" s="59"/>
      <c r="E184" s="59"/>
      <c r="F184" s="59"/>
      <c r="G184" s="161"/>
      <c r="H184" s="59"/>
      <c r="I184" s="104"/>
      <c r="J184" s="104"/>
      <c r="K184" s="104"/>
      <c r="L184" s="104"/>
      <c r="M184" s="104"/>
      <c r="N184" s="104"/>
      <c r="O184" s="104"/>
      <c r="P184" s="104"/>
      <c r="Q184" s="104"/>
      <c r="R184" s="104"/>
      <c r="S184" s="104"/>
      <c r="T184" s="104"/>
      <c r="U184" s="30"/>
      <c r="V184" s="30"/>
      <c r="W184" s="30"/>
      <c r="X184" s="30"/>
      <c r="Y184" s="30"/>
      <c r="Z184" s="30"/>
    </row>
    <row r="185" ht="14.25" customHeight="1">
      <c r="A185" s="30"/>
      <c r="B185" s="30"/>
      <c r="C185" s="104"/>
      <c r="D185" s="59"/>
      <c r="E185" s="59"/>
      <c r="F185" s="59"/>
      <c r="G185" s="161"/>
      <c r="H185" s="59"/>
      <c r="I185" s="104"/>
      <c r="J185" s="104"/>
      <c r="K185" s="104"/>
      <c r="L185" s="104"/>
      <c r="M185" s="104"/>
      <c r="N185" s="104"/>
      <c r="O185" s="104"/>
      <c r="P185" s="104"/>
      <c r="Q185" s="104"/>
      <c r="R185" s="104"/>
      <c r="S185" s="104"/>
      <c r="T185" s="104"/>
      <c r="U185" s="30"/>
      <c r="V185" s="30"/>
      <c r="W185" s="30"/>
      <c r="X185" s="30"/>
      <c r="Y185" s="30"/>
      <c r="Z185" s="30"/>
    </row>
    <row r="186" ht="14.25" customHeight="1">
      <c r="A186" s="30"/>
      <c r="B186" s="30"/>
      <c r="C186" s="104"/>
      <c r="D186" s="59"/>
      <c r="E186" s="59"/>
      <c r="F186" s="59"/>
      <c r="G186" s="161"/>
      <c r="H186" s="59"/>
      <c r="I186" s="104"/>
      <c r="J186" s="104"/>
      <c r="K186" s="104"/>
      <c r="L186" s="104"/>
      <c r="M186" s="104"/>
      <c r="N186" s="104"/>
      <c r="O186" s="104"/>
      <c r="P186" s="104"/>
      <c r="Q186" s="104"/>
      <c r="R186" s="104"/>
      <c r="S186" s="104"/>
      <c r="T186" s="104"/>
      <c r="U186" s="30"/>
      <c r="V186" s="30"/>
      <c r="W186" s="30"/>
      <c r="X186" s="30"/>
      <c r="Y186" s="30"/>
      <c r="Z186" s="30"/>
    </row>
    <row r="187" ht="14.25" customHeight="1">
      <c r="A187" s="30"/>
      <c r="B187" s="30"/>
      <c r="C187" s="104"/>
      <c r="D187" s="59"/>
      <c r="E187" s="59"/>
      <c r="F187" s="59"/>
      <c r="G187" s="161"/>
      <c r="H187" s="59"/>
      <c r="I187" s="104"/>
      <c r="J187" s="104"/>
      <c r="K187" s="104"/>
      <c r="L187" s="104"/>
      <c r="M187" s="104"/>
      <c r="N187" s="104"/>
      <c r="O187" s="104"/>
      <c r="P187" s="104"/>
      <c r="Q187" s="104"/>
      <c r="R187" s="104"/>
      <c r="S187" s="104"/>
      <c r="T187" s="104"/>
      <c r="U187" s="30"/>
      <c r="V187" s="30"/>
      <c r="W187" s="30"/>
      <c r="X187" s="30"/>
      <c r="Y187" s="30"/>
      <c r="Z187" s="30"/>
    </row>
    <row r="188" ht="14.25" customHeight="1">
      <c r="A188" s="30"/>
      <c r="B188" s="30"/>
      <c r="C188" s="104"/>
      <c r="D188" s="59"/>
      <c r="E188" s="59"/>
      <c r="F188" s="59"/>
      <c r="G188" s="161"/>
      <c r="H188" s="59"/>
      <c r="I188" s="104"/>
      <c r="J188" s="104"/>
      <c r="K188" s="104"/>
      <c r="L188" s="104"/>
      <c r="M188" s="104"/>
      <c r="N188" s="104"/>
      <c r="O188" s="104"/>
      <c r="P188" s="104"/>
      <c r="Q188" s="104"/>
      <c r="R188" s="104"/>
      <c r="S188" s="104"/>
      <c r="T188" s="104"/>
      <c r="U188" s="30"/>
      <c r="V188" s="30"/>
      <c r="W188" s="30"/>
      <c r="X188" s="30"/>
      <c r="Y188" s="30"/>
      <c r="Z188" s="30"/>
    </row>
    <row r="189" ht="14.25" customHeight="1">
      <c r="A189" s="30"/>
      <c r="B189" s="30"/>
      <c r="C189" s="104"/>
      <c r="D189" s="59"/>
      <c r="E189" s="59"/>
      <c r="F189" s="59"/>
      <c r="G189" s="161"/>
      <c r="H189" s="59"/>
      <c r="I189" s="104"/>
      <c r="J189" s="104"/>
      <c r="K189" s="104"/>
      <c r="L189" s="104"/>
      <c r="M189" s="104"/>
      <c r="N189" s="104"/>
      <c r="O189" s="104"/>
      <c r="P189" s="104"/>
      <c r="Q189" s="104"/>
      <c r="R189" s="104"/>
      <c r="S189" s="104"/>
      <c r="T189" s="104"/>
      <c r="U189" s="30"/>
      <c r="V189" s="30"/>
      <c r="W189" s="30"/>
      <c r="X189" s="30"/>
      <c r="Y189" s="30"/>
      <c r="Z189" s="30"/>
    </row>
    <row r="190" ht="14.25" customHeight="1">
      <c r="A190" s="30"/>
      <c r="B190" s="30"/>
      <c r="C190" s="104"/>
      <c r="D190" s="59"/>
      <c r="E190" s="59"/>
      <c r="F190" s="59"/>
      <c r="G190" s="161"/>
      <c r="H190" s="59"/>
      <c r="I190" s="104"/>
      <c r="J190" s="104"/>
      <c r="K190" s="104"/>
      <c r="L190" s="104"/>
      <c r="M190" s="104"/>
      <c r="N190" s="104"/>
      <c r="O190" s="104"/>
      <c r="P190" s="104"/>
      <c r="Q190" s="104"/>
      <c r="R190" s="104"/>
      <c r="S190" s="104"/>
      <c r="T190" s="104"/>
      <c r="U190" s="30"/>
      <c r="V190" s="30"/>
      <c r="W190" s="30"/>
      <c r="X190" s="30"/>
      <c r="Y190" s="30"/>
      <c r="Z190" s="30"/>
    </row>
    <row r="191" ht="14.25" customHeight="1">
      <c r="A191" s="30"/>
      <c r="B191" s="30"/>
      <c r="C191" s="104"/>
      <c r="D191" s="59"/>
      <c r="E191" s="59"/>
      <c r="F191" s="59"/>
      <c r="G191" s="161"/>
      <c r="H191" s="59"/>
      <c r="I191" s="104"/>
      <c r="J191" s="104"/>
      <c r="K191" s="104"/>
      <c r="L191" s="104"/>
      <c r="M191" s="104"/>
      <c r="N191" s="104"/>
      <c r="O191" s="104"/>
      <c r="P191" s="104"/>
      <c r="Q191" s="104"/>
      <c r="R191" s="104"/>
      <c r="S191" s="104"/>
      <c r="T191" s="104"/>
      <c r="U191" s="30"/>
      <c r="V191" s="30"/>
      <c r="W191" s="30"/>
      <c r="X191" s="30"/>
      <c r="Y191" s="30"/>
      <c r="Z191" s="30"/>
    </row>
    <row r="192" ht="14.25" customHeight="1">
      <c r="A192" s="30"/>
      <c r="B192" s="30"/>
      <c r="C192" s="104"/>
      <c r="D192" s="59"/>
      <c r="E192" s="59"/>
      <c r="F192" s="59"/>
      <c r="G192" s="161"/>
      <c r="H192" s="59"/>
      <c r="I192" s="104"/>
      <c r="J192" s="104"/>
      <c r="K192" s="104"/>
      <c r="L192" s="104"/>
      <c r="M192" s="104"/>
      <c r="N192" s="104"/>
      <c r="O192" s="104"/>
      <c r="P192" s="104"/>
      <c r="Q192" s="104"/>
      <c r="R192" s="104"/>
      <c r="S192" s="104"/>
      <c r="T192" s="104"/>
      <c r="U192" s="30"/>
      <c r="V192" s="30"/>
      <c r="W192" s="30"/>
      <c r="X192" s="30"/>
      <c r="Y192" s="30"/>
      <c r="Z192" s="30"/>
    </row>
    <row r="193" ht="14.25" customHeight="1">
      <c r="A193" s="30"/>
      <c r="B193" s="30"/>
      <c r="C193" s="104"/>
      <c r="D193" s="59"/>
      <c r="E193" s="59"/>
      <c r="F193" s="59"/>
      <c r="G193" s="161"/>
      <c r="H193" s="59"/>
      <c r="I193" s="104"/>
      <c r="J193" s="104"/>
      <c r="K193" s="104"/>
      <c r="L193" s="104"/>
      <c r="M193" s="104"/>
      <c r="N193" s="104"/>
      <c r="O193" s="104"/>
      <c r="P193" s="104"/>
      <c r="Q193" s="104"/>
      <c r="R193" s="104"/>
      <c r="S193" s="104"/>
      <c r="T193" s="104"/>
      <c r="U193" s="30"/>
      <c r="V193" s="30"/>
      <c r="W193" s="30"/>
      <c r="X193" s="30"/>
      <c r="Y193" s="30"/>
      <c r="Z193" s="30"/>
    </row>
    <row r="194" ht="14.25" customHeight="1">
      <c r="A194" s="30"/>
      <c r="B194" s="30"/>
      <c r="C194" s="104"/>
      <c r="D194" s="59"/>
      <c r="E194" s="59"/>
      <c r="F194" s="59"/>
      <c r="G194" s="161"/>
      <c r="H194" s="59"/>
      <c r="I194" s="104"/>
      <c r="J194" s="104"/>
      <c r="K194" s="104"/>
      <c r="L194" s="104"/>
      <c r="M194" s="104"/>
      <c r="N194" s="104"/>
      <c r="O194" s="104"/>
      <c r="P194" s="104"/>
      <c r="Q194" s="104"/>
      <c r="R194" s="104"/>
      <c r="S194" s="104"/>
      <c r="T194" s="104"/>
      <c r="U194" s="30"/>
      <c r="V194" s="30"/>
      <c r="W194" s="30"/>
      <c r="X194" s="30"/>
      <c r="Y194" s="30"/>
      <c r="Z194" s="30"/>
    </row>
    <row r="195" ht="14.25" customHeight="1">
      <c r="A195" s="30"/>
      <c r="B195" s="30"/>
      <c r="C195" s="104"/>
      <c r="D195" s="59"/>
      <c r="E195" s="59"/>
      <c r="F195" s="59"/>
      <c r="G195" s="161"/>
      <c r="H195" s="59"/>
      <c r="I195" s="104"/>
      <c r="J195" s="104"/>
      <c r="K195" s="104"/>
      <c r="L195" s="104"/>
      <c r="M195" s="104"/>
      <c r="N195" s="104"/>
      <c r="O195" s="104"/>
      <c r="P195" s="104"/>
      <c r="Q195" s="104"/>
      <c r="R195" s="104"/>
      <c r="S195" s="104"/>
      <c r="T195" s="104"/>
      <c r="U195" s="30"/>
      <c r="V195" s="30"/>
      <c r="W195" s="30"/>
      <c r="X195" s="30"/>
      <c r="Y195" s="30"/>
      <c r="Z195" s="30"/>
    </row>
    <row r="196" ht="14.25" customHeight="1">
      <c r="A196" s="30"/>
      <c r="B196" s="30"/>
      <c r="C196" s="104"/>
      <c r="D196" s="59"/>
      <c r="E196" s="59"/>
      <c r="F196" s="59"/>
      <c r="G196" s="161"/>
      <c r="H196" s="59"/>
      <c r="I196" s="104"/>
      <c r="J196" s="104"/>
      <c r="K196" s="104"/>
      <c r="L196" s="104"/>
      <c r="M196" s="104"/>
      <c r="N196" s="104"/>
      <c r="O196" s="104"/>
      <c r="P196" s="104"/>
      <c r="Q196" s="104"/>
      <c r="R196" s="104"/>
      <c r="S196" s="104"/>
      <c r="T196" s="104"/>
      <c r="U196" s="30"/>
      <c r="V196" s="30"/>
      <c r="W196" s="30"/>
      <c r="X196" s="30"/>
      <c r="Y196" s="30"/>
      <c r="Z196" s="30"/>
    </row>
    <row r="197" ht="14.25" customHeight="1">
      <c r="A197" s="30"/>
      <c r="B197" s="30"/>
      <c r="C197" s="104"/>
      <c r="D197" s="59"/>
      <c r="E197" s="59"/>
      <c r="F197" s="59"/>
      <c r="G197" s="161"/>
      <c r="H197" s="59"/>
      <c r="I197" s="104"/>
      <c r="J197" s="104"/>
      <c r="K197" s="104"/>
      <c r="L197" s="104"/>
      <c r="M197" s="104"/>
      <c r="N197" s="104"/>
      <c r="O197" s="104"/>
      <c r="P197" s="104"/>
      <c r="Q197" s="104"/>
      <c r="R197" s="104"/>
      <c r="S197" s="104"/>
      <c r="T197" s="104"/>
      <c r="U197" s="30"/>
      <c r="V197" s="30"/>
      <c r="W197" s="30"/>
      <c r="X197" s="30"/>
      <c r="Y197" s="30"/>
      <c r="Z197" s="30"/>
    </row>
    <row r="198" ht="14.25" customHeight="1">
      <c r="A198" s="30"/>
      <c r="B198" s="30"/>
      <c r="C198" s="104"/>
      <c r="D198" s="59"/>
      <c r="E198" s="59"/>
      <c r="F198" s="59"/>
      <c r="G198" s="161"/>
      <c r="H198" s="59"/>
      <c r="I198" s="104"/>
      <c r="J198" s="104"/>
      <c r="K198" s="104"/>
      <c r="L198" s="104"/>
      <c r="M198" s="104"/>
      <c r="N198" s="104"/>
      <c r="O198" s="104"/>
      <c r="P198" s="104"/>
      <c r="Q198" s="104"/>
      <c r="R198" s="104"/>
      <c r="S198" s="104"/>
      <c r="T198" s="104"/>
      <c r="U198" s="30"/>
      <c r="V198" s="30"/>
      <c r="W198" s="30"/>
      <c r="X198" s="30"/>
      <c r="Y198" s="30"/>
      <c r="Z198" s="30"/>
    </row>
    <row r="199" ht="14.25" customHeight="1">
      <c r="A199" s="30"/>
      <c r="B199" s="30"/>
      <c r="C199" s="104"/>
      <c r="D199" s="59"/>
      <c r="E199" s="59"/>
      <c r="F199" s="59"/>
      <c r="G199" s="161"/>
      <c r="H199" s="59"/>
      <c r="I199" s="104"/>
      <c r="J199" s="104"/>
      <c r="K199" s="104"/>
      <c r="L199" s="104"/>
      <c r="M199" s="104"/>
      <c r="N199" s="104"/>
      <c r="O199" s="104"/>
      <c r="P199" s="104"/>
      <c r="Q199" s="104"/>
      <c r="R199" s="104"/>
      <c r="S199" s="104"/>
      <c r="T199" s="104"/>
      <c r="U199" s="30"/>
      <c r="V199" s="30"/>
      <c r="W199" s="30"/>
      <c r="X199" s="30"/>
      <c r="Y199" s="30"/>
      <c r="Z199" s="30"/>
    </row>
    <row r="200" ht="14.25" customHeight="1">
      <c r="A200" s="30"/>
      <c r="B200" s="30"/>
      <c r="C200" s="104"/>
      <c r="D200" s="59"/>
      <c r="E200" s="59"/>
      <c r="F200" s="59"/>
      <c r="G200" s="161"/>
      <c r="H200" s="59"/>
      <c r="I200" s="104"/>
      <c r="J200" s="104"/>
      <c r="K200" s="104"/>
      <c r="L200" s="104"/>
      <c r="M200" s="104"/>
      <c r="N200" s="104"/>
      <c r="O200" s="104"/>
      <c r="P200" s="104"/>
      <c r="Q200" s="104"/>
      <c r="R200" s="104"/>
      <c r="S200" s="104"/>
      <c r="T200" s="104"/>
      <c r="U200" s="30"/>
      <c r="V200" s="30"/>
      <c r="W200" s="30"/>
      <c r="X200" s="30"/>
      <c r="Y200" s="30"/>
      <c r="Z200" s="30"/>
    </row>
    <row r="201" ht="14.25" customHeight="1">
      <c r="A201" s="30"/>
      <c r="B201" s="30"/>
      <c r="C201" s="104"/>
      <c r="D201" s="59"/>
      <c r="E201" s="59"/>
      <c r="F201" s="59"/>
      <c r="G201" s="161"/>
      <c r="H201" s="59"/>
      <c r="I201" s="104"/>
      <c r="J201" s="104"/>
      <c r="K201" s="104"/>
      <c r="L201" s="104"/>
      <c r="M201" s="104"/>
      <c r="N201" s="104"/>
      <c r="O201" s="104"/>
      <c r="P201" s="104"/>
      <c r="Q201" s="104"/>
      <c r="R201" s="104"/>
      <c r="S201" s="104"/>
      <c r="T201" s="104"/>
      <c r="U201" s="30"/>
      <c r="V201" s="30"/>
      <c r="W201" s="30"/>
      <c r="X201" s="30"/>
      <c r="Y201" s="30"/>
      <c r="Z201" s="30"/>
    </row>
    <row r="202" ht="14.25" customHeight="1">
      <c r="A202" s="30"/>
      <c r="B202" s="30"/>
      <c r="C202" s="104"/>
      <c r="D202" s="59"/>
      <c r="E202" s="59"/>
      <c r="F202" s="59"/>
      <c r="G202" s="161"/>
      <c r="H202" s="59"/>
      <c r="I202" s="104"/>
      <c r="J202" s="104"/>
      <c r="K202" s="104"/>
      <c r="L202" s="104"/>
      <c r="M202" s="104"/>
      <c r="N202" s="104"/>
      <c r="O202" s="104"/>
      <c r="P202" s="104"/>
      <c r="Q202" s="104"/>
      <c r="R202" s="104"/>
      <c r="S202" s="104"/>
      <c r="T202" s="104"/>
      <c r="U202" s="30"/>
      <c r="V202" s="30"/>
      <c r="W202" s="30"/>
      <c r="X202" s="30"/>
      <c r="Y202" s="30"/>
      <c r="Z202" s="30"/>
    </row>
    <row r="203" ht="14.25" customHeight="1">
      <c r="A203" s="30"/>
      <c r="B203" s="30"/>
      <c r="C203" s="104"/>
      <c r="D203" s="59"/>
      <c r="E203" s="59"/>
      <c r="F203" s="59"/>
      <c r="G203" s="161"/>
      <c r="H203" s="59"/>
      <c r="I203" s="104"/>
      <c r="J203" s="104"/>
      <c r="K203" s="104"/>
      <c r="L203" s="104"/>
      <c r="M203" s="104"/>
      <c r="N203" s="104"/>
      <c r="O203" s="104"/>
      <c r="P203" s="104"/>
      <c r="Q203" s="104"/>
      <c r="R203" s="104"/>
      <c r="S203" s="104"/>
      <c r="T203" s="104"/>
      <c r="U203" s="30"/>
      <c r="V203" s="30"/>
      <c r="W203" s="30"/>
      <c r="X203" s="30"/>
      <c r="Y203" s="30"/>
      <c r="Z203" s="30"/>
    </row>
    <row r="204" ht="14.25" customHeight="1">
      <c r="A204" s="30"/>
      <c r="B204" s="30"/>
      <c r="C204" s="104"/>
      <c r="D204" s="59"/>
      <c r="E204" s="59"/>
      <c r="F204" s="59"/>
      <c r="G204" s="161"/>
      <c r="H204" s="59"/>
      <c r="I204" s="104"/>
      <c r="J204" s="104"/>
      <c r="K204" s="104"/>
      <c r="L204" s="104"/>
      <c r="M204" s="104"/>
      <c r="N204" s="104"/>
      <c r="O204" s="104"/>
      <c r="P204" s="104"/>
      <c r="Q204" s="104"/>
      <c r="R204" s="104"/>
      <c r="S204" s="104"/>
      <c r="T204" s="104"/>
      <c r="U204" s="30"/>
      <c r="V204" s="30"/>
      <c r="W204" s="30"/>
      <c r="X204" s="30"/>
      <c r="Y204" s="30"/>
      <c r="Z204" s="30"/>
    </row>
    <row r="205" ht="14.25" customHeight="1">
      <c r="A205" s="30"/>
      <c r="B205" s="30"/>
      <c r="C205" s="104"/>
      <c r="D205" s="59"/>
      <c r="E205" s="59"/>
      <c r="F205" s="59"/>
      <c r="G205" s="161"/>
      <c r="H205" s="59"/>
      <c r="I205" s="104"/>
      <c r="J205" s="104"/>
      <c r="K205" s="104"/>
      <c r="L205" s="104"/>
      <c r="M205" s="104"/>
      <c r="N205" s="104"/>
      <c r="O205" s="104"/>
      <c r="P205" s="104"/>
      <c r="Q205" s="104"/>
      <c r="R205" s="104"/>
      <c r="S205" s="104"/>
      <c r="T205" s="104"/>
      <c r="U205" s="30"/>
      <c r="V205" s="30"/>
      <c r="W205" s="30"/>
      <c r="X205" s="30"/>
      <c r="Y205" s="30"/>
      <c r="Z205" s="30"/>
    </row>
    <row r="206" ht="14.25" customHeight="1">
      <c r="A206" s="30"/>
      <c r="B206" s="30"/>
      <c r="C206" s="104"/>
      <c r="D206" s="59"/>
      <c r="E206" s="59"/>
      <c r="F206" s="59"/>
      <c r="G206" s="161"/>
      <c r="H206" s="59"/>
      <c r="I206" s="104"/>
      <c r="J206" s="104"/>
      <c r="K206" s="104"/>
      <c r="L206" s="104"/>
      <c r="M206" s="104"/>
      <c r="N206" s="104"/>
      <c r="O206" s="104"/>
      <c r="P206" s="104"/>
      <c r="Q206" s="104"/>
      <c r="R206" s="104"/>
      <c r="S206" s="104"/>
      <c r="T206" s="104"/>
      <c r="U206" s="30"/>
      <c r="V206" s="30"/>
      <c r="W206" s="30"/>
      <c r="X206" s="30"/>
      <c r="Y206" s="30"/>
      <c r="Z206" s="30"/>
    </row>
    <row r="207" ht="14.25" customHeight="1">
      <c r="A207" s="30"/>
      <c r="B207" s="30"/>
      <c r="C207" s="104"/>
      <c r="D207" s="59"/>
      <c r="E207" s="59"/>
      <c r="F207" s="59"/>
      <c r="G207" s="161"/>
      <c r="H207" s="59"/>
      <c r="I207" s="104"/>
      <c r="J207" s="104"/>
      <c r="K207" s="104"/>
      <c r="L207" s="104"/>
      <c r="M207" s="104"/>
      <c r="N207" s="104"/>
      <c r="O207" s="104"/>
      <c r="P207" s="104"/>
      <c r="Q207" s="104"/>
      <c r="R207" s="104"/>
      <c r="S207" s="104"/>
      <c r="T207" s="104"/>
      <c r="U207" s="30"/>
      <c r="V207" s="30"/>
      <c r="W207" s="30"/>
      <c r="X207" s="30"/>
      <c r="Y207" s="30"/>
      <c r="Z207" s="30"/>
    </row>
    <row r="208" ht="14.25" customHeight="1">
      <c r="A208" s="30"/>
      <c r="B208" s="30"/>
      <c r="C208" s="104"/>
      <c r="D208" s="59"/>
      <c r="E208" s="59"/>
      <c r="F208" s="59"/>
      <c r="G208" s="161"/>
      <c r="H208" s="59"/>
      <c r="I208" s="104"/>
      <c r="J208" s="104"/>
      <c r="K208" s="104"/>
      <c r="L208" s="104"/>
      <c r="M208" s="104"/>
      <c r="N208" s="104"/>
      <c r="O208" s="104"/>
      <c r="P208" s="104"/>
      <c r="Q208" s="104"/>
      <c r="R208" s="104"/>
      <c r="S208" s="104"/>
      <c r="T208" s="104"/>
      <c r="U208" s="30"/>
      <c r="V208" s="30"/>
      <c r="W208" s="30"/>
      <c r="X208" s="30"/>
      <c r="Y208" s="30"/>
      <c r="Z208" s="30"/>
    </row>
    <row r="209" ht="14.25" customHeight="1">
      <c r="A209" s="30"/>
      <c r="B209" s="30"/>
      <c r="C209" s="104"/>
      <c r="D209" s="59"/>
      <c r="E209" s="59"/>
      <c r="F209" s="59"/>
      <c r="G209" s="161"/>
      <c r="H209" s="59"/>
      <c r="I209" s="104"/>
      <c r="J209" s="104"/>
      <c r="K209" s="104"/>
      <c r="L209" s="104"/>
      <c r="M209" s="104"/>
      <c r="N209" s="104"/>
      <c r="O209" s="104"/>
      <c r="P209" s="104"/>
      <c r="Q209" s="104"/>
      <c r="R209" s="104"/>
      <c r="S209" s="104"/>
      <c r="T209" s="104"/>
      <c r="U209" s="30"/>
      <c r="V209" s="30"/>
      <c r="W209" s="30"/>
      <c r="X209" s="30"/>
      <c r="Y209" s="30"/>
      <c r="Z209" s="30"/>
    </row>
    <row r="210" ht="14.25" customHeight="1">
      <c r="A210" s="30"/>
      <c r="B210" s="30"/>
      <c r="C210" s="104"/>
      <c r="D210" s="59"/>
      <c r="E210" s="59"/>
      <c r="F210" s="59"/>
      <c r="G210" s="161"/>
      <c r="H210" s="59"/>
      <c r="I210" s="104"/>
      <c r="J210" s="104"/>
      <c r="K210" s="104"/>
      <c r="L210" s="104"/>
      <c r="M210" s="104"/>
      <c r="N210" s="104"/>
      <c r="O210" s="104"/>
      <c r="P210" s="104"/>
      <c r="Q210" s="104"/>
      <c r="R210" s="104"/>
      <c r="S210" s="104"/>
      <c r="T210" s="104"/>
      <c r="U210" s="30"/>
      <c r="V210" s="30"/>
      <c r="W210" s="30"/>
      <c r="X210" s="30"/>
      <c r="Y210" s="30"/>
      <c r="Z210" s="30"/>
    </row>
    <row r="211" ht="14.25" customHeight="1">
      <c r="A211" s="30"/>
      <c r="B211" s="30"/>
      <c r="C211" s="104"/>
      <c r="D211" s="59"/>
      <c r="E211" s="59"/>
      <c r="F211" s="59"/>
      <c r="G211" s="161"/>
      <c r="H211" s="59"/>
      <c r="I211" s="104"/>
      <c r="J211" s="104"/>
      <c r="K211" s="104"/>
      <c r="L211" s="104"/>
      <c r="M211" s="104"/>
      <c r="N211" s="104"/>
      <c r="O211" s="104"/>
      <c r="P211" s="104"/>
      <c r="Q211" s="104"/>
      <c r="R211" s="104"/>
      <c r="S211" s="104"/>
      <c r="T211" s="104"/>
      <c r="U211" s="30"/>
      <c r="V211" s="30"/>
      <c r="W211" s="30"/>
      <c r="X211" s="30"/>
      <c r="Y211" s="30"/>
      <c r="Z211" s="30"/>
    </row>
    <row r="212" ht="14.25" customHeight="1">
      <c r="A212" s="30"/>
      <c r="B212" s="30"/>
      <c r="C212" s="104"/>
      <c r="D212" s="59"/>
      <c r="E212" s="59"/>
      <c r="F212" s="59"/>
      <c r="G212" s="161"/>
      <c r="H212" s="59"/>
      <c r="I212" s="104"/>
      <c r="J212" s="104"/>
      <c r="K212" s="104"/>
      <c r="L212" s="104"/>
      <c r="M212" s="104"/>
      <c r="N212" s="104"/>
      <c r="O212" s="104"/>
      <c r="P212" s="104"/>
      <c r="Q212" s="104"/>
      <c r="R212" s="104"/>
      <c r="S212" s="104"/>
      <c r="T212" s="104"/>
      <c r="U212" s="30"/>
      <c r="V212" s="30"/>
      <c r="W212" s="30"/>
      <c r="X212" s="30"/>
      <c r="Y212" s="30"/>
      <c r="Z212" s="30"/>
    </row>
    <row r="213" ht="14.25" customHeight="1">
      <c r="A213" s="30"/>
      <c r="B213" s="30"/>
      <c r="C213" s="104"/>
      <c r="D213" s="59"/>
      <c r="E213" s="59"/>
      <c r="F213" s="59"/>
      <c r="G213" s="161"/>
      <c r="H213" s="59"/>
      <c r="I213" s="104"/>
      <c r="J213" s="104"/>
      <c r="K213" s="104"/>
      <c r="L213" s="104"/>
      <c r="M213" s="104"/>
      <c r="N213" s="104"/>
      <c r="O213" s="104"/>
      <c r="P213" s="104"/>
      <c r="Q213" s="104"/>
      <c r="R213" s="104"/>
      <c r="S213" s="104"/>
      <c r="T213" s="104"/>
      <c r="U213" s="30"/>
      <c r="V213" s="30"/>
      <c r="W213" s="30"/>
      <c r="X213" s="30"/>
      <c r="Y213" s="30"/>
      <c r="Z213" s="30"/>
    </row>
    <row r="214" ht="14.25" customHeight="1">
      <c r="A214" s="30"/>
      <c r="B214" s="30"/>
      <c r="C214" s="104"/>
      <c r="D214" s="59"/>
      <c r="E214" s="59"/>
      <c r="F214" s="59"/>
      <c r="G214" s="161"/>
      <c r="H214" s="59"/>
      <c r="I214" s="104"/>
      <c r="J214" s="104"/>
      <c r="K214" s="104"/>
      <c r="L214" s="104"/>
      <c r="M214" s="104"/>
      <c r="N214" s="104"/>
      <c r="O214" s="104"/>
      <c r="P214" s="104"/>
      <c r="Q214" s="104"/>
      <c r="R214" s="104"/>
      <c r="S214" s="104"/>
      <c r="T214" s="104"/>
      <c r="U214" s="30"/>
      <c r="V214" s="30"/>
      <c r="W214" s="30"/>
      <c r="X214" s="30"/>
      <c r="Y214" s="30"/>
      <c r="Z214" s="30"/>
    </row>
    <row r="215" ht="14.25" customHeight="1">
      <c r="A215" s="30"/>
      <c r="B215" s="30"/>
      <c r="C215" s="104"/>
      <c r="D215" s="59"/>
      <c r="E215" s="59"/>
      <c r="F215" s="59"/>
      <c r="G215" s="161"/>
      <c r="H215" s="59"/>
      <c r="I215" s="104"/>
      <c r="J215" s="104"/>
      <c r="K215" s="104"/>
      <c r="L215" s="104"/>
      <c r="M215" s="104"/>
      <c r="N215" s="104"/>
      <c r="O215" s="104"/>
      <c r="P215" s="104"/>
      <c r="Q215" s="104"/>
      <c r="R215" s="104"/>
      <c r="S215" s="104"/>
      <c r="T215" s="104"/>
      <c r="U215" s="30"/>
      <c r="V215" s="30"/>
      <c r="W215" s="30"/>
      <c r="X215" s="30"/>
      <c r="Y215" s="30"/>
      <c r="Z215" s="30"/>
    </row>
    <row r="216" ht="14.25" customHeight="1">
      <c r="A216" s="30"/>
      <c r="B216" s="30"/>
      <c r="C216" s="104"/>
      <c r="D216" s="59"/>
      <c r="E216" s="59"/>
      <c r="F216" s="59"/>
      <c r="G216" s="161"/>
      <c r="H216" s="59"/>
      <c r="I216" s="104"/>
      <c r="J216" s="104"/>
      <c r="K216" s="104"/>
      <c r="L216" s="104"/>
      <c r="M216" s="104"/>
      <c r="N216" s="104"/>
      <c r="O216" s="104"/>
      <c r="P216" s="104"/>
      <c r="Q216" s="104"/>
      <c r="R216" s="104"/>
      <c r="S216" s="104"/>
      <c r="T216" s="104"/>
      <c r="U216" s="30"/>
      <c r="V216" s="30"/>
      <c r="W216" s="30"/>
      <c r="X216" s="30"/>
      <c r="Y216" s="30"/>
      <c r="Z216" s="30"/>
    </row>
    <row r="217" ht="14.25" customHeight="1">
      <c r="A217" s="30"/>
      <c r="B217" s="30"/>
      <c r="C217" s="104"/>
      <c r="D217" s="59"/>
      <c r="E217" s="59"/>
      <c r="F217" s="59"/>
      <c r="G217" s="161"/>
      <c r="H217" s="59"/>
      <c r="I217" s="104"/>
      <c r="J217" s="104"/>
      <c r="K217" s="104"/>
      <c r="L217" s="104"/>
      <c r="M217" s="104"/>
      <c r="N217" s="104"/>
      <c r="O217" s="104"/>
      <c r="P217" s="104"/>
      <c r="Q217" s="104"/>
      <c r="R217" s="104"/>
      <c r="S217" s="104"/>
      <c r="T217" s="104"/>
      <c r="U217" s="30"/>
      <c r="V217" s="30"/>
      <c r="W217" s="30"/>
      <c r="X217" s="30"/>
      <c r="Y217" s="30"/>
      <c r="Z217" s="30"/>
    </row>
    <row r="218" ht="14.25" customHeight="1">
      <c r="A218" s="30"/>
      <c r="B218" s="30"/>
      <c r="C218" s="104"/>
      <c r="D218" s="59"/>
      <c r="E218" s="59"/>
      <c r="F218" s="59"/>
      <c r="G218" s="161"/>
      <c r="H218" s="59"/>
      <c r="I218" s="104"/>
      <c r="J218" s="104"/>
      <c r="K218" s="104"/>
      <c r="L218" s="104"/>
      <c r="M218" s="104"/>
      <c r="N218" s="104"/>
      <c r="O218" s="104"/>
      <c r="P218" s="104"/>
      <c r="Q218" s="104"/>
      <c r="R218" s="104"/>
      <c r="S218" s="104"/>
      <c r="T218" s="104"/>
      <c r="U218" s="30"/>
      <c r="V218" s="30"/>
      <c r="W218" s="30"/>
      <c r="X218" s="30"/>
      <c r="Y218" s="30"/>
      <c r="Z218" s="30"/>
    </row>
    <row r="219" ht="14.25" customHeight="1">
      <c r="A219" s="30"/>
      <c r="B219" s="30"/>
      <c r="C219" s="104"/>
      <c r="D219" s="59"/>
      <c r="E219" s="59"/>
      <c r="F219" s="59"/>
      <c r="G219" s="161"/>
      <c r="H219" s="59"/>
      <c r="I219" s="104"/>
      <c r="J219" s="104"/>
      <c r="K219" s="104"/>
      <c r="L219" s="104"/>
      <c r="M219" s="104"/>
      <c r="N219" s="104"/>
      <c r="O219" s="104"/>
      <c r="P219" s="104"/>
      <c r="Q219" s="104"/>
      <c r="R219" s="104"/>
      <c r="S219" s="104"/>
      <c r="T219" s="104"/>
      <c r="U219" s="30"/>
      <c r="V219" s="30"/>
      <c r="W219" s="30"/>
      <c r="X219" s="30"/>
      <c r="Y219" s="30"/>
      <c r="Z219" s="30"/>
    </row>
    <row r="220" ht="14.25" customHeight="1">
      <c r="A220" s="30"/>
      <c r="B220" s="30"/>
      <c r="C220" s="104"/>
      <c r="D220" s="59"/>
      <c r="E220" s="59"/>
      <c r="F220" s="59"/>
      <c r="G220" s="161"/>
      <c r="H220" s="59"/>
      <c r="I220" s="104"/>
      <c r="J220" s="104"/>
      <c r="K220" s="104"/>
      <c r="L220" s="104"/>
      <c r="M220" s="104"/>
      <c r="N220" s="104"/>
      <c r="O220" s="104"/>
      <c r="P220" s="104"/>
      <c r="Q220" s="104"/>
      <c r="R220" s="104"/>
      <c r="S220" s="104"/>
      <c r="T220" s="104"/>
      <c r="U220" s="30"/>
      <c r="V220" s="30"/>
      <c r="W220" s="30"/>
      <c r="X220" s="30"/>
      <c r="Y220" s="30"/>
      <c r="Z220" s="30"/>
    </row>
    <row r="221" ht="14.25" customHeight="1">
      <c r="A221" s="30"/>
      <c r="B221" s="30"/>
      <c r="C221" s="104"/>
      <c r="D221" s="59"/>
      <c r="E221" s="59"/>
      <c r="F221" s="59"/>
      <c r="G221" s="161"/>
      <c r="H221" s="59"/>
      <c r="I221" s="104"/>
      <c r="J221" s="104"/>
      <c r="K221" s="104"/>
      <c r="L221" s="104"/>
      <c r="M221" s="104"/>
      <c r="N221" s="104"/>
      <c r="O221" s="104"/>
      <c r="P221" s="104"/>
      <c r="Q221" s="104"/>
      <c r="R221" s="104"/>
      <c r="S221" s="104"/>
      <c r="T221" s="104"/>
      <c r="U221" s="30"/>
      <c r="V221" s="30"/>
      <c r="W221" s="30"/>
      <c r="X221" s="30"/>
      <c r="Y221" s="30"/>
      <c r="Z221" s="30"/>
    </row>
    <row r="222" ht="14.25" customHeight="1">
      <c r="A222" s="30"/>
      <c r="B222" s="30"/>
      <c r="C222" s="104"/>
      <c r="D222" s="59"/>
      <c r="E222" s="59"/>
      <c r="F222" s="59"/>
      <c r="G222" s="161"/>
      <c r="H222" s="59"/>
      <c r="I222" s="104"/>
      <c r="J222" s="104"/>
      <c r="K222" s="104"/>
      <c r="L222" s="104"/>
      <c r="M222" s="104"/>
      <c r="N222" s="104"/>
      <c r="O222" s="104"/>
      <c r="P222" s="104"/>
      <c r="Q222" s="104"/>
      <c r="R222" s="104"/>
      <c r="S222" s="104"/>
      <c r="T222" s="104"/>
      <c r="U222" s="30"/>
      <c r="V222" s="30"/>
      <c r="W222" s="30"/>
      <c r="X222" s="30"/>
      <c r="Y222" s="30"/>
      <c r="Z222" s="30"/>
    </row>
    <row r="223" ht="14.25" customHeight="1">
      <c r="A223" s="30"/>
      <c r="B223" s="30"/>
      <c r="C223" s="104"/>
      <c r="D223" s="59"/>
      <c r="E223" s="59"/>
      <c r="F223" s="59"/>
      <c r="G223" s="161"/>
      <c r="H223" s="59"/>
      <c r="I223" s="104"/>
      <c r="J223" s="104"/>
      <c r="K223" s="104"/>
      <c r="L223" s="104"/>
      <c r="M223" s="104"/>
      <c r="N223" s="104"/>
      <c r="O223" s="104"/>
      <c r="P223" s="104"/>
      <c r="Q223" s="104"/>
      <c r="R223" s="104"/>
      <c r="S223" s="104"/>
      <c r="T223" s="104"/>
      <c r="U223" s="30"/>
      <c r="V223" s="30"/>
      <c r="W223" s="30"/>
      <c r="X223" s="30"/>
      <c r="Y223" s="30"/>
      <c r="Z223" s="30"/>
    </row>
    <row r="224" ht="14.25" customHeight="1">
      <c r="A224" s="30"/>
      <c r="B224" s="30"/>
      <c r="C224" s="104"/>
      <c r="D224" s="59"/>
      <c r="E224" s="59"/>
      <c r="F224" s="59"/>
      <c r="G224" s="161"/>
      <c r="H224" s="59"/>
      <c r="I224" s="104"/>
      <c r="J224" s="104"/>
      <c r="K224" s="104"/>
      <c r="L224" s="104"/>
      <c r="M224" s="104"/>
      <c r="N224" s="104"/>
      <c r="O224" s="104"/>
      <c r="P224" s="104"/>
      <c r="Q224" s="104"/>
      <c r="R224" s="104"/>
      <c r="S224" s="104"/>
      <c r="T224" s="104"/>
      <c r="U224" s="30"/>
      <c r="V224" s="30"/>
      <c r="W224" s="30"/>
      <c r="X224" s="30"/>
      <c r="Y224" s="30"/>
      <c r="Z224" s="30"/>
    </row>
    <row r="225" ht="14.25" customHeight="1">
      <c r="A225" s="30"/>
      <c r="B225" s="30"/>
      <c r="C225" s="104"/>
      <c r="D225" s="59"/>
      <c r="E225" s="59"/>
      <c r="F225" s="59"/>
      <c r="G225" s="161"/>
      <c r="H225" s="59"/>
      <c r="I225" s="104"/>
      <c r="J225" s="104"/>
      <c r="K225" s="104"/>
      <c r="L225" s="104"/>
      <c r="M225" s="104"/>
      <c r="N225" s="104"/>
      <c r="O225" s="104"/>
      <c r="P225" s="104"/>
      <c r="Q225" s="104"/>
      <c r="R225" s="104"/>
      <c r="S225" s="104"/>
      <c r="T225" s="104"/>
      <c r="U225" s="30"/>
      <c r="V225" s="30"/>
      <c r="W225" s="30"/>
      <c r="X225" s="30"/>
      <c r="Y225" s="30"/>
      <c r="Z225" s="30"/>
    </row>
    <row r="226" ht="14.25" customHeight="1">
      <c r="A226" s="30"/>
      <c r="B226" s="30"/>
      <c r="C226" s="104"/>
      <c r="D226" s="59"/>
      <c r="E226" s="59"/>
      <c r="F226" s="59"/>
      <c r="G226" s="161"/>
      <c r="H226" s="59"/>
      <c r="I226" s="104"/>
      <c r="J226" s="104"/>
      <c r="K226" s="104"/>
      <c r="L226" s="104"/>
      <c r="M226" s="104"/>
      <c r="N226" s="104"/>
      <c r="O226" s="104"/>
      <c r="P226" s="104"/>
      <c r="Q226" s="104"/>
      <c r="R226" s="104"/>
      <c r="S226" s="104"/>
      <c r="T226" s="104"/>
      <c r="U226" s="30"/>
      <c r="V226" s="30"/>
      <c r="W226" s="30"/>
      <c r="X226" s="30"/>
      <c r="Y226" s="30"/>
      <c r="Z226" s="30"/>
    </row>
    <row r="227" ht="14.25" customHeight="1">
      <c r="A227" s="30"/>
      <c r="B227" s="30"/>
      <c r="C227" s="104"/>
      <c r="D227" s="59"/>
      <c r="E227" s="59"/>
      <c r="F227" s="59"/>
      <c r="G227" s="161"/>
      <c r="H227" s="59"/>
      <c r="I227" s="104"/>
      <c r="J227" s="104"/>
      <c r="K227" s="104"/>
      <c r="L227" s="104"/>
      <c r="M227" s="104"/>
      <c r="N227" s="104"/>
      <c r="O227" s="104"/>
      <c r="P227" s="104"/>
      <c r="Q227" s="104"/>
      <c r="R227" s="104"/>
      <c r="S227" s="104"/>
      <c r="T227" s="104"/>
      <c r="U227" s="30"/>
      <c r="V227" s="30"/>
      <c r="W227" s="30"/>
      <c r="X227" s="30"/>
      <c r="Y227" s="30"/>
      <c r="Z227" s="30"/>
    </row>
    <row r="228" ht="14.25" customHeight="1">
      <c r="A228" s="30"/>
      <c r="B228" s="30"/>
      <c r="C228" s="104"/>
      <c r="D228" s="59"/>
      <c r="E228" s="59"/>
      <c r="F228" s="59"/>
      <c r="G228" s="161"/>
      <c r="H228" s="59"/>
      <c r="I228" s="104"/>
      <c r="J228" s="104"/>
      <c r="K228" s="104"/>
      <c r="L228" s="104"/>
      <c r="M228" s="104"/>
      <c r="N228" s="104"/>
      <c r="O228" s="104"/>
      <c r="P228" s="104"/>
      <c r="Q228" s="104"/>
      <c r="R228" s="104"/>
      <c r="S228" s="104"/>
      <c r="T228" s="104"/>
      <c r="U228" s="30"/>
      <c r="V228" s="30"/>
      <c r="W228" s="30"/>
      <c r="X228" s="30"/>
      <c r="Y228" s="30"/>
      <c r="Z228" s="30"/>
    </row>
    <row r="229" ht="14.25" customHeight="1">
      <c r="A229" s="30"/>
      <c r="B229" s="30"/>
      <c r="C229" s="104"/>
      <c r="D229" s="59"/>
      <c r="E229" s="59"/>
      <c r="F229" s="59"/>
      <c r="G229" s="161"/>
      <c r="H229" s="59"/>
      <c r="I229" s="104"/>
      <c r="J229" s="104"/>
      <c r="K229" s="104"/>
      <c r="L229" s="104"/>
      <c r="M229" s="104"/>
      <c r="N229" s="104"/>
      <c r="O229" s="104"/>
      <c r="P229" s="104"/>
      <c r="Q229" s="104"/>
      <c r="R229" s="104"/>
      <c r="S229" s="104"/>
      <c r="T229" s="104"/>
      <c r="U229" s="30"/>
      <c r="V229" s="30"/>
      <c r="W229" s="30"/>
      <c r="X229" s="30"/>
      <c r="Y229" s="30"/>
      <c r="Z229" s="30"/>
    </row>
    <row r="230" ht="14.25" customHeight="1">
      <c r="A230" s="30"/>
      <c r="B230" s="30"/>
      <c r="C230" s="104"/>
      <c r="D230" s="59"/>
      <c r="E230" s="59"/>
      <c r="F230" s="59"/>
      <c r="G230" s="161"/>
      <c r="H230" s="59"/>
      <c r="I230" s="104"/>
      <c r="J230" s="104"/>
      <c r="K230" s="104"/>
      <c r="L230" s="104"/>
      <c r="M230" s="104"/>
      <c r="N230" s="104"/>
      <c r="O230" s="104"/>
      <c r="P230" s="104"/>
      <c r="Q230" s="104"/>
      <c r="R230" s="104"/>
      <c r="S230" s="104"/>
      <c r="T230" s="104"/>
      <c r="U230" s="30"/>
      <c r="V230" s="30"/>
      <c r="W230" s="30"/>
      <c r="X230" s="30"/>
      <c r="Y230" s="30"/>
      <c r="Z230" s="30"/>
    </row>
    <row r="231" ht="14.25" customHeight="1">
      <c r="A231" s="30"/>
      <c r="B231" s="30"/>
      <c r="C231" s="104"/>
      <c r="D231" s="59"/>
      <c r="E231" s="59"/>
      <c r="F231" s="59"/>
      <c r="G231" s="161"/>
      <c r="H231" s="59"/>
      <c r="I231" s="104"/>
      <c r="J231" s="104"/>
      <c r="K231" s="104"/>
      <c r="L231" s="104"/>
      <c r="M231" s="104"/>
      <c r="N231" s="104"/>
      <c r="O231" s="104"/>
      <c r="P231" s="104"/>
      <c r="Q231" s="104"/>
      <c r="R231" s="104"/>
      <c r="S231" s="104"/>
      <c r="T231" s="104"/>
      <c r="U231" s="30"/>
      <c r="V231" s="30"/>
      <c r="W231" s="30"/>
      <c r="X231" s="30"/>
      <c r="Y231" s="30"/>
      <c r="Z231" s="30"/>
    </row>
    <row r="232" ht="14.25" customHeight="1">
      <c r="A232" s="30"/>
      <c r="B232" s="30"/>
      <c r="C232" s="104"/>
      <c r="D232" s="59"/>
      <c r="E232" s="59"/>
      <c r="F232" s="59"/>
      <c r="G232" s="161"/>
      <c r="H232" s="59"/>
      <c r="I232" s="104"/>
      <c r="J232" s="104"/>
      <c r="K232" s="104"/>
      <c r="L232" s="104"/>
      <c r="M232" s="104"/>
      <c r="N232" s="104"/>
      <c r="O232" s="104"/>
      <c r="P232" s="104"/>
      <c r="Q232" s="104"/>
      <c r="R232" s="104"/>
      <c r="S232" s="104"/>
      <c r="T232" s="104"/>
      <c r="U232" s="30"/>
      <c r="V232" s="30"/>
      <c r="W232" s="30"/>
      <c r="X232" s="30"/>
      <c r="Y232" s="30"/>
      <c r="Z232" s="30"/>
    </row>
    <row r="233" ht="14.25" customHeight="1">
      <c r="A233" s="30"/>
      <c r="B233" s="30"/>
      <c r="C233" s="104"/>
      <c r="D233" s="59"/>
      <c r="E233" s="59"/>
      <c r="F233" s="59"/>
      <c r="G233" s="161"/>
      <c r="H233" s="59"/>
      <c r="I233" s="104"/>
      <c r="J233" s="104"/>
      <c r="K233" s="104"/>
      <c r="L233" s="104"/>
      <c r="M233" s="104"/>
      <c r="N233" s="104"/>
      <c r="O233" s="104"/>
      <c r="P233" s="104"/>
      <c r="Q233" s="104"/>
      <c r="R233" s="104"/>
      <c r="S233" s="104"/>
      <c r="T233" s="104"/>
      <c r="U233" s="30"/>
      <c r="V233" s="30"/>
      <c r="W233" s="30"/>
      <c r="X233" s="30"/>
      <c r="Y233" s="30"/>
      <c r="Z233" s="30"/>
    </row>
    <row r="234" ht="14.25" customHeight="1">
      <c r="A234" s="30"/>
      <c r="B234" s="30"/>
      <c r="C234" s="104"/>
      <c r="D234" s="59"/>
      <c r="E234" s="59"/>
      <c r="F234" s="59"/>
      <c r="G234" s="161"/>
      <c r="H234" s="59"/>
      <c r="I234" s="104"/>
      <c r="J234" s="104"/>
      <c r="K234" s="104"/>
      <c r="L234" s="104"/>
      <c r="M234" s="104"/>
      <c r="N234" s="104"/>
      <c r="O234" s="104"/>
      <c r="P234" s="104"/>
      <c r="Q234" s="104"/>
      <c r="R234" s="104"/>
      <c r="S234" s="104"/>
      <c r="T234" s="104"/>
      <c r="U234" s="30"/>
      <c r="V234" s="30"/>
      <c r="W234" s="30"/>
      <c r="X234" s="30"/>
      <c r="Y234" s="30"/>
      <c r="Z234" s="30"/>
    </row>
    <row r="235" ht="14.25" customHeight="1">
      <c r="A235" s="30"/>
      <c r="B235" s="30"/>
      <c r="C235" s="104"/>
      <c r="D235" s="59"/>
      <c r="E235" s="59"/>
      <c r="F235" s="59"/>
      <c r="G235" s="161"/>
      <c r="H235" s="59"/>
      <c r="I235" s="104"/>
      <c r="J235" s="104"/>
      <c r="K235" s="104"/>
      <c r="L235" s="104"/>
      <c r="M235" s="104"/>
      <c r="N235" s="104"/>
      <c r="O235" s="104"/>
      <c r="P235" s="104"/>
      <c r="Q235" s="104"/>
      <c r="R235" s="104"/>
      <c r="S235" s="104"/>
      <c r="T235" s="104"/>
      <c r="U235" s="30"/>
      <c r="V235" s="30"/>
      <c r="W235" s="30"/>
      <c r="X235" s="30"/>
      <c r="Y235" s="30"/>
      <c r="Z235" s="30"/>
    </row>
    <row r="236" ht="14.25" customHeight="1">
      <c r="A236" s="30"/>
      <c r="B236" s="30"/>
      <c r="C236" s="104"/>
      <c r="D236" s="59"/>
      <c r="E236" s="59"/>
      <c r="F236" s="59"/>
      <c r="G236" s="161"/>
      <c r="H236" s="59"/>
      <c r="I236" s="104"/>
      <c r="J236" s="104"/>
      <c r="K236" s="104"/>
      <c r="L236" s="104"/>
      <c r="M236" s="104"/>
      <c r="N236" s="104"/>
      <c r="O236" s="104"/>
      <c r="P236" s="104"/>
      <c r="Q236" s="104"/>
      <c r="R236" s="104"/>
      <c r="S236" s="104"/>
      <c r="T236" s="104"/>
      <c r="U236" s="30"/>
      <c r="V236" s="30"/>
      <c r="W236" s="30"/>
      <c r="X236" s="30"/>
      <c r="Y236" s="30"/>
      <c r="Z236" s="30"/>
    </row>
    <row r="237" ht="14.25" customHeight="1">
      <c r="A237" s="30"/>
      <c r="B237" s="30"/>
      <c r="C237" s="104"/>
      <c r="D237" s="59"/>
      <c r="E237" s="59"/>
      <c r="F237" s="59"/>
      <c r="G237" s="161"/>
      <c r="H237" s="59"/>
      <c r="I237" s="104"/>
      <c r="J237" s="104"/>
      <c r="K237" s="104"/>
      <c r="L237" s="104"/>
      <c r="M237" s="104"/>
      <c r="N237" s="104"/>
      <c r="O237" s="104"/>
      <c r="P237" s="104"/>
      <c r="Q237" s="104"/>
      <c r="R237" s="104"/>
      <c r="S237" s="104"/>
      <c r="T237" s="104"/>
      <c r="U237" s="30"/>
      <c r="V237" s="30"/>
      <c r="W237" s="30"/>
      <c r="X237" s="30"/>
      <c r="Y237" s="30"/>
      <c r="Z237" s="30"/>
    </row>
    <row r="238" ht="14.25" customHeight="1">
      <c r="A238" s="30"/>
      <c r="B238" s="30"/>
      <c r="C238" s="104"/>
      <c r="D238" s="59"/>
      <c r="E238" s="59"/>
      <c r="F238" s="59"/>
      <c r="G238" s="161"/>
      <c r="H238" s="59"/>
      <c r="I238" s="104"/>
      <c r="J238" s="104"/>
      <c r="K238" s="104"/>
      <c r="L238" s="104"/>
      <c r="M238" s="104"/>
      <c r="N238" s="104"/>
      <c r="O238" s="104"/>
      <c r="P238" s="104"/>
      <c r="Q238" s="104"/>
      <c r="R238" s="104"/>
      <c r="S238" s="104"/>
      <c r="T238" s="104"/>
      <c r="U238" s="30"/>
      <c r="V238" s="30"/>
      <c r="W238" s="30"/>
      <c r="X238" s="30"/>
      <c r="Y238" s="30"/>
      <c r="Z238" s="30"/>
    </row>
    <row r="239" ht="14.25" customHeight="1">
      <c r="A239" s="30"/>
      <c r="B239" s="30"/>
      <c r="C239" s="104"/>
      <c r="D239" s="59"/>
      <c r="E239" s="59"/>
      <c r="F239" s="59"/>
      <c r="G239" s="161"/>
      <c r="H239" s="59"/>
      <c r="I239" s="104"/>
      <c r="J239" s="104"/>
      <c r="K239" s="104"/>
      <c r="L239" s="104"/>
      <c r="M239" s="104"/>
      <c r="N239" s="104"/>
      <c r="O239" s="104"/>
      <c r="P239" s="104"/>
      <c r="Q239" s="104"/>
      <c r="R239" s="104"/>
      <c r="S239" s="104"/>
      <c r="T239" s="104"/>
      <c r="U239" s="30"/>
      <c r="V239" s="30"/>
      <c r="W239" s="30"/>
      <c r="X239" s="30"/>
      <c r="Y239" s="30"/>
      <c r="Z239" s="30"/>
    </row>
    <row r="240" ht="14.25" customHeight="1">
      <c r="A240" s="30"/>
      <c r="B240" s="30"/>
      <c r="C240" s="104"/>
      <c r="D240" s="59"/>
      <c r="E240" s="59"/>
      <c r="F240" s="59"/>
      <c r="G240" s="161"/>
      <c r="H240" s="59"/>
      <c r="I240" s="104"/>
      <c r="J240" s="104"/>
      <c r="K240" s="104"/>
      <c r="L240" s="104"/>
      <c r="M240" s="104"/>
      <c r="N240" s="104"/>
      <c r="O240" s="104"/>
      <c r="P240" s="104"/>
      <c r="Q240" s="104"/>
      <c r="R240" s="104"/>
      <c r="S240" s="104"/>
      <c r="T240" s="104"/>
      <c r="U240" s="30"/>
      <c r="V240" s="30"/>
      <c r="W240" s="30"/>
      <c r="X240" s="30"/>
      <c r="Y240" s="30"/>
      <c r="Z240" s="30"/>
    </row>
    <row r="241" ht="14.25" customHeight="1">
      <c r="A241" s="30"/>
      <c r="B241" s="30"/>
      <c r="C241" s="104"/>
      <c r="D241" s="59"/>
      <c r="E241" s="59"/>
      <c r="F241" s="59"/>
      <c r="G241" s="161"/>
      <c r="H241" s="59"/>
      <c r="I241" s="104"/>
      <c r="J241" s="104"/>
      <c r="K241" s="104"/>
      <c r="L241" s="104"/>
      <c r="M241" s="104"/>
      <c r="N241" s="104"/>
      <c r="O241" s="104"/>
      <c r="P241" s="104"/>
      <c r="Q241" s="104"/>
      <c r="R241" s="104"/>
      <c r="S241" s="104"/>
      <c r="T241" s="104"/>
      <c r="U241" s="30"/>
      <c r="V241" s="30"/>
      <c r="W241" s="30"/>
      <c r="X241" s="30"/>
      <c r="Y241" s="30"/>
      <c r="Z241" s="30"/>
    </row>
    <row r="242" ht="14.25" customHeight="1">
      <c r="A242" s="30"/>
      <c r="B242" s="30"/>
      <c r="C242" s="104"/>
      <c r="D242" s="59"/>
      <c r="E242" s="59"/>
      <c r="F242" s="59"/>
      <c r="G242" s="161"/>
      <c r="H242" s="59"/>
      <c r="I242" s="104"/>
      <c r="J242" s="104"/>
      <c r="K242" s="104"/>
      <c r="L242" s="104"/>
      <c r="M242" s="104"/>
      <c r="N242" s="104"/>
      <c r="O242" s="104"/>
      <c r="P242" s="104"/>
      <c r="Q242" s="104"/>
      <c r="R242" s="104"/>
      <c r="S242" s="104"/>
      <c r="T242" s="104"/>
      <c r="U242" s="30"/>
      <c r="V242" s="30"/>
      <c r="W242" s="30"/>
      <c r="X242" s="30"/>
      <c r="Y242" s="30"/>
      <c r="Z242" s="30"/>
    </row>
    <row r="243" ht="14.25" customHeight="1">
      <c r="A243" s="30"/>
      <c r="B243" s="30"/>
      <c r="C243" s="104"/>
      <c r="D243" s="59"/>
      <c r="E243" s="59"/>
      <c r="F243" s="59"/>
      <c r="G243" s="161"/>
      <c r="H243" s="59"/>
      <c r="I243" s="104"/>
      <c r="J243" s="104"/>
      <c r="K243" s="104"/>
      <c r="L243" s="104"/>
      <c r="M243" s="104"/>
      <c r="N243" s="104"/>
      <c r="O243" s="104"/>
      <c r="P243" s="104"/>
      <c r="Q243" s="104"/>
      <c r="R243" s="104"/>
      <c r="S243" s="104"/>
      <c r="T243" s="104"/>
      <c r="U243" s="30"/>
      <c r="V243" s="30"/>
      <c r="W243" s="30"/>
      <c r="X243" s="30"/>
      <c r="Y243" s="30"/>
      <c r="Z243" s="30"/>
    </row>
    <row r="244" ht="14.25" customHeight="1">
      <c r="A244" s="30"/>
      <c r="B244" s="30"/>
      <c r="C244" s="104"/>
      <c r="D244" s="59"/>
      <c r="E244" s="59"/>
      <c r="F244" s="59"/>
      <c r="G244" s="161"/>
      <c r="H244" s="59"/>
      <c r="I244" s="104"/>
      <c r="J244" s="104"/>
      <c r="K244" s="104"/>
      <c r="L244" s="104"/>
      <c r="M244" s="104"/>
      <c r="N244" s="104"/>
      <c r="O244" s="104"/>
      <c r="P244" s="104"/>
      <c r="Q244" s="104"/>
      <c r="R244" s="104"/>
      <c r="S244" s="104"/>
      <c r="T244" s="104"/>
      <c r="U244" s="30"/>
      <c r="V244" s="30"/>
      <c r="W244" s="30"/>
      <c r="X244" s="30"/>
      <c r="Y244" s="30"/>
      <c r="Z244" s="30"/>
    </row>
    <row r="245" ht="14.25" customHeight="1">
      <c r="A245" s="30"/>
      <c r="B245" s="30"/>
      <c r="C245" s="104"/>
      <c r="D245" s="59"/>
      <c r="E245" s="59"/>
      <c r="F245" s="59"/>
      <c r="G245" s="161"/>
      <c r="H245" s="59"/>
      <c r="I245" s="104"/>
      <c r="J245" s="104"/>
      <c r="K245" s="104"/>
      <c r="L245" s="104"/>
      <c r="M245" s="104"/>
      <c r="N245" s="104"/>
      <c r="O245" s="104"/>
      <c r="P245" s="104"/>
      <c r="Q245" s="104"/>
      <c r="R245" s="104"/>
      <c r="S245" s="104"/>
      <c r="T245" s="104"/>
      <c r="U245" s="30"/>
      <c r="V245" s="30"/>
      <c r="W245" s="30"/>
      <c r="X245" s="30"/>
      <c r="Y245" s="30"/>
      <c r="Z245" s="30"/>
    </row>
    <row r="246" ht="14.25" customHeight="1">
      <c r="A246" s="30"/>
      <c r="B246" s="30"/>
      <c r="C246" s="104"/>
      <c r="D246" s="59"/>
      <c r="E246" s="59"/>
      <c r="F246" s="59"/>
      <c r="G246" s="161"/>
      <c r="H246" s="59"/>
      <c r="I246" s="104"/>
      <c r="J246" s="104"/>
      <c r="K246" s="104"/>
      <c r="L246" s="104"/>
      <c r="M246" s="104"/>
      <c r="N246" s="104"/>
      <c r="O246" s="104"/>
      <c r="P246" s="104"/>
      <c r="Q246" s="104"/>
      <c r="R246" s="104"/>
      <c r="S246" s="104"/>
      <c r="T246" s="104"/>
      <c r="U246" s="30"/>
      <c r="V246" s="30"/>
      <c r="W246" s="30"/>
      <c r="X246" s="30"/>
      <c r="Y246" s="30"/>
      <c r="Z246" s="30"/>
    </row>
    <row r="247" ht="14.25" customHeight="1">
      <c r="A247" s="30"/>
      <c r="B247" s="30"/>
      <c r="C247" s="104"/>
      <c r="D247" s="59"/>
      <c r="E247" s="59"/>
      <c r="F247" s="59"/>
      <c r="G247" s="161"/>
      <c r="H247" s="59"/>
      <c r="I247" s="104"/>
      <c r="J247" s="104"/>
      <c r="K247" s="104"/>
      <c r="L247" s="104"/>
      <c r="M247" s="104"/>
      <c r="N247" s="104"/>
      <c r="O247" s="104"/>
      <c r="P247" s="104"/>
      <c r="Q247" s="104"/>
      <c r="R247" s="104"/>
      <c r="S247" s="104"/>
      <c r="T247" s="104"/>
      <c r="U247" s="30"/>
      <c r="V247" s="30"/>
      <c r="W247" s="30"/>
      <c r="X247" s="30"/>
      <c r="Y247" s="30"/>
      <c r="Z247" s="30"/>
    </row>
    <row r="248" ht="14.25" customHeight="1">
      <c r="A248" s="30"/>
      <c r="B248" s="30"/>
      <c r="C248" s="104"/>
      <c r="D248" s="59"/>
      <c r="E248" s="59"/>
      <c r="F248" s="59"/>
      <c r="G248" s="161"/>
      <c r="H248" s="59"/>
      <c r="I248" s="104"/>
      <c r="J248" s="104"/>
      <c r="K248" s="104"/>
      <c r="L248" s="104"/>
      <c r="M248" s="104"/>
      <c r="N248" s="104"/>
      <c r="O248" s="104"/>
      <c r="P248" s="104"/>
      <c r="Q248" s="104"/>
      <c r="R248" s="104"/>
      <c r="S248" s="104"/>
      <c r="T248" s="104"/>
      <c r="U248" s="30"/>
      <c r="V248" s="30"/>
      <c r="W248" s="30"/>
      <c r="X248" s="30"/>
      <c r="Y248" s="30"/>
      <c r="Z248" s="30"/>
    </row>
    <row r="249" ht="14.25" customHeight="1">
      <c r="A249" s="30"/>
      <c r="B249" s="30"/>
      <c r="C249" s="104"/>
      <c r="D249" s="59"/>
      <c r="E249" s="59"/>
      <c r="F249" s="59"/>
      <c r="G249" s="161"/>
      <c r="H249" s="59"/>
      <c r="I249" s="104"/>
      <c r="J249" s="104"/>
      <c r="K249" s="104"/>
      <c r="L249" s="104"/>
      <c r="M249" s="104"/>
      <c r="N249" s="104"/>
      <c r="O249" s="104"/>
      <c r="P249" s="104"/>
      <c r="Q249" s="104"/>
      <c r="R249" s="104"/>
      <c r="S249" s="104"/>
      <c r="T249" s="104"/>
      <c r="U249" s="30"/>
      <c r="V249" s="30"/>
      <c r="W249" s="30"/>
      <c r="X249" s="30"/>
      <c r="Y249" s="30"/>
      <c r="Z249" s="3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29:C30"/>
    <mergeCell ref="C31:C32"/>
    <mergeCell ref="C9:C10"/>
    <mergeCell ref="C13:C14"/>
    <mergeCell ref="C18:C19"/>
    <mergeCell ref="C20:C21"/>
    <mergeCell ref="C22:C23"/>
    <mergeCell ref="C24:C25"/>
    <mergeCell ref="C26:C27"/>
    <mergeCell ref="D31:D32"/>
    <mergeCell ref="E31:E32"/>
    <mergeCell ref="C33:C34"/>
    <mergeCell ref="D33:D34"/>
    <mergeCell ref="E33:E34"/>
    <mergeCell ref="D35:D36"/>
    <mergeCell ref="E35:E36"/>
    <mergeCell ref="C40:C41"/>
    <mergeCell ref="C42:C43"/>
    <mergeCell ref="D42:D43"/>
    <mergeCell ref="E42:E43"/>
    <mergeCell ref="C44:C45"/>
    <mergeCell ref="D44:D45"/>
    <mergeCell ref="C37:C38"/>
    <mergeCell ref="C46:C47"/>
    <mergeCell ref="D46:D47"/>
    <mergeCell ref="E46:E47"/>
    <mergeCell ref="C48:C49"/>
    <mergeCell ref="D48:D49"/>
    <mergeCell ref="C35:C36"/>
    <mergeCell ref="D37:D38"/>
    <mergeCell ref="E37:E38"/>
    <mergeCell ref="B40:B49"/>
    <mergeCell ref="D40:D41"/>
    <mergeCell ref="E40:E41"/>
    <mergeCell ref="E44:E45"/>
    <mergeCell ref="E48:E49"/>
    <mergeCell ref="D9:D10"/>
    <mergeCell ref="E9:E10"/>
    <mergeCell ref="C11:C12"/>
    <mergeCell ref="D11:D12"/>
    <mergeCell ref="D13:D14"/>
    <mergeCell ref="E13:E14"/>
    <mergeCell ref="B2:H2"/>
    <mergeCell ref="B3:H3"/>
    <mergeCell ref="B7:B16"/>
    <mergeCell ref="C7:C8"/>
    <mergeCell ref="D7:D8"/>
    <mergeCell ref="E7:E8"/>
    <mergeCell ref="E11:E12"/>
    <mergeCell ref="E15:E16"/>
    <mergeCell ref="C15:C16"/>
    <mergeCell ref="D15:D16"/>
    <mergeCell ref="D18:D19"/>
    <mergeCell ref="E18:E19"/>
    <mergeCell ref="D20:D21"/>
    <mergeCell ref="E20:E21"/>
    <mergeCell ref="E22:E23"/>
    <mergeCell ref="B18:B27"/>
    <mergeCell ref="B29:B38"/>
    <mergeCell ref="D22:D23"/>
    <mergeCell ref="D24:D25"/>
    <mergeCell ref="E24:E25"/>
    <mergeCell ref="D26:D27"/>
    <mergeCell ref="E26:E27"/>
    <mergeCell ref="D29:D30"/>
    <mergeCell ref="E29:E30"/>
  </mergeCells>
  <printOptions/>
  <pageMargins bottom="0.787401575" footer="0.0" header="0.0" left="0.511811024" right="0.511811024"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13.0"/>
    <col customWidth="1" min="3" max="3" width="9.14"/>
    <col customWidth="1" min="4" max="4" width="69.14"/>
    <col customWidth="1" min="5" max="5" width="12.14"/>
    <col customWidth="1" min="6" max="6" width="15.43"/>
    <col customWidth="1" min="7" max="8" width="12.71"/>
    <col customWidth="1" min="9" max="9" width="11.14"/>
    <col customWidth="1" min="10" max="11" width="14.0"/>
    <col customWidth="1" min="12" max="12" width="11.14"/>
    <col customWidth="1" min="13" max="13" width="1.29"/>
    <col customWidth="1" min="14" max="15" width="10.29"/>
    <col customWidth="1" min="16" max="23" width="8.71"/>
  </cols>
  <sheetData>
    <row r="1" ht="18.0" customHeight="1">
      <c r="A1" s="35"/>
      <c r="B1" s="35"/>
      <c r="C1" s="128"/>
      <c r="D1" s="128"/>
      <c r="E1" s="128"/>
      <c r="F1" s="128"/>
      <c r="G1" s="128"/>
      <c r="H1" s="183"/>
      <c r="I1" s="128"/>
      <c r="J1" s="128"/>
      <c r="K1" s="128"/>
      <c r="L1" s="128"/>
      <c r="M1" s="35"/>
      <c r="N1" s="184"/>
      <c r="O1" s="184"/>
      <c r="P1" s="35"/>
      <c r="Q1" s="35"/>
      <c r="R1" s="35"/>
      <c r="S1" s="35"/>
      <c r="T1" s="35"/>
      <c r="U1" s="35"/>
      <c r="V1" s="35"/>
      <c r="W1" s="35"/>
      <c r="X1" s="30"/>
      <c r="Y1" s="30"/>
      <c r="Z1" s="30"/>
    </row>
    <row r="2" ht="14.25" customHeight="1">
      <c r="A2" s="35"/>
      <c r="B2" s="185"/>
      <c r="C2" s="17"/>
      <c r="D2" s="17"/>
      <c r="E2" s="17"/>
      <c r="F2" s="17"/>
      <c r="G2" s="17"/>
      <c r="H2" s="17"/>
      <c r="I2" s="17"/>
      <c r="J2" s="17"/>
      <c r="K2" s="17"/>
      <c r="L2" s="17"/>
      <c r="M2" s="17"/>
      <c r="N2" s="17"/>
      <c r="O2" s="17"/>
      <c r="P2" s="35"/>
      <c r="Q2" s="35"/>
      <c r="R2" s="35"/>
      <c r="S2" s="35"/>
      <c r="T2" s="35"/>
      <c r="U2" s="35"/>
      <c r="V2" s="35"/>
      <c r="W2" s="35"/>
      <c r="X2" s="30"/>
      <c r="Y2" s="30"/>
      <c r="Z2" s="30"/>
    </row>
    <row r="3" ht="19.5" customHeight="1">
      <c r="A3" s="35"/>
      <c r="B3" s="132"/>
      <c r="C3" s="17"/>
      <c r="D3" s="17"/>
      <c r="E3" s="17"/>
      <c r="F3" s="17"/>
      <c r="G3" s="17"/>
      <c r="H3" s="17"/>
      <c r="I3" s="17"/>
      <c r="J3" s="17"/>
      <c r="K3" s="17"/>
      <c r="L3" s="17"/>
      <c r="M3" s="17"/>
      <c r="N3" s="17"/>
      <c r="O3" s="17"/>
      <c r="P3" s="35"/>
      <c r="Q3" s="35"/>
      <c r="R3" s="35"/>
      <c r="S3" s="35"/>
      <c r="T3" s="35"/>
      <c r="U3" s="35"/>
      <c r="V3" s="35"/>
      <c r="W3" s="35"/>
      <c r="X3" s="30"/>
      <c r="Y3" s="30"/>
      <c r="Z3" s="30"/>
    </row>
    <row r="4" ht="96.0" customHeight="1">
      <c r="A4" s="35"/>
      <c r="B4" s="35"/>
      <c r="C4" s="128"/>
      <c r="D4" s="128"/>
      <c r="E4" s="128"/>
      <c r="F4" s="128"/>
      <c r="G4" s="128"/>
      <c r="H4" s="183"/>
      <c r="I4" s="128"/>
      <c r="J4" s="128"/>
      <c r="K4" s="128"/>
      <c r="L4" s="128"/>
      <c r="M4" s="35"/>
      <c r="N4" s="184"/>
      <c r="O4" s="184"/>
      <c r="P4" s="35"/>
      <c r="Q4" s="35"/>
      <c r="R4" s="35"/>
      <c r="S4" s="35"/>
      <c r="T4" s="35"/>
      <c r="U4" s="35"/>
      <c r="V4" s="35"/>
      <c r="W4" s="35"/>
      <c r="X4" s="30"/>
      <c r="Y4" s="30"/>
      <c r="Z4" s="30"/>
    </row>
    <row r="5" ht="14.25" customHeight="1">
      <c r="A5" s="35"/>
      <c r="B5" s="186" t="s">
        <v>116</v>
      </c>
      <c r="C5" s="187"/>
      <c r="D5" s="188">
        <v>45292.0</v>
      </c>
      <c r="E5" s="186"/>
      <c r="F5" s="187"/>
      <c r="G5" s="189" t="s">
        <v>117</v>
      </c>
      <c r="H5" s="190"/>
      <c r="I5" s="187"/>
      <c r="J5" s="189" t="s">
        <v>118</v>
      </c>
      <c r="K5" s="190"/>
      <c r="L5" s="187"/>
      <c r="M5" s="189"/>
      <c r="N5" s="190"/>
      <c r="O5" s="187"/>
      <c r="P5" s="30"/>
      <c r="Q5" s="30"/>
      <c r="R5" s="30"/>
      <c r="S5" s="30"/>
      <c r="T5" s="30"/>
      <c r="U5" s="30"/>
      <c r="V5" s="30"/>
      <c r="W5" s="30"/>
      <c r="X5" s="30"/>
      <c r="Y5" s="30"/>
      <c r="Z5" s="30"/>
    </row>
    <row r="6" ht="6.0" customHeight="1">
      <c r="A6" s="35"/>
      <c r="B6" s="30"/>
      <c r="C6" s="104"/>
      <c r="D6" s="104"/>
      <c r="E6" s="104"/>
      <c r="F6" s="104"/>
      <c r="G6" s="104"/>
      <c r="H6" s="191"/>
      <c r="I6" s="104"/>
      <c r="J6" s="104"/>
      <c r="K6" s="104"/>
      <c r="L6" s="104"/>
      <c r="M6" s="30"/>
      <c r="N6" s="192"/>
      <c r="O6" s="192"/>
      <c r="P6" s="30"/>
      <c r="Q6" s="30"/>
      <c r="R6" s="30"/>
      <c r="S6" s="30"/>
      <c r="T6" s="30"/>
      <c r="U6" s="30"/>
      <c r="V6" s="30"/>
      <c r="W6" s="30"/>
      <c r="X6" s="30"/>
      <c r="Y6" s="30"/>
      <c r="Z6" s="30"/>
    </row>
    <row r="7" ht="14.25" customHeight="1">
      <c r="A7" s="35"/>
      <c r="B7" s="162" t="s">
        <v>89</v>
      </c>
      <c r="C7" s="193" t="s">
        <v>90</v>
      </c>
      <c r="D7" s="194" t="s">
        <v>91</v>
      </c>
      <c r="E7" s="194" t="s">
        <v>119</v>
      </c>
      <c r="F7" s="194" t="s">
        <v>120</v>
      </c>
      <c r="G7" s="195" t="s">
        <v>111</v>
      </c>
      <c r="H7" s="196" t="s">
        <v>110</v>
      </c>
      <c r="I7" s="195" t="s">
        <v>121</v>
      </c>
      <c r="J7" s="195" t="s">
        <v>111</v>
      </c>
      <c r="K7" s="195" t="s">
        <v>110</v>
      </c>
      <c r="L7" s="162" t="s">
        <v>121</v>
      </c>
      <c r="M7" s="64"/>
      <c r="N7" s="197" t="s">
        <v>122</v>
      </c>
      <c r="O7" s="197" t="s">
        <v>123</v>
      </c>
      <c r="P7" s="30"/>
      <c r="Q7" s="30"/>
      <c r="R7" s="30"/>
      <c r="S7" s="30"/>
      <c r="T7" s="30"/>
      <c r="U7" s="30"/>
      <c r="V7" s="30"/>
      <c r="W7" s="30"/>
      <c r="X7" s="30"/>
      <c r="Y7" s="30"/>
      <c r="Z7" s="30"/>
    </row>
    <row r="8" ht="7.5" customHeight="1">
      <c r="A8" s="35"/>
      <c r="B8" s="64"/>
      <c r="C8" s="64"/>
      <c r="D8" s="64"/>
      <c r="E8" s="64"/>
      <c r="F8" s="64"/>
      <c r="G8" s="64"/>
      <c r="H8" s="198"/>
      <c r="I8" s="64"/>
      <c r="J8" s="64"/>
      <c r="K8" s="64"/>
      <c r="L8" s="64"/>
      <c r="M8" s="64"/>
      <c r="N8" s="199"/>
      <c r="O8" s="199"/>
      <c r="P8" s="30"/>
      <c r="Q8" s="30"/>
      <c r="R8" s="30"/>
      <c r="S8" s="30"/>
      <c r="T8" s="30"/>
      <c r="U8" s="30"/>
      <c r="V8" s="30"/>
      <c r="W8" s="30"/>
      <c r="X8" s="30"/>
      <c r="Y8" s="30"/>
      <c r="Z8" s="30"/>
    </row>
    <row r="9" ht="29.25" customHeight="1">
      <c r="A9" s="35"/>
      <c r="B9" s="137" t="s">
        <v>104</v>
      </c>
      <c r="C9" s="200">
        <v>1.0</v>
      </c>
      <c r="D9" s="201" t="str">
        <f>IF('Objetivos Estratégicos '!E7="","",'Objetivos Estratégicos '!E7)</f>
        <v/>
      </c>
      <c r="E9" s="201" t="s">
        <v>124</v>
      </c>
      <c r="F9" s="201" t="s">
        <v>125</v>
      </c>
      <c r="G9" s="202">
        <f>SUMIF(Desdobramentos!$5:$5,$D$5,Desdobramentos!$7:$7)</f>
        <v>0</v>
      </c>
      <c r="H9" s="203">
        <f>SUMIF(Desdobramentos!$5:$5,$D$5,Desdobramentos!$8:$8)</f>
        <v>0</v>
      </c>
      <c r="I9" s="204" t="str">
        <f t="shared" ref="I9:I13" si="1">IF(F9="Menos",G9/H9,IFERROR(H9/G9,""))</f>
        <v/>
      </c>
      <c r="J9" s="202">
        <f>SUMIF(Desdobramentos!$5:$5,"&lt;="&amp;$D$5,Desdobramentos!$7:$7)</f>
        <v>0</v>
      </c>
      <c r="K9" s="202">
        <f>SUMIF(Desdobramentos!$5:$5,"&lt;="&amp;$D$5,Desdobramentos!$8:$8)</f>
        <v>0</v>
      </c>
      <c r="L9" s="204" t="str">
        <f t="shared" ref="L9:L13" si="2">IFERROR(K9/J9,"")</f>
        <v/>
      </c>
      <c r="M9" s="64"/>
      <c r="N9" s="204">
        <v>0.0</v>
      </c>
      <c r="O9" s="204" t="str">
        <f t="shared" ref="O9:O13" si="3">IFERROR(IF(F9="Mais",(K9*100%)/J9,(100%-(K9-J9)/J9))*N9,"")</f>
        <v/>
      </c>
      <c r="P9" s="30"/>
      <c r="Q9" s="30"/>
      <c r="R9" s="30"/>
      <c r="S9" s="30"/>
      <c r="T9" s="30"/>
      <c r="U9" s="30"/>
      <c r="V9" s="30"/>
      <c r="W9" s="30"/>
      <c r="X9" s="30"/>
      <c r="Y9" s="30"/>
      <c r="Z9" s="30"/>
    </row>
    <row r="10" ht="29.25" customHeight="1">
      <c r="A10" s="35"/>
      <c r="B10" s="146"/>
      <c r="C10" s="200">
        <v>2.0</v>
      </c>
      <c r="D10" s="201" t="str">
        <f>IF('Objetivos Estratégicos '!E8="","",'Objetivos Estratégicos '!E8)</f>
        <v/>
      </c>
      <c r="E10" s="201" t="s">
        <v>124</v>
      </c>
      <c r="F10" s="201" t="s">
        <v>125</v>
      </c>
      <c r="G10" s="202">
        <f>SUMIF(Desdobramentos!$5:$5,$D$5,Desdobramentos!$9:$9)</f>
        <v>0</v>
      </c>
      <c r="H10" s="203">
        <f>SUMIF(Desdobramentos!$5:$5,$D$5,Desdobramentos!$10:$10)</f>
        <v>0</v>
      </c>
      <c r="I10" s="204" t="str">
        <f t="shared" si="1"/>
        <v/>
      </c>
      <c r="J10" s="202">
        <f>SUMIF(Desdobramentos!$5:$5,"&lt;="&amp;$D$5,Desdobramentos!$9:$9)</f>
        <v>0</v>
      </c>
      <c r="K10" s="202">
        <f>SUMIF(Desdobramentos!$5:$5,"&lt;="&amp;$D$5,Desdobramentos!$10:$10)</f>
        <v>0</v>
      </c>
      <c r="L10" s="204" t="str">
        <f t="shared" si="2"/>
        <v/>
      </c>
      <c r="M10" s="64"/>
      <c r="N10" s="204">
        <v>0.0</v>
      </c>
      <c r="O10" s="204" t="str">
        <f t="shared" si="3"/>
        <v/>
      </c>
      <c r="P10" s="30"/>
      <c r="Q10" s="30"/>
      <c r="R10" s="30"/>
      <c r="S10" s="30"/>
      <c r="T10" s="30"/>
      <c r="U10" s="30"/>
      <c r="V10" s="30"/>
      <c r="W10" s="30"/>
      <c r="X10" s="30"/>
      <c r="Y10" s="30"/>
      <c r="Z10" s="30"/>
    </row>
    <row r="11" ht="29.25" customHeight="1">
      <c r="A11" s="35"/>
      <c r="B11" s="146"/>
      <c r="C11" s="200">
        <v>3.0</v>
      </c>
      <c r="D11" s="201" t="str">
        <f>IF('Objetivos Estratégicos '!E9="","",'Objetivos Estratégicos '!E9)</f>
        <v/>
      </c>
      <c r="E11" s="201" t="s">
        <v>124</v>
      </c>
      <c r="F11" s="201" t="s">
        <v>125</v>
      </c>
      <c r="G11" s="202">
        <f>SUMIF(Desdobramentos!$5:$5,$D$5,Desdobramentos!$11:$11)</f>
        <v>0</v>
      </c>
      <c r="H11" s="203">
        <f>SUMIF(Desdobramentos!$5:$5,$D$5,Desdobramentos!$12:$12)</f>
        <v>0</v>
      </c>
      <c r="I11" s="204" t="str">
        <f t="shared" si="1"/>
        <v/>
      </c>
      <c r="J11" s="202">
        <f>SUMIF(Desdobramentos!$5:$5,"&lt;="&amp;$D$5,Desdobramentos!$11:$11)</f>
        <v>0</v>
      </c>
      <c r="K11" s="202">
        <f>SUMIF(Desdobramentos!$5:$5,"&lt;="&amp;$D$5,Desdobramentos!$12:$12)</f>
        <v>0</v>
      </c>
      <c r="L11" s="204" t="str">
        <f t="shared" si="2"/>
        <v/>
      </c>
      <c r="M11" s="64"/>
      <c r="N11" s="204">
        <v>0.0</v>
      </c>
      <c r="O11" s="204" t="str">
        <f t="shared" si="3"/>
        <v/>
      </c>
      <c r="P11" s="30"/>
      <c r="Q11" s="30"/>
      <c r="R11" s="30"/>
      <c r="S11" s="30"/>
      <c r="T11" s="30"/>
      <c r="U11" s="30"/>
      <c r="V11" s="30"/>
      <c r="W11" s="30"/>
      <c r="X11" s="30"/>
      <c r="Y11" s="30"/>
      <c r="Z11" s="30"/>
    </row>
    <row r="12" ht="29.25" customHeight="1">
      <c r="A12" s="35"/>
      <c r="B12" s="146"/>
      <c r="C12" s="200">
        <v>4.0</v>
      </c>
      <c r="D12" s="201" t="str">
        <f>IF('Objetivos Estratégicos '!E10="","",'Objetivos Estratégicos '!E10)</f>
        <v/>
      </c>
      <c r="E12" s="201" t="s">
        <v>124</v>
      </c>
      <c r="F12" s="201" t="s">
        <v>125</v>
      </c>
      <c r="G12" s="202">
        <f>SUMIF(Desdobramentos!$5:$5,$D$5,Desdobramentos!$13:$13)</f>
        <v>0</v>
      </c>
      <c r="H12" s="203">
        <f>SUMIF(Desdobramentos!$5:$5,$D$5,Desdobramentos!$14:$14)</f>
        <v>0</v>
      </c>
      <c r="I12" s="204" t="str">
        <f t="shared" si="1"/>
        <v/>
      </c>
      <c r="J12" s="202">
        <f>SUMIF(Desdobramentos!$5:$5,"&lt;="&amp;$D$5,Desdobramentos!$13:$13)</f>
        <v>0</v>
      </c>
      <c r="K12" s="202">
        <f>SUMIF(Desdobramentos!$5:$5,"&lt;="&amp;$D$5,Desdobramentos!$14:$14)</f>
        <v>0</v>
      </c>
      <c r="L12" s="204" t="str">
        <f t="shared" si="2"/>
        <v/>
      </c>
      <c r="M12" s="64"/>
      <c r="N12" s="204">
        <v>0.0</v>
      </c>
      <c r="O12" s="204" t="str">
        <f t="shared" si="3"/>
        <v/>
      </c>
      <c r="P12" s="30"/>
      <c r="Q12" s="30"/>
      <c r="R12" s="30"/>
      <c r="S12" s="30"/>
      <c r="T12" s="30"/>
      <c r="U12" s="30"/>
      <c r="V12" s="30"/>
      <c r="W12" s="30"/>
      <c r="X12" s="30"/>
      <c r="Y12" s="30"/>
      <c r="Z12" s="30"/>
    </row>
    <row r="13" ht="29.25" customHeight="1">
      <c r="A13" s="35"/>
      <c r="B13" s="150"/>
      <c r="C13" s="200">
        <v>5.0</v>
      </c>
      <c r="D13" s="201" t="str">
        <f>IF('Objetivos Estratégicos '!E11="","",'Objetivos Estratégicos '!E11)</f>
        <v/>
      </c>
      <c r="E13" s="201" t="s">
        <v>124</v>
      </c>
      <c r="F13" s="201" t="s">
        <v>125</v>
      </c>
      <c r="G13" s="202">
        <f>SUMIF(Desdobramentos!$5:$5,$D$5,Desdobramentos!$15:$15)</f>
        <v>0</v>
      </c>
      <c r="H13" s="203">
        <f>SUMIF(Desdobramentos!$5:$5,$D$5,Desdobramentos!$16:$16)</f>
        <v>0</v>
      </c>
      <c r="I13" s="204" t="str">
        <f t="shared" si="1"/>
        <v/>
      </c>
      <c r="J13" s="202">
        <f>SUMIF(Desdobramentos!$5:$5,"&lt;="&amp;$D$5,Desdobramentos!$15:$15)</f>
        <v>0</v>
      </c>
      <c r="K13" s="202">
        <f>SUMIF(Desdobramentos!$5:$5,"&lt;="&amp;$D$5,Desdobramentos!$16:$16)</f>
        <v>0</v>
      </c>
      <c r="L13" s="204" t="str">
        <f t="shared" si="2"/>
        <v/>
      </c>
      <c r="M13" s="64"/>
      <c r="N13" s="204">
        <v>0.0</v>
      </c>
      <c r="O13" s="204" t="str">
        <f t="shared" si="3"/>
        <v/>
      </c>
      <c r="P13" s="30"/>
      <c r="Q13" s="30"/>
      <c r="R13" s="30"/>
      <c r="S13" s="30"/>
      <c r="T13" s="30"/>
      <c r="U13" s="30"/>
      <c r="V13" s="30"/>
      <c r="W13" s="30"/>
      <c r="X13" s="30"/>
      <c r="Y13" s="30"/>
      <c r="Z13" s="30"/>
    </row>
    <row r="14" ht="13.5" customHeight="1">
      <c r="A14" s="35"/>
      <c r="B14" s="205"/>
      <c r="C14" s="104"/>
      <c r="D14" s="104"/>
      <c r="E14" s="104"/>
      <c r="F14" s="104"/>
      <c r="G14" s="104"/>
      <c r="H14" s="191"/>
      <c r="I14" s="192"/>
      <c r="J14" s="104"/>
      <c r="K14" s="104"/>
      <c r="L14" s="104"/>
      <c r="M14" s="30"/>
      <c r="N14" s="206">
        <f t="shared" ref="N14:O14" si="4">SUM(N9:N13)</f>
        <v>0</v>
      </c>
      <c r="O14" s="206">
        <f t="shared" si="4"/>
        <v>0</v>
      </c>
      <c r="P14" s="30"/>
      <c r="Q14" s="30"/>
      <c r="R14" s="30"/>
      <c r="S14" s="30"/>
      <c r="T14" s="30"/>
      <c r="U14" s="30"/>
      <c r="V14" s="30"/>
      <c r="W14" s="30"/>
      <c r="X14" s="30"/>
      <c r="Y14" s="30"/>
      <c r="Z14" s="30"/>
    </row>
    <row r="15" ht="6.0" customHeight="1">
      <c r="A15" s="35"/>
      <c r="B15" s="30"/>
      <c r="C15" s="30"/>
      <c r="D15" s="104"/>
      <c r="E15" s="104"/>
      <c r="F15" s="104"/>
      <c r="G15" s="104"/>
      <c r="H15" s="191"/>
      <c r="I15" s="104"/>
      <c r="J15" s="104"/>
      <c r="K15" s="104"/>
      <c r="L15" s="104"/>
      <c r="M15" s="30"/>
      <c r="N15" s="192"/>
      <c r="O15" s="192"/>
      <c r="P15" s="30"/>
      <c r="Q15" s="30"/>
      <c r="R15" s="30"/>
      <c r="S15" s="30"/>
      <c r="T15" s="30"/>
      <c r="U15" s="30"/>
      <c r="V15" s="30"/>
      <c r="W15" s="30"/>
      <c r="X15" s="30"/>
      <c r="Y15" s="30"/>
      <c r="Z15" s="30"/>
    </row>
    <row r="16" ht="29.25" customHeight="1">
      <c r="A16" s="35"/>
      <c r="B16" s="137" t="s">
        <v>114</v>
      </c>
      <c r="C16" s="207">
        <v>1.0</v>
      </c>
      <c r="D16" s="207" t="str">
        <f>IF('Objetivos Estratégicos '!E13="","",'Objetivos Estratégicos '!E13)</f>
        <v/>
      </c>
      <c r="E16" s="207"/>
      <c r="F16" s="201" t="s">
        <v>125</v>
      </c>
      <c r="G16" s="207">
        <f>SUMIF(Desdobramentos!$5:$5,$D$5,Desdobramentos!$18:$18)</f>
        <v>0</v>
      </c>
      <c r="H16" s="208">
        <f>SUMIF(Desdobramentos!$5:$5,$D$5,Desdobramentos!$19:$19)</f>
        <v>0</v>
      </c>
      <c r="I16" s="209" t="str">
        <f t="shared" ref="I16:I20" si="5">IF(F16="Menos",G16/H16,IFERROR(H16/G16,""))</f>
        <v/>
      </c>
      <c r="J16" s="201">
        <f>SUMIF(Desdobramentos!$5:$5,"&lt;="&amp;$D$5,Desdobramentos!$18:$18)</f>
        <v>0</v>
      </c>
      <c r="K16" s="210">
        <f>SUMIF(Desdobramentos!$5:$5,"&lt;="&amp;$D$5,Desdobramentos!$19:$19)</f>
        <v>0</v>
      </c>
      <c r="L16" s="209" t="str">
        <f t="shared" ref="L16:L20" si="6">IFERROR(K16/J16,"")</f>
        <v/>
      </c>
      <c r="M16" s="64"/>
      <c r="N16" s="209">
        <v>0.0</v>
      </c>
      <c r="O16" s="209" t="str">
        <f t="shared" ref="O16:O20" si="7">IFERROR(IF(F16="Mais",(K16*100%)/J16,(100%-(K16-J16)/J16))*N16,"")</f>
        <v/>
      </c>
      <c r="P16" s="30"/>
      <c r="Q16" s="30"/>
      <c r="R16" s="30"/>
      <c r="S16" s="30"/>
      <c r="T16" s="30"/>
      <c r="U16" s="30"/>
      <c r="V16" s="30"/>
      <c r="W16" s="30"/>
      <c r="X16" s="30"/>
      <c r="Y16" s="30"/>
      <c r="Z16" s="30"/>
    </row>
    <row r="17" ht="29.25" customHeight="1">
      <c r="A17" s="35"/>
      <c r="B17" s="146"/>
      <c r="C17" s="207">
        <v>2.0</v>
      </c>
      <c r="D17" s="207" t="str">
        <f>IF('Objetivos Estratégicos '!E14="","",'Objetivos Estratégicos '!E14)</f>
        <v/>
      </c>
      <c r="E17" s="207"/>
      <c r="F17" s="207" t="s">
        <v>126</v>
      </c>
      <c r="G17" s="207">
        <f>SUMIF(Desdobramentos!$5:$5,$D$5,Desdobramentos!$20:$20)</f>
        <v>0</v>
      </c>
      <c r="H17" s="210">
        <f>SUMIF(Desdobramentos!$5:$5,$D$5,Desdobramentos!$21:$21)</f>
        <v>0</v>
      </c>
      <c r="I17" s="209" t="str">
        <f t="shared" si="5"/>
        <v/>
      </c>
      <c r="J17" s="201">
        <f>SUMIF(Desdobramentos!$5:$5,"&lt;="&amp;$D$5,Desdobramentos!$20:$20)</f>
        <v>0</v>
      </c>
      <c r="K17" s="210">
        <f>SUMIF(Desdobramentos!$5:$5,"&lt;="&amp;$D$5,Desdobramentos!$21:$21)</f>
        <v>0</v>
      </c>
      <c r="L17" s="209" t="str">
        <f t="shared" si="6"/>
        <v/>
      </c>
      <c r="M17" s="64"/>
      <c r="N17" s="209">
        <v>0.0</v>
      </c>
      <c r="O17" s="209" t="str">
        <f t="shared" si="7"/>
        <v/>
      </c>
      <c r="P17" s="30"/>
      <c r="Q17" s="30"/>
      <c r="R17" s="30"/>
      <c r="S17" s="30"/>
      <c r="T17" s="30"/>
      <c r="U17" s="30"/>
      <c r="V17" s="30"/>
      <c r="W17" s="30"/>
      <c r="X17" s="30"/>
      <c r="Y17" s="30"/>
      <c r="Z17" s="30"/>
    </row>
    <row r="18" ht="29.25" customHeight="1">
      <c r="A18" s="35"/>
      <c r="B18" s="146"/>
      <c r="C18" s="207">
        <v>3.0</v>
      </c>
      <c r="D18" s="207" t="str">
        <f>IF('Objetivos Estratégicos '!E15="","",'Objetivos Estratégicos '!E15)</f>
        <v/>
      </c>
      <c r="E18" s="207"/>
      <c r="F18" s="207"/>
      <c r="G18" s="207">
        <f>SUMIF(Desdobramentos!$5:$5,$D$5,Desdobramentos!$22:$22)</f>
        <v>0</v>
      </c>
      <c r="H18" s="210">
        <f>SUMIF(Desdobramentos!$5:$5,$D$5,Desdobramentos!$25:$25)</f>
        <v>0</v>
      </c>
      <c r="I18" s="209" t="str">
        <f t="shared" si="5"/>
        <v/>
      </c>
      <c r="J18" s="201">
        <f>SUMIF(Desdobramentos!$5:$5,"&lt;="&amp;$D$5,Desdobramentos!$22:$22)</f>
        <v>0</v>
      </c>
      <c r="K18" s="210">
        <f>SUMIF(Desdobramentos!$5:$5,"&lt;="&amp;$D$5,Desdobramentos!$23:$23)</f>
        <v>0</v>
      </c>
      <c r="L18" s="209" t="str">
        <f t="shared" si="6"/>
        <v/>
      </c>
      <c r="M18" s="64"/>
      <c r="N18" s="209">
        <v>0.0</v>
      </c>
      <c r="O18" s="209" t="str">
        <f t="shared" si="7"/>
        <v/>
      </c>
      <c r="P18" s="30"/>
      <c r="Q18" s="30"/>
      <c r="R18" s="30"/>
      <c r="S18" s="30"/>
      <c r="T18" s="30"/>
      <c r="U18" s="30"/>
      <c r="V18" s="30"/>
      <c r="W18" s="30"/>
      <c r="X18" s="30"/>
      <c r="Y18" s="30"/>
      <c r="Z18" s="30"/>
    </row>
    <row r="19" ht="29.25" customHeight="1">
      <c r="A19" s="35"/>
      <c r="B19" s="146"/>
      <c r="C19" s="207">
        <v>4.0</v>
      </c>
      <c r="D19" s="207" t="str">
        <f>IF('Objetivos Estratégicos '!E16="","",'Objetivos Estratégicos '!E16)</f>
        <v/>
      </c>
      <c r="E19" s="207"/>
      <c r="F19" s="207"/>
      <c r="G19" s="207">
        <f>SUMIF(Desdobramentos!$5:$5,$D$5,Desdobramentos!$24:$24)</f>
        <v>0</v>
      </c>
      <c r="H19" s="210">
        <f>SUMIF(Desdobramentos!$5:$5,$D$5,Desdobramentos!$25:$25)</f>
        <v>0</v>
      </c>
      <c r="I19" s="209" t="str">
        <f t="shared" si="5"/>
        <v/>
      </c>
      <c r="J19" s="201">
        <f>SUMIF(Desdobramentos!$5:$5,"&lt;="&amp;$D$5,Desdobramentos!$24:$24)</f>
        <v>0</v>
      </c>
      <c r="K19" s="210">
        <f>SUMIF(Desdobramentos!$5:$5,"&lt;="&amp;$D$5,Desdobramentos!$25:$25)</f>
        <v>0</v>
      </c>
      <c r="L19" s="209" t="str">
        <f t="shared" si="6"/>
        <v/>
      </c>
      <c r="M19" s="64"/>
      <c r="N19" s="209">
        <v>0.0</v>
      </c>
      <c r="O19" s="209" t="str">
        <f t="shared" si="7"/>
        <v/>
      </c>
      <c r="P19" s="30"/>
      <c r="Q19" s="30"/>
      <c r="R19" s="30"/>
      <c r="S19" s="30"/>
      <c r="T19" s="30"/>
      <c r="U19" s="30"/>
      <c r="V19" s="30"/>
      <c r="W19" s="30"/>
      <c r="X19" s="30"/>
      <c r="Y19" s="30"/>
      <c r="Z19" s="30"/>
    </row>
    <row r="20" ht="29.25" customHeight="1">
      <c r="A20" s="35"/>
      <c r="B20" s="150"/>
      <c r="C20" s="207">
        <v>5.0</v>
      </c>
      <c r="D20" s="207" t="str">
        <f>IF('Objetivos Estratégicos '!E17="","",'Objetivos Estratégicos '!E17)</f>
        <v/>
      </c>
      <c r="E20" s="207"/>
      <c r="F20" s="207"/>
      <c r="G20" s="207">
        <f>SUMIF(Desdobramentos!$5:$5,$D$5,Desdobramentos!$26:$26)</f>
        <v>0</v>
      </c>
      <c r="H20" s="210">
        <f>SUMIF(Desdobramentos!$5:$5,$D$5,Desdobramentos!$27:$27)</f>
        <v>0</v>
      </c>
      <c r="I20" s="209" t="str">
        <f t="shared" si="5"/>
        <v/>
      </c>
      <c r="J20" s="201">
        <f>SUMIF(Desdobramentos!$5:$5,"&lt;="&amp;$D$5,Desdobramentos!$26:$26)</f>
        <v>0</v>
      </c>
      <c r="K20" s="210">
        <f>SUMIF(Desdobramentos!$5:$5,"&lt;="&amp;$D$5,Desdobramentos!$27:$27)</f>
        <v>0</v>
      </c>
      <c r="L20" s="209" t="str">
        <f t="shared" si="6"/>
        <v/>
      </c>
      <c r="M20" s="64"/>
      <c r="N20" s="209">
        <v>0.0</v>
      </c>
      <c r="O20" s="209" t="str">
        <f t="shared" si="7"/>
        <v/>
      </c>
      <c r="P20" s="30"/>
      <c r="Q20" s="30"/>
      <c r="R20" s="30"/>
      <c r="S20" s="30"/>
      <c r="T20" s="30"/>
      <c r="U20" s="30"/>
      <c r="V20" s="30"/>
      <c r="W20" s="30"/>
      <c r="X20" s="30"/>
      <c r="Y20" s="30"/>
      <c r="Z20" s="30"/>
    </row>
    <row r="21" ht="13.5" customHeight="1">
      <c r="A21" s="35"/>
      <c r="B21" s="30"/>
      <c r="C21" s="30"/>
      <c r="D21" s="30"/>
      <c r="E21" s="30"/>
      <c r="F21" s="30"/>
      <c r="G21" s="30"/>
      <c r="H21" s="211"/>
      <c r="I21" s="30"/>
      <c r="J21" s="30"/>
      <c r="K21" s="30"/>
      <c r="L21" s="30"/>
      <c r="M21" s="30"/>
      <c r="N21" s="206">
        <f t="shared" ref="N21:O21" si="8">SUM(N16:N20)</f>
        <v>0</v>
      </c>
      <c r="O21" s="206">
        <f t="shared" si="8"/>
        <v>0</v>
      </c>
      <c r="P21" s="30"/>
      <c r="Q21" s="30"/>
      <c r="R21" s="30"/>
      <c r="S21" s="30"/>
      <c r="T21" s="30"/>
      <c r="U21" s="30"/>
      <c r="V21" s="30"/>
      <c r="W21" s="30"/>
      <c r="X21" s="30"/>
      <c r="Y21" s="30"/>
      <c r="Z21" s="30"/>
    </row>
    <row r="22" ht="6.0" customHeight="1">
      <c r="A22" s="35"/>
      <c r="B22" s="30"/>
      <c r="C22" s="104"/>
      <c r="D22" s="104"/>
      <c r="E22" s="104"/>
      <c r="F22" s="104"/>
      <c r="G22" s="104"/>
      <c r="H22" s="191"/>
      <c r="I22" s="104"/>
      <c r="J22" s="104"/>
      <c r="K22" s="104"/>
      <c r="L22" s="104"/>
      <c r="M22" s="30"/>
      <c r="N22" s="192"/>
      <c r="O22" s="192"/>
      <c r="P22" s="30"/>
      <c r="Q22" s="30"/>
      <c r="R22" s="30"/>
      <c r="S22" s="30"/>
      <c r="T22" s="30"/>
      <c r="U22" s="30"/>
      <c r="V22" s="30"/>
      <c r="W22" s="30"/>
      <c r="X22" s="30"/>
      <c r="Y22" s="30"/>
      <c r="Z22" s="30"/>
    </row>
    <row r="23" ht="29.25" customHeight="1">
      <c r="A23" s="35"/>
      <c r="B23" s="157" t="s">
        <v>115</v>
      </c>
      <c r="C23" s="201">
        <v>1.0</v>
      </c>
      <c r="D23" s="201" t="str">
        <f>IF('Objetivos Estratégicos '!E19="","",'Objetivos Estratégicos '!E19)</f>
        <v/>
      </c>
      <c r="E23" s="201"/>
      <c r="F23" s="201"/>
      <c r="G23" s="201">
        <f>SUMIF(Desdobramentos!$5:$5,$D$5,Desdobramentos!$28:$28)</f>
        <v>0</v>
      </c>
      <c r="H23" s="212">
        <f>SUMIF(Desdobramentos!$5:$5,$D$5,Desdobramentos!$29:$29)</f>
        <v>0</v>
      </c>
      <c r="I23" s="204" t="str">
        <f t="shared" ref="I23:I27" si="9">IF(F23="Menos",G23/H23,IFERROR(H23/G23,""))</f>
        <v/>
      </c>
      <c r="J23" s="201">
        <f>SUMIF(Desdobramentos!$5:$5,"&lt;="&amp;$D$5,Desdobramentos!$28:$28)</f>
        <v>0</v>
      </c>
      <c r="K23" s="200">
        <f>SUMIF(Desdobramentos!$5:$5,"&lt;="&amp;$D$5,Desdobramentos!$29:$29)</f>
        <v>0</v>
      </c>
      <c r="L23" s="204" t="str">
        <f t="shared" ref="L23:L27" si="10">IFERROR(K23/J23,"")</f>
        <v/>
      </c>
      <c r="M23" s="64"/>
      <c r="N23" s="204">
        <v>0.0</v>
      </c>
      <c r="O23" s="204"/>
      <c r="P23" s="30"/>
      <c r="Q23" s="30"/>
      <c r="R23" s="30"/>
      <c r="S23" s="30"/>
      <c r="T23" s="30"/>
      <c r="U23" s="30"/>
      <c r="V23" s="30"/>
      <c r="W23" s="30"/>
      <c r="X23" s="30"/>
      <c r="Y23" s="30"/>
      <c r="Z23" s="30"/>
    </row>
    <row r="24" ht="29.25" customHeight="1">
      <c r="A24" s="35"/>
      <c r="B24" s="146"/>
      <c r="C24" s="201">
        <v>2.0</v>
      </c>
      <c r="D24" s="201" t="str">
        <f>IF('Objetivos Estratégicos '!E20="","",'Objetivos Estratégicos '!E20)</f>
        <v/>
      </c>
      <c r="E24" s="201"/>
      <c r="F24" s="201"/>
      <c r="G24" s="201">
        <f>SUMIF(Desdobramentos!$5:$5,$D$5,Desdobramentos!$30:$30)</f>
        <v>0</v>
      </c>
      <c r="H24" s="212">
        <f>SUMIF(Desdobramentos!$5:$5,$D$5,Desdobramentos!$31:$31)</f>
        <v>0</v>
      </c>
      <c r="I24" s="204" t="str">
        <f t="shared" si="9"/>
        <v/>
      </c>
      <c r="J24" s="201">
        <f>SUMIF(Desdobramentos!$5:$5,"&lt;="&amp;$D$5,Desdobramentos!$30:$30)</f>
        <v>0</v>
      </c>
      <c r="K24" s="200">
        <f>SUMIF(Desdobramentos!$5:$5,"&lt;="&amp;$D$5,Desdobramentos!$31:$31)</f>
        <v>0</v>
      </c>
      <c r="L24" s="204" t="str">
        <f t="shared" si="10"/>
        <v/>
      </c>
      <c r="M24" s="64"/>
      <c r="N24" s="204">
        <v>0.0</v>
      </c>
      <c r="O24" s="204"/>
      <c r="P24" s="30"/>
      <c r="Q24" s="30"/>
      <c r="R24" s="30"/>
      <c r="S24" s="30"/>
      <c r="T24" s="30"/>
      <c r="U24" s="30"/>
      <c r="V24" s="30"/>
      <c r="W24" s="30"/>
      <c r="X24" s="30"/>
      <c r="Y24" s="30"/>
      <c r="Z24" s="30"/>
    </row>
    <row r="25" ht="29.25" customHeight="1">
      <c r="A25" s="35"/>
      <c r="B25" s="146"/>
      <c r="C25" s="201">
        <v>3.0</v>
      </c>
      <c r="D25" s="201" t="str">
        <f>IF('Objetivos Estratégicos '!E21="","",'Objetivos Estratégicos '!E21)</f>
        <v/>
      </c>
      <c r="E25" s="201"/>
      <c r="F25" s="201"/>
      <c r="G25" s="201">
        <f>SUMIF(Desdobramentos!$5:$5,$D$5,Desdobramentos!$32:$32)</f>
        <v>0</v>
      </c>
      <c r="H25" s="212">
        <f>SUMIF(Desdobramentos!$5:$5,$D$5,Desdobramentos!$33:$33)</f>
        <v>0</v>
      </c>
      <c r="I25" s="204" t="str">
        <f t="shared" si="9"/>
        <v/>
      </c>
      <c r="J25" s="201">
        <f>SUMIF(Desdobramentos!$5:$5,"&lt;="&amp;$D$5,Desdobramentos!$32:$32)</f>
        <v>0</v>
      </c>
      <c r="K25" s="200">
        <f>SUMIF(Desdobramentos!$5:$5,"&lt;="&amp;$D$5,Desdobramentos!$33:$33)</f>
        <v>0</v>
      </c>
      <c r="L25" s="204" t="str">
        <f t="shared" si="10"/>
        <v/>
      </c>
      <c r="M25" s="64"/>
      <c r="N25" s="204">
        <v>0.0</v>
      </c>
      <c r="O25" s="204"/>
      <c r="P25" s="30"/>
      <c r="Q25" s="30"/>
      <c r="R25" s="30"/>
      <c r="S25" s="30"/>
      <c r="T25" s="30"/>
      <c r="U25" s="30"/>
      <c r="V25" s="30"/>
      <c r="W25" s="30"/>
      <c r="X25" s="30"/>
      <c r="Y25" s="30"/>
      <c r="Z25" s="30"/>
    </row>
    <row r="26" ht="29.25" customHeight="1">
      <c r="A26" s="35"/>
      <c r="B26" s="146"/>
      <c r="C26" s="201">
        <v>4.0</v>
      </c>
      <c r="D26" s="201" t="str">
        <f>IF('Objetivos Estratégicos '!E22="","",'Objetivos Estratégicos '!E22)</f>
        <v/>
      </c>
      <c r="E26" s="201"/>
      <c r="F26" s="201"/>
      <c r="G26" s="201">
        <f>SUMIF(Desdobramentos!$5:$5,$D$5,Desdobramentos!$34:$34)</f>
        <v>0</v>
      </c>
      <c r="H26" s="212">
        <f>SUMIF(Desdobramentos!$5:$5,$D$5,Desdobramentos!$35:$35)</f>
        <v>0</v>
      </c>
      <c r="I26" s="204" t="str">
        <f t="shared" si="9"/>
        <v/>
      </c>
      <c r="J26" s="201">
        <f>SUMIF(Desdobramentos!$5:$5,"&lt;="&amp;$D$5,Desdobramentos!$34:$34)</f>
        <v>0</v>
      </c>
      <c r="K26" s="200">
        <f>SUMIF(Desdobramentos!$5:$5,"&lt;="&amp;$D$5,Desdobramentos!$35:$35)</f>
        <v>0</v>
      </c>
      <c r="L26" s="204" t="str">
        <f t="shared" si="10"/>
        <v/>
      </c>
      <c r="M26" s="64"/>
      <c r="N26" s="204">
        <v>0.0</v>
      </c>
      <c r="O26" s="204"/>
      <c r="P26" s="30"/>
      <c r="Q26" s="30"/>
      <c r="R26" s="30"/>
      <c r="S26" s="30"/>
      <c r="T26" s="30"/>
      <c r="U26" s="30"/>
      <c r="V26" s="30"/>
      <c r="W26" s="30"/>
      <c r="X26" s="30"/>
      <c r="Y26" s="30"/>
      <c r="Z26" s="30"/>
    </row>
    <row r="27" ht="29.25" customHeight="1">
      <c r="A27" s="35"/>
      <c r="B27" s="150"/>
      <c r="C27" s="201">
        <v>5.0</v>
      </c>
      <c r="D27" s="201" t="str">
        <f>IF('Objetivos Estratégicos '!E23="","",'Objetivos Estratégicos '!E23)</f>
        <v/>
      </c>
      <c r="E27" s="201"/>
      <c r="F27" s="201"/>
      <c r="G27" s="201">
        <f>SUMIF(Desdobramentos!$5:$5,$D$5,Desdobramentos!$36:$36)</f>
        <v>0</v>
      </c>
      <c r="H27" s="212">
        <f>SUMIF(Desdobramentos!$5:$5,$D$5,Desdobramentos!$37:$37)</f>
        <v>0</v>
      </c>
      <c r="I27" s="204" t="str">
        <f t="shared" si="9"/>
        <v/>
      </c>
      <c r="J27" s="201">
        <f>SUMIF(Desdobramentos!$5:$5,"&lt;="&amp;$D$5,Desdobramentos!$36:$36)</f>
        <v>0</v>
      </c>
      <c r="K27" s="200">
        <f>SUMIF(Desdobramentos!$5:$5,"&lt;="&amp;$D$5,Desdobramentos!$37:$37)</f>
        <v>0</v>
      </c>
      <c r="L27" s="204" t="str">
        <f t="shared" si="10"/>
        <v/>
      </c>
      <c r="M27" s="64"/>
      <c r="N27" s="204">
        <v>0.0</v>
      </c>
      <c r="O27" s="204"/>
      <c r="P27" s="30"/>
      <c r="Q27" s="30"/>
      <c r="R27" s="30"/>
      <c r="S27" s="30"/>
      <c r="T27" s="30"/>
      <c r="U27" s="30"/>
      <c r="V27" s="30"/>
      <c r="W27" s="30"/>
      <c r="X27" s="30"/>
      <c r="Y27" s="30"/>
      <c r="Z27" s="30"/>
    </row>
    <row r="28" ht="14.25" customHeight="1">
      <c r="A28" s="35"/>
      <c r="B28" s="213"/>
      <c r="C28" s="104"/>
      <c r="D28" s="104"/>
      <c r="E28" s="104"/>
      <c r="F28" s="104"/>
      <c r="G28" s="104"/>
      <c r="H28" s="191"/>
      <c r="I28" s="192"/>
      <c r="J28" s="104"/>
      <c r="K28" s="104"/>
      <c r="L28" s="104"/>
      <c r="M28" s="30"/>
      <c r="N28" s="206">
        <f t="shared" ref="N28:O28" si="11">SUM(N23:N27)</f>
        <v>0</v>
      </c>
      <c r="O28" s="206">
        <f t="shared" si="11"/>
        <v>0</v>
      </c>
      <c r="P28" s="30"/>
      <c r="Q28" s="30"/>
      <c r="R28" s="30"/>
      <c r="S28" s="30"/>
      <c r="T28" s="30"/>
      <c r="U28" s="30"/>
      <c r="V28" s="30"/>
      <c r="W28" s="30"/>
      <c r="X28" s="30"/>
      <c r="Y28" s="30"/>
      <c r="Z28" s="30"/>
    </row>
    <row r="29" ht="6.0" customHeight="1">
      <c r="A29" s="35"/>
      <c r="B29" s="30"/>
      <c r="C29" s="30"/>
      <c r="D29" s="104"/>
      <c r="E29" s="104"/>
      <c r="F29" s="104"/>
      <c r="G29" s="104"/>
      <c r="H29" s="191"/>
      <c r="I29" s="104"/>
      <c r="J29" s="104"/>
      <c r="K29" s="104"/>
      <c r="L29" s="104"/>
      <c r="M29" s="30"/>
      <c r="N29" s="192"/>
      <c r="O29" s="192"/>
      <c r="P29" s="30"/>
      <c r="Q29" s="30"/>
      <c r="R29" s="30"/>
      <c r="S29" s="30"/>
      <c r="T29" s="30"/>
      <c r="U29" s="30"/>
      <c r="V29" s="30"/>
      <c r="W29" s="30"/>
      <c r="X29" s="30"/>
      <c r="Y29" s="30"/>
      <c r="Z29" s="30"/>
    </row>
    <row r="30" ht="29.25" customHeight="1">
      <c r="A30" s="35"/>
      <c r="B30" s="157" t="s">
        <v>108</v>
      </c>
      <c r="C30" s="207">
        <v>1.0</v>
      </c>
      <c r="D30" s="207" t="str">
        <f>IF('Objetivos Estratégicos '!E25="","",'Objetivos Estratégicos '!E25)</f>
        <v/>
      </c>
      <c r="E30" s="207"/>
      <c r="F30" s="207"/>
      <c r="G30" s="207">
        <f>SUMIF(Desdobramentos!$5:$5,$D$5,Desdobramentos!$38:$38)</f>
        <v>0</v>
      </c>
      <c r="H30" s="214">
        <f>SUMIF(Desdobramentos!$5:$5,$D$5,Desdobramentos!$39:$39)</f>
        <v>0</v>
      </c>
      <c r="I30" s="209" t="str">
        <f t="shared" ref="I30:I34" si="12">IF(F30="Menos",G30/H30,IFERROR(H30/G30,""))</f>
        <v/>
      </c>
      <c r="J30" s="207">
        <f>SUMIF(Desdobramentos!$5:$5,"&lt;="&amp;$D$5,Desdobramentos!$38:$38)</f>
        <v>0</v>
      </c>
      <c r="K30" s="210">
        <f>SUMIF(Desdobramentos!$5:$5,"&lt;="&amp;$D$5,Desdobramentos!$39:$39)</f>
        <v>0</v>
      </c>
      <c r="L30" s="209" t="str">
        <f t="shared" ref="L30:L34" si="13">IFERROR(K30/J30,"")</f>
        <v/>
      </c>
      <c r="M30" s="64"/>
      <c r="N30" s="209">
        <v>0.0</v>
      </c>
      <c r="O30" s="209"/>
      <c r="P30" s="30"/>
      <c r="Q30" s="30"/>
      <c r="R30" s="30"/>
      <c r="S30" s="30"/>
      <c r="T30" s="30"/>
      <c r="U30" s="30"/>
      <c r="V30" s="30"/>
      <c r="W30" s="30"/>
      <c r="X30" s="30"/>
      <c r="Y30" s="30"/>
      <c r="Z30" s="30"/>
    </row>
    <row r="31" ht="29.25" customHeight="1">
      <c r="A31" s="35"/>
      <c r="B31" s="146"/>
      <c r="C31" s="207">
        <v>2.0</v>
      </c>
      <c r="D31" s="207" t="str">
        <f>IF('Objetivos Estratégicos '!E26="","",'Objetivos Estratégicos '!E26)</f>
        <v/>
      </c>
      <c r="E31" s="207"/>
      <c r="F31" s="207"/>
      <c r="G31" s="207">
        <f>SUMIF(Desdobramentos!$5:$5,$D$5,Desdobramentos!$40:$40)</f>
        <v>0</v>
      </c>
      <c r="H31" s="214">
        <f>SUMIF(Desdobramentos!$5:$5,$D$5,Desdobramentos!$41:$41)</f>
        <v>0</v>
      </c>
      <c r="I31" s="209" t="str">
        <f t="shared" si="12"/>
        <v/>
      </c>
      <c r="J31" s="207">
        <f>SUMIF(Desdobramentos!$5:$5,"&lt;="&amp;$D$5,Desdobramentos!$40:$40)</f>
        <v>0</v>
      </c>
      <c r="K31" s="210">
        <f>SUMIF(Desdobramentos!$5:$5,"&lt;="&amp;$D$5,Desdobramentos!$41:$41)</f>
        <v>0</v>
      </c>
      <c r="L31" s="209" t="str">
        <f t="shared" si="13"/>
        <v/>
      </c>
      <c r="M31" s="64"/>
      <c r="N31" s="209">
        <v>0.0</v>
      </c>
      <c r="O31" s="209"/>
      <c r="P31" s="30"/>
      <c r="Q31" s="30"/>
      <c r="R31" s="30"/>
      <c r="S31" s="30"/>
      <c r="T31" s="30"/>
      <c r="U31" s="30"/>
      <c r="V31" s="30"/>
      <c r="W31" s="30"/>
      <c r="X31" s="30"/>
      <c r="Y31" s="30"/>
      <c r="Z31" s="30"/>
    </row>
    <row r="32" ht="29.25" customHeight="1">
      <c r="A32" s="35"/>
      <c r="B32" s="146"/>
      <c r="C32" s="207">
        <v>3.0</v>
      </c>
      <c r="D32" s="207" t="str">
        <f>IF('Objetivos Estratégicos '!E27="","",'Objetivos Estratégicos '!E27)</f>
        <v/>
      </c>
      <c r="E32" s="207"/>
      <c r="F32" s="207"/>
      <c r="G32" s="207">
        <f>SUMIF(Desdobramentos!$5:$5,$D$5,Desdobramentos!$42:$42)</f>
        <v>0</v>
      </c>
      <c r="H32" s="214">
        <f>SUMIF(Desdobramentos!$5:$5,$D$5,Desdobramentos!$43:$43)</f>
        <v>0</v>
      </c>
      <c r="I32" s="209" t="str">
        <f t="shared" si="12"/>
        <v/>
      </c>
      <c r="J32" s="207">
        <f>SUMIF(Desdobramentos!$5:$5,"&lt;="&amp;$D$5,Desdobramentos!$42:$42)</f>
        <v>0</v>
      </c>
      <c r="K32" s="210">
        <f>SUMIF(Desdobramentos!$5:$5,"&lt;="&amp;$D$5,Desdobramentos!$43:$43)</f>
        <v>0</v>
      </c>
      <c r="L32" s="209" t="str">
        <f t="shared" si="13"/>
        <v/>
      </c>
      <c r="M32" s="64"/>
      <c r="N32" s="209">
        <v>0.0</v>
      </c>
      <c r="O32" s="209"/>
      <c r="P32" s="30"/>
      <c r="Q32" s="30"/>
      <c r="R32" s="30"/>
      <c r="S32" s="30"/>
      <c r="T32" s="30"/>
      <c r="U32" s="30"/>
      <c r="V32" s="30"/>
      <c r="W32" s="30"/>
      <c r="X32" s="30"/>
      <c r="Y32" s="30"/>
      <c r="Z32" s="30"/>
    </row>
    <row r="33" ht="29.25" customHeight="1">
      <c r="A33" s="35"/>
      <c r="B33" s="146"/>
      <c r="C33" s="207">
        <v>4.0</v>
      </c>
      <c r="D33" s="207" t="str">
        <f>IF('Objetivos Estratégicos '!E28="","",'Objetivos Estratégicos '!E28)</f>
        <v/>
      </c>
      <c r="E33" s="207"/>
      <c r="F33" s="207"/>
      <c r="G33" s="207">
        <f>SUMIF(Desdobramentos!$5:$5,$D$5,Desdobramentos!$44:$44)</f>
        <v>0</v>
      </c>
      <c r="H33" s="214">
        <f>SUMIF(Desdobramentos!$5:$5,$D$5,Desdobramentos!$45:$45)</f>
        <v>0</v>
      </c>
      <c r="I33" s="209" t="str">
        <f t="shared" si="12"/>
        <v/>
      </c>
      <c r="J33" s="207">
        <f>SUMIF(Desdobramentos!$5:$5,"&lt;="&amp;$D$5,Desdobramentos!$44:$44)</f>
        <v>0</v>
      </c>
      <c r="K33" s="210">
        <f>SUMIF(Desdobramentos!$5:$5,"&lt;="&amp;$D$5,Desdobramentos!$45:$45)</f>
        <v>0</v>
      </c>
      <c r="L33" s="209" t="str">
        <f t="shared" si="13"/>
        <v/>
      </c>
      <c r="M33" s="64"/>
      <c r="N33" s="209">
        <v>0.0</v>
      </c>
      <c r="O33" s="209"/>
      <c r="P33" s="30"/>
      <c r="Q33" s="30"/>
      <c r="R33" s="30"/>
      <c r="S33" s="30"/>
      <c r="T33" s="30"/>
      <c r="U33" s="30"/>
      <c r="V33" s="30"/>
      <c r="W33" s="30"/>
      <c r="X33" s="30"/>
      <c r="Y33" s="30"/>
      <c r="Z33" s="30"/>
    </row>
    <row r="34" ht="29.25" customHeight="1">
      <c r="A34" s="35"/>
      <c r="B34" s="150"/>
      <c r="C34" s="207">
        <v>5.0</v>
      </c>
      <c r="D34" s="207" t="str">
        <f>IF('Objetivos Estratégicos '!E29="","",'Objetivos Estratégicos '!E29)</f>
        <v/>
      </c>
      <c r="E34" s="207"/>
      <c r="F34" s="207"/>
      <c r="G34" s="207">
        <f>SUMIF(Desdobramentos!$5:$5,$D$5,Desdobramentos!$46:$46)</f>
        <v>0</v>
      </c>
      <c r="H34" s="214">
        <f>SUMIF(Desdobramentos!$5:$5,$D$5,Desdobramentos!$47:$47)</f>
        <v>0</v>
      </c>
      <c r="I34" s="209" t="str">
        <f t="shared" si="12"/>
        <v/>
      </c>
      <c r="J34" s="207">
        <f>SUMIF(Desdobramentos!$5:$5,"&lt;="&amp;$D$5,Desdobramentos!$46:$46)</f>
        <v>0</v>
      </c>
      <c r="K34" s="210">
        <f>SUMIF(Desdobramentos!$5:$5,"&lt;="&amp;$D$5,Desdobramentos!$47:$47)</f>
        <v>0</v>
      </c>
      <c r="L34" s="209" t="str">
        <f t="shared" si="13"/>
        <v/>
      </c>
      <c r="M34" s="64"/>
      <c r="N34" s="209">
        <v>0.0</v>
      </c>
      <c r="O34" s="209"/>
      <c r="P34" s="30"/>
      <c r="Q34" s="30"/>
      <c r="R34" s="30"/>
      <c r="S34" s="30"/>
      <c r="T34" s="30"/>
      <c r="U34" s="30"/>
      <c r="V34" s="30"/>
      <c r="W34" s="30"/>
      <c r="X34" s="30"/>
      <c r="Y34" s="30"/>
      <c r="Z34" s="30"/>
    </row>
    <row r="35" ht="13.5" customHeight="1">
      <c r="A35" s="35"/>
      <c r="B35" s="30"/>
      <c r="C35" s="104"/>
      <c r="D35" s="104"/>
      <c r="E35" s="104"/>
      <c r="F35" s="104"/>
      <c r="G35" s="104"/>
      <c r="H35" s="191"/>
      <c r="I35" s="104"/>
      <c r="J35" s="104"/>
      <c r="K35" s="104"/>
      <c r="L35" s="104"/>
      <c r="M35" s="30"/>
      <c r="N35" s="206">
        <f t="shared" ref="N35:O35" si="14">SUM(N30:N34)</f>
        <v>0</v>
      </c>
      <c r="O35" s="206">
        <f t="shared" si="14"/>
        <v>0</v>
      </c>
      <c r="P35" s="30"/>
      <c r="Q35" s="30"/>
      <c r="R35" s="30"/>
      <c r="S35" s="30"/>
      <c r="T35" s="30"/>
      <c r="U35" s="30"/>
      <c r="V35" s="30"/>
      <c r="W35" s="30"/>
      <c r="X35" s="30"/>
      <c r="Y35" s="30"/>
      <c r="Z35" s="30"/>
    </row>
    <row r="36" ht="14.25" customHeight="1">
      <c r="A36" s="35"/>
      <c r="B36" s="30"/>
      <c r="C36" s="104"/>
      <c r="D36" s="104"/>
      <c r="E36" s="104"/>
      <c r="F36" s="104"/>
      <c r="G36" s="104"/>
      <c r="H36" s="191"/>
      <c r="I36" s="104"/>
      <c r="J36" s="104"/>
      <c r="K36" s="104"/>
      <c r="L36" s="104"/>
      <c r="M36" s="30"/>
      <c r="N36" s="192"/>
      <c r="O36" s="192"/>
      <c r="P36" s="30"/>
      <c r="Q36" s="30"/>
      <c r="R36" s="30"/>
      <c r="S36" s="30"/>
      <c r="T36" s="30"/>
      <c r="U36" s="30"/>
      <c r="V36" s="30"/>
      <c r="W36" s="30"/>
      <c r="X36" s="30"/>
      <c r="Y36" s="30"/>
      <c r="Z36" s="30"/>
    </row>
    <row r="37" ht="14.25" customHeight="1">
      <c r="A37" s="35"/>
      <c r="B37" s="30"/>
      <c r="C37" s="104"/>
      <c r="D37" s="104"/>
      <c r="E37" s="104"/>
      <c r="F37" s="104"/>
      <c r="G37" s="104"/>
      <c r="H37" s="191"/>
      <c r="I37" s="104"/>
      <c r="J37" s="104"/>
      <c r="K37" s="104"/>
      <c r="L37" s="104"/>
      <c r="M37" s="30"/>
      <c r="N37" s="192"/>
      <c r="O37" s="192"/>
      <c r="P37" s="30"/>
      <c r="Q37" s="30"/>
      <c r="R37" s="30"/>
      <c r="S37" s="30"/>
      <c r="T37" s="30"/>
      <c r="U37" s="30"/>
      <c r="V37" s="30"/>
      <c r="W37" s="30"/>
      <c r="X37" s="30"/>
      <c r="Y37" s="30"/>
      <c r="Z37" s="30"/>
    </row>
    <row r="38" ht="14.25" customHeight="1">
      <c r="A38" s="35"/>
      <c r="B38" s="30"/>
      <c r="C38" s="104"/>
      <c r="D38" s="104"/>
      <c r="E38" s="104"/>
      <c r="F38" s="104"/>
      <c r="G38" s="104"/>
      <c r="H38" s="191"/>
      <c r="I38" s="104"/>
      <c r="J38" s="104"/>
      <c r="K38" s="104"/>
      <c r="L38" s="104"/>
      <c r="M38" s="30"/>
      <c r="N38" s="192"/>
      <c r="O38" s="192"/>
      <c r="P38" s="30"/>
      <c r="Q38" s="30"/>
      <c r="R38" s="30"/>
      <c r="S38" s="30"/>
      <c r="T38" s="30"/>
      <c r="U38" s="30"/>
      <c r="V38" s="30"/>
      <c r="W38" s="30"/>
      <c r="X38" s="30"/>
      <c r="Y38" s="30"/>
      <c r="Z38" s="30"/>
    </row>
    <row r="39" ht="14.25" customHeight="1">
      <c r="A39" s="35"/>
      <c r="B39" s="30"/>
      <c r="C39" s="104"/>
      <c r="D39" s="104"/>
      <c r="E39" s="104"/>
      <c r="F39" s="104"/>
      <c r="G39" s="104"/>
      <c r="H39" s="191"/>
      <c r="I39" s="104"/>
      <c r="J39" s="104"/>
      <c r="K39" s="104"/>
      <c r="L39" s="104"/>
      <c r="M39" s="30"/>
      <c r="N39" s="192"/>
      <c r="O39" s="192"/>
      <c r="P39" s="30"/>
      <c r="Q39" s="30"/>
      <c r="R39" s="30"/>
      <c r="S39" s="30"/>
      <c r="T39" s="30"/>
      <c r="U39" s="30"/>
      <c r="V39" s="30"/>
      <c r="W39" s="30"/>
      <c r="X39" s="30"/>
      <c r="Y39" s="30"/>
      <c r="Z39" s="30"/>
    </row>
    <row r="40" ht="14.25" customHeight="1">
      <c r="A40" s="35"/>
      <c r="B40" s="30"/>
      <c r="C40" s="104"/>
      <c r="D40" s="104"/>
      <c r="E40" s="104"/>
      <c r="F40" s="104"/>
      <c r="G40" s="104"/>
      <c r="H40" s="191"/>
      <c r="I40" s="104"/>
      <c r="J40" s="104"/>
      <c r="K40" s="104"/>
      <c r="L40" s="104"/>
      <c r="M40" s="30"/>
      <c r="N40" s="192"/>
      <c r="O40" s="192"/>
      <c r="P40" s="30"/>
      <c r="Q40" s="30"/>
      <c r="R40" s="30"/>
      <c r="S40" s="30"/>
      <c r="T40" s="30"/>
      <c r="U40" s="30"/>
      <c r="V40" s="30"/>
      <c r="W40" s="30"/>
      <c r="X40" s="30"/>
      <c r="Y40" s="30"/>
      <c r="Z40" s="30"/>
    </row>
    <row r="41" ht="14.25" customHeight="1">
      <c r="A41" s="35"/>
      <c r="B41" s="30"/>
      <c r="C41" s="104"/>
      <c r="D41" s="104"/>
      <c r="E41" s="104"/>
      <c r="F41" s="104"/>
      <c r="G41" s="104"/>
      <c r="H41" s="191"/>
      <c r="I41" s="104"/>
      <c r="J41" s="104"/>
      <c r="K41" s="104"/>
      <c r="L41" s="104"/>
      <c r="M41" s="30"/>
      <c r="N41" s="192"/>
      <c r="O41" s="192"/>
      <c r="P41" s="30"/>
      <c r="Q41" s="30"/>
      <c r="R41" s="30"/>
      <c r="S41" s="30"/>
      <c r="T41" s="30"/>
      <c r="U41" s="30"/>
      <c r="V41" s="30"/>
      <c r="W41" s="30"/>
      <c r="X41" s="30"/>
      <c r="Y41" s="30"/>
      <c r="Z41" s="30"/>
    </row>
    <row r="42" ht="14.25" customHeight="1">
      <c r="A42" s="35"/>
      <c r="B42" s="30"/>
      <c r="C42" s="104"/>
      <c r="D42" s="104"/>
      <c r="E42" s="104"/>
      <c r="F42" s="104"/>
      <c r="G42" s="104"/>
      <c r="H42" s="191"/>
      <c r="I42" s="104"/>
      <c r="J42" s="104"/>
      <c r="K42" s="104"/>
      <c r="L42" s="104"/>
      <c r="M42" s="30"/>
      <c r="N42" s="192"/>
      <c r="O42" s="192"/>
      <c r="P42" s="30"/>
      <c r="Q42" s="30"/>
      <c r="R42" s="30"/>
      <c r="S42" s="30"/>
      <c r="T42" s="30"/>
      <c r="U42" s="30"/>
      <c r="V42" s="30"/>
      <c r="W42" s="30"/>
      <c r="X42" s="30"/>
      <c r="Y42" s="30"/>
      <c r="Z42" s="30"/>
    </row>
    <row r="43" ht="14.25" customHeight="1">
      <c r="A43" s="35"/>
      <c r="B43" s="30"/>
      <c r="C43" s="104"/>
      <c r="D43" s="104"/>
      <c r="E43" s="104"/>
      <c r="F43" s="104"/>
      <c r="G43" s="104"/>
      <c r="H43" s="191"/>
      <c r="I43" s="104"/>
      <c r="J43" s="104"/>
      <c r="K43" s="104"/>
      <c r="L43" s="104"/>
      <c r="M43" s="30"/>
      <c r="N43" s="192"/>
      <c r="O43" s="192"/>
      <c r="P43" s="30"/>
      <c r="Q43" s="30"/>
      <c r="R43" s="30"/>
      <c r="S43" s="30"/>
      <c r="T43" s="30"/>
      <c r="U43" s="30"/>
      <c r="V43" s="30"/>
      <c r="W43" s="30"/>
      <c r="X43" s="30"/>
      <c r="Y43" s="30"/>
      <c r="Z43" s="30"/>
    </row>
    <row r="44" ht="14.25" customHeight="1">
      <c r="A44" s="35"/>
      <c r="B44" s="30"/>
      <c r="C44" s="104"/>
      <c r="D44" s="104"/>
      <c r="E44" s="104"/>
      <c r="F44" s="104"/>
      <c r="G44" s="104"/>
      <c r="H44" s="191"/>
      <c r="I44" s="104"/>
      <c r="J44" s="104"/>
      <c r="K44" s="104"/>
      <c r="L44" s="104"/>
      <c r="M44" s="30"/>
      <c r="N44" s="192"/>
      <c r="O44" s="192"/>
      <c r="P44" s="30"/>
      <c r="Q44" s="30"/>
      <c r="R44" s="30"/>
      <c r="S44" s="30"/>
      <c r="T44" s="30"/>
      <c r="U44" s="30"/>
      <c r="V44" s="30"/>
      <c r="W44" s="30"/>
      <c r="X44" s="30"/>
      <c r="Y44" s="30"/>
      <c r="Z44" s="30"/>
    </row>
    <row r="45" ht="14.25" customHeight="1">
      <c r="A45" s="35"/>
      <c r="B45" s="30"/>
      <c r="C45" s="104"/>
      <c r="D45" s="104"/>
      <c r="E45" s="104"/>
      <c r="F45" s="104"/>
      <c r="G45" s="104"/>
      <c r="H45" s="191"/>
      <c r="I45" s="104"/>
      <c r="J45" s="104"/>
      <c r="K45" s="104"/>
      <c r="L45" s="104"/>
      <c r="M45" s="30"/>
      <c r="N45" s="192"/>
      <c r="O45" s="192"/>
      <c r="P45" s="30"/>
      <c r="Q45" s="30"/>
      <c r="R45" s="30"/>
      <c r="S45" s="30"/>
      <c r="T45" s="30"/>
      <c r="U45" s="30"/>
      <c r="V45" s="30"/>
      <c r="W45" s="30"/>
      <c r="X45" s="30"/>
      <c r="Y45" s="30"/>
      <c r="Z45" s="30"/>
    </row>
    <row r="46" ht="14.25" customHeight="1">
      <c r="A46" s="35"/>
      <c r="B46" s="30"/>
      <c r="C46" s="104"/>
      <c r="D46" s="104"/>
      <c r="E46" s="104"/>
      <c r="F46" s="104"/>
      <c r="G46" s="104"/>
      <c r="H46" s="191"/>
      <c r="I46" s="104"/>
      <c r="J46" s="104"/>
      <c r="K46" s="104"/>
      <c r="L46" s="104"/>
      <c r="M46" s="30"/>
      <c r="N46" s="192"/>
      <c r="O46" s="192"/>
      <c r="P46" s="30"/>
      <c r="Q46" s="30"/>
      <c r="R46" s="30"/>
      <c r="S46" s="30"/>
      <c r="T46" s="30"/>
      <c r="U46" s="30"/>
      <c r="V46" s="30"/>
      <c r="W46" s="30"/>
      <c r="X46" s="30"/>
      <c r="Y46" s="30"/>
      <c r="Z46" s="30"/>
    </row>
    <row r="47" ht="14.25" customHeight="1">
      <c r="A47" s="35"/>
      <c r="B47" s="30"/>
      <c r="C47" s="104"/>
      <c r="D47" s="104"/>
      <c r="E47" s="104"/>
      <c r="F47" s="104"/>
      <c r="G47" s="104"/>
      <c r="H47" s="191"/>
      <c r="I47" s="104"/>
      <c r="J47" s="104"/>
      <c r="K47" s="104"/>
      <c r="L47" s="104"/>
      <c r="M47" s="30"/>
      <c r="N47" s="192"/>
      <c r="O47" s="192"/>
      <c r="P47" s="30"/>
      <c r="Q47" s="30"/>
      <c r="R47" s="30"/>
      <c r="S47" s="30"/>
      <c r="T47" s="30"/>
      <c r="U47" s="30"/>
      <c r="V47" s="30"/>
      <c r="W47" s="30"/>
      <c r="X47" s="30"/>
      <c r="Y47" s="30"/>
      <c r="Z47" s="30"/>
    </row>
    <row r="48" ht="14.25" customHeight="1">
      <c r="A48" s="35"/>
      <c r="B48" s="30"/>
      <c r="C48" s="104"/>
      <c r="D48" s="104"/>
      <c r="E48" s="104"/>
      <c r="F48" s="104"/>
      <c r="G48" s="104"/>
      <c r="H48" s="191"/>
      <c r="I48" s="104"/>
      <c r="J48" s="104"/>
      <c r="K48" s="104"/>
      <c r="L48" s="104"/>
      <c r="M48" s="30"/>
      <c r="N48" s="192"/>
      <c r="O48" s="192"/>
      <c r="P48" s="30"/>
      <c r="Q48" s="30"/>
      <c r="R48" s="30"/>
      <c r="S48" s="30"/>
      <c r="T48" s="30"/>
      <c r="U48" s="30"/>
      <c r="V48" s="30"/>
      <c r="W48" s="30"/>
      <c r="X48" s="30"/>
      <c r="Y48" s="30"/>
      <c r="Z48" s="30"/>
    </row>
    <row r="49" ht="14.25" customHeight="1">
      <c r="A49" s="35"/>
      <c r="B49" s="30"/>
      <c r="C49" s="104"/>
      <c r="D49" s="104"/>
      <c r="E49" s="104"/>
      <c r="F49" s="104"/>
      <c r="G49" s="104"/>
      <c r="H49" s="191"/>
      <c r="I49" s="104"/>
      <c r="J49" s="104"/>
      <c r="K49" s="104"/>
      <c r="L49" s="104"/>
      <c r="M49" s="30"/>
      <c r="N49" s="192"/>
      <c r="O49" s="192"/>
      <c r="P49" s="30"/>
      <c r="Q49" s="30"/>
      <c r="R49" s="30"/>
      <c r="S49" s="30"/>
      <c r="T49" s="30"/>
      <c r="U49" s="30"/>
      <c r="V49" s="30"/>
      <c r="W49" s="30"/>
      <c r="X49" s="30"/>
      <c r="Y49" s="30"/>
      <c r="Z49" s="30"/>
    </row>
    <row r="50" ht="14.25" customHeight="1">
      <c r="A50" s="35"/>
      <c r="B50" s="30"/>
      <c r="C50" s="104"/>
      <c r="D50" s="104"/>
      <c r="E50" s="104"/>
      <c r="F50" s="104"/>
      <c r="G50" s="104"/>
      <c r="H50" s="191"/>
      <c r="I50" s="104"/>
      <c r="J50" s="104"/>
      <c r="K50" s="104"/>
      <c r="L50" s="104"/>
      <c r="M50" s="30"/>
      <c r="N50" s="192"/>
      <c r="O50" s="192"/>
      <c r="P50" s="30"/>
      <c r="Q50" s="30"/>
      <c r="R50" s="30"/>
      <c r="S50" s="30"/>
      <c r="T50" s="30"/>
      <c r="U50" s="30"/>
      <c r="V50" s="30"/>
      <c r="W50" s="30"/>
      <c r="X50" s="30"/>
      <c r="Y50" s="30"/>
      <c r="Z50" s="30"/>
    </row>
    <row r="51" ht="14.25" customHeight="1">
      <c r="A51" s="35"/>
      <c r="B51" s="30"/>
      <c r="C51" s="104"/>
      <c r="D51" s="104"/>
      <c r="E51" s="104"/>
      <c r="F51" s="104"/>
      <c r="G51" s="104"/>
      <c r="H51" s="191"/>
      <c r="I51" s="104"/>
      <c r="J51" s="104"/>
      <c r="K51" s="104"/>
      <c r="L51" s="104"/>
      <c r="M51" s="30"/>
      <c r="N51" s="192"/>
      <c r="O51" s="192"/>
      <c r="P51" s="30"/>
      <c r="Q51" s="30"/>
      <c r="R51" s="30"/>
      <c r="S51" s="30"/>
      <c r="T51" s="30"/>
      <c r="U51" s="30"/>
      <c r="V51" s="30"/>
      <c r="W51" s="30"/>
      <c r="X51" s="30"/>
      <c r="Y51" s="30"/>
      <c r="Z51" s="30"/>
    </row>
    <row r="52" ht="14.25" customHeight="1">
      <c r="A52" s="35"/>
      <c r="B52" s="30"/>
      <c r="C52" s="104"/>
      <c r="D52" s="104"/>
      <c r="E52" s="104"/>
      <c r="F52" s="104"/>
      <c r="G52" s="104"/>
      <c r="H52" s="191"/>
      <c r="I52" s="104"/>
      <c r="J52" s="104"/>
      <c r="K52" s="104"/>
      <c r="L52" s="104"/>
      <c r="M52" s="30"/>
      <c r="N52" s="192"/>
      <c r="O52" s="192"/>
      <c r="P52" s="30"/>
      <c r="Q52" s="30"/>
      <c r="R52" s="30"/>
      <c r="S52" s="30"/>
      <c r="T52" s="30"/>
      <c r="U52" s="30"/>
      <c r="V52" s="30"/>
      <c r="W52" s="30"/>
      <c r="X52" s="30"/>
      <c r="Y52" s="30"/>
      <c r="Z52" s="30"/>
    </row>
    <row r="53" ht="14.25" customHeight="1">
      <c r="A53" s="35"/>
      <c r="B53" s="30"/>
      <c r="C53" s="104"/>
      <c r="D53" s="104"/>
      <c r="E53" s="104"/>
      <c r="F53" s="104"/>
      <c r="G53" s="104"/>
      <c r="H53" s="191"/>
      <c r="I53" s="104"/>
      <c r="J53" s="104"/>
      <c r="K53" s="104"/>
      <c r="L53" s="104"/>
      <c r="M53" s="30"/>
      <c r="N53" s="192"/>
      <c r="O53" s="192"/>
      <c r="P53" s="30"/>
      <c r="Q53" s="30"/>
      <c r="R53" s="30"/>
      <c r="S53" s="30"/>
      <c r="T53" s="30"/>
      <c r="U53" s="30"/>
      <c r="V53" s="30"/>
      <c r="W53" s="30"/>
      <c r="X53" s="30"/>
      <c r="Y53" s="30"/>
      <c r="Z53" s="30"/>
    </row>
    <row r="54" ht="14.25" customHeight="1">
      <c r="A54" s="35"/>
      <c r="B54" s="30"/>
      <c r="C54" s="104"/>
      <c r="D54" s="104"/>
      <c r="E54" s="104"/>
      <c r="F54" s="104"/>
      <c r="G54" s="104"/>
      <c r="H54" s="191"/>
      <c r="I54" s="104"/>
      <c r="J54" s="104"/>
      <c r="K54" s="104"/>
      <c r="L54" s="104"/>
      <c r="M54" s="30"/>
      <c r="N54" s="192"/>
      <c r="O54" s="192"/>
      <c r="P54" s="30"/>
      <c r="Q54" s="30"/>
      <c r="R54" s="30"/>
      <c r="S54" s="30"/>
      <c r="T54" s="30"/>
      <c r="U54" s="30"/>
      <c r="V54" s="30"/>
      <c r="W54" s="30"/>
      <c r="X54" s="30"/>
      <c r="Y54" s="30"/>
      <c r="Z54" s="30"/>
    </row>
    <row r="55" ht="14.25" customHeight="1">
      <c r="A55" s="35"/>
      <c r="B55" s="30"/>
      <c r="C55" s="104"/>
      <c r="D55" s="104"/>
      <c r="E55" s="104"/>
      <c r="F55" s="104"/>
      <c r="G55" s="104"/>
      <c r="H55" s="191"/>
      <c r="I55" s="104"/>
      <c r="J55" s="104"/>
      <c r="K55" s="104"/>
      <c r="L55" s="104"/>
      <c r="M55" s="30"/>
      <c r="N55" s="192"/>
      <c r="O55" s="192"/>
      <c r="P55" s="30"/>
      <c r="Q55" s="30"/>
      <c r="R55" s="30"/>
      <c r="S55" s="30"/>
      <c r="T55" s="30"/>
      <c r="U55" s="30"/>
      <c r="V55" s="30"/>
      <c r="W55" s="30"/>
      <c r="X55" s="30"/>
      <c r="Y55" s="30"/>
      <c r="Z55" s="30"/>
    </row>
    <row r="56" ht="14.25" customHeight="1">
      <c r="A56" s="35"/>
      <c r="B56" s="30"/>
      <c r="C56" s="104"/>
      <c r="D56" s="104"/>
      <c r="E56" s="104"/>
      <c r="F56" s="104"/>
      <c r="G56" s="104"/>
      <c r="H56" s="191"/>
      <c r="I56" s="104"/>
      <c r="J56" s="104"/>
      <c r="K56" s="104"/>
      <c r="L56" s="104"/>
      <c r="M56" s="30"/>
      <c r="N56" s="192"/>
      <c r="O56" s="192"/>
      <c r="P56" s="30"/>
      <c r="Q56" s="30"/>
      <c r="R56" s="30"/>
      <c r="S56" s="30"/>
      <c r="T56" s="30"/>
      <c r="U56" s="30"/>
      <c r="V56" s="30"/>
      <c r="W56" s="30"/>
      <c r="X56" s="30"/>
      <c r="Y56" s="30"/>
      <c r="Z56" s="30"/>
    </row>
    <row r="57" ht="14.25" customHeight="1">
      <c r="A57" s="35"/>
      <c r="B57" s="30"/>
      <c r="C57" s="104"/>
      <c r="D57" s="104"/>
      <c r="E57" s="104"/>
      <c r="F57" s="104"/>
      <c r="G57" s="104"/>
      <c r="H57" s="191"/>
      <c r="I57" s="104"/>
      <c r="J57" s="104"/>
      <c r="K57" s="104"/>
      <c r="L57" s="104"/>
      <c r="M57" s="30"/>
      <c r="N57" s="192"/>
      <c r="O57" s="192"/>
      <c r="P57" s="30"/>
      <c r="Q57" s="30"/>
      <c r="R57" s="30"/>
      <c r="S57" s="30"/>
      <c r="T57" s="30"/>
      <c r="U57" s="30"/>
      <c r="V57" s="30"/>
      <c r="W57" s="30"/>
      <c r="X57" s="30"/>
      <c r="Y57" s="30"/>
      <c r="Z57" s="30"/>
    </row>
    <row r="58" ht="14.25" customHeight="1">
      <c r="A58" s="35"/>
      <c r="B58" s="30"/>
      <c r="C58" s="104"/>
      <c r="D58" s="104"/>
      <c r="E58" s="104"/>
      <c r="F58" s="104"/>
      <c r="G58" s="104"/>
      <c r="H58" s="191"/>
      <c r="I58" s="104"/>
      <c r="J58" s="104"/>
      <c r="K58" s="104"/>
      <c r="L58" s="104"/>
      <c r="M58" s="30"/>
      <c r="N58" s="192"/>
      <c r="O58" s="192"/>
      <c r="P58" s="30"/>
      <c r="Q58" s="30"/>
      <c r="R58" s="30"/>
      <c r="S58" s="30"/>
      <c r="T58" s="30"/>
      <c r="U58" s="30"/>
      <c r="V58" s="30"/>
      <c r="W58" s="30"/>
      <c r="X58" s="30"/>
      <c r="Y58" s="30"/>
      <c r="Z58" s="30"/>
    </row>
    <row r="59" ht="14.25" customHeight="1">
      <c r="A59" s="35"/>
      <c r="B59" s="30"/>
      <c r="C59" s="104"/>
      <c r="D59" s="104"/>
      <c r="E59" s="104"/>
      <c r="F59" s="104"/>
      <c r="G59" s="104"/>
      <c r="H59" s="191"/>
      <c r="I59" s="104"/>
      <c r="J59" s="104"/>
      <c r="K59" s="104"/>
      <c r="L59" s="104"/>
      <c r="M59" s="30"/>
      <c r="N59" s="192"/>
      <c r="O59" s="192"/>
      <c r="P59" s="30"/>
      <c r="Q59" s="30"/>
      <c r="R59" s="30"/>
      <c r="S59" s="30"/>
      <c r="T59" s="30"/>
      <c r="U59" s="30"/>
      <c r="V59" s="30"/>
      <c r="W59" s="30"/>
      <c r="X59" s="30"/>
      <c r="Y59" s="30"/>
      <c r="Z59" s="30"/>
    </row>
    <row r="60" ht="14.25" customHeight="1">
      <c r="A60" s="35"/>
      <c r="B60" s="30"/>
      <c r="C60" s="104"/>
      <c r="D60" s="104"/>
      <c r="E60" s="104"/>
      <c r="F60" s="104"/>
      <c r="G60" s="104"/>
      <c r="H60" s="191"/>
      <c r="I60" s="104"/>
      <c r="J60" s="104"/>
      <c r="K60" s="104"/>
      <c r="L60" s="104"/>
      <c r="M60" s="30"/>
      <c r="N60" s="192"/>
      <c r="O60" s="192"/>
      <c r="P60" s="30"/>
      <c r="Q60" s="30"/>
      <c r="R60" s="30"/>
      <c r="S60" s="30"/>
      <c r="T60" s="30"/>
      <c r="U60" s="30"/>
      <c r="V60" s="30"/>
      <c r="W60" s="30"/>
      <c r="X60" s="30"/>
      <c r="Y60" s="30"/>
      <c r="Z60" s="30"/>
    </row>
    <row r="61" ht="14.25" customHeight="1">
      <c r="A61" s="35"/>
      <c r="B61" s="30"/>
      <c r="C61" s="104"/>
      <c r="D61" s="104"/>
      <c r="E61" s="104"/>
      <c r="F61" s="104"/>
      <c r="G61" s="104"/>
      <c r="H61" s="191"/>
      <c r="I61" s="104"/>
      <c r="J61" s="104"/>
      <c r="K61" s="104"/>
      <c r="L61" s="104"/>
      <c r="M61" s="30"/>
      <c r="N61" s="192"/>
      <c r="O61" s="192"/>
      <c r="P61" s="30"/>
      <c r="Q61" s="30"/>
      <c r="R61" s="30"/>
      <c r="S61" s="30"/>
      <c r="T61" s="30"/>
      <c r="U61" s="30"/>
      <c r="V61" s="30"/>
      <c r="W61" s="30"/>
      <c r="X61" s="30"/>
      <c r="Y61" s="30"/>
      <c r="Z61" s="30"/>
    </row>
    <row r="62" ht="14.25" customHeight="1">
      <c r="A62" s="35"/>
      <c r="B62" s="30"/>
      <c r="C62" s="104"/>
      <c r="D62" s="104"/>
      <c r="E62" s="104"/>
      <c r="F62" s="104"/>
      <c r="G62" s="104"/>
      <c r="H62" s="191"/>
      <c r="I62" s="104"/>
      <c r="J62" s="104"/>
      <c r="K62" s="104"/>
      <c r="L62" s="104"/>
      <c r="M62" s="30"/>
      <c r="N62" s="192"/>
      <c r="O62" s="192"/>
      <c r="P62" s="30"/>
      <c r="Q62" s="30"/>
      <c r="R62" s="30"/>
      <c r="S62" s="30"/>
      <c r="T62" s="30"/>
      <c r="U62" s="30"/>
      <c r="V62" s="30"/>
      <c r="W62" s="30"/>
      <c r="X62" s="30"/>
      <c r="Y62" s="30"/>
      <c r="Z62" s="30"/>
    </row>
    <row r="63" ht="14.25" customHeight="1">
      <c r="A63" s="35"/>
      <c r="B63" s="30"/>
      <c r="C63" s="104"/>
      <c r="D63" s="104"/>
      <c r="E63" s="104"/>
      <c r="F63" s="104"/>
      <c r="G63" s="104"/>
      <c r="H63" s="191"/>
      <c r="I63" s="104"/>
      <c r="J63" s="104"/>
      <c r="K63" s="104"/>
      <c r="L63" s="104"/>
      <c r="M63" s="30"/>
      <c r="N63" s="192"/>
      <c r="O63" s="192"/>
      <c r="P63" s="30"/>
      <c r="Q63" s="30"/>
      <c r="R63" s="30"/>
      <c r="S63" s="30"/>
      <c r="T63" s="30"/>
      <c r="U63" s="30"/>
      <c r="V63" s="30"/>
      <c r="W63" s="30"/>
      <c r="X63" s="30"/>
      <c r="Y63" s="30"/>
      <c r="Z63" s="30"/>
    </row>
    <row r="64" ht="14.25" customHeight="1">
      <c r="A64" s="35"/>
      <c r="B64" s="30"/>
      <c r="C64" s="104"/>
      <c r="D64" s="104"/>
      <c r="E64" s="104"/>
      <c r="F64" s="104"/>
      <c r="G64" s="104"/>
      <c r="H64" s="191"/>
      <c r="I64" s="104"/>
      <c r="J64" s="104"/>
      <c r="K64" s="104"/>
      <c r="L64" s="104"/>
      <c r="M64" s="30"/>
      <c r="N64" s="192"/>
      <c r="O64" s="192"/>
      <c r="P64" s="30"/>
      <c r="Q64" s="30"/>
      <c r="R64" s="30"/>
      <c r="S64" s="30"/>
      <c r="T64" s="30"/>
      <c r="U64" s="30"/>
      <c r="V64" s="30"/>
      <c r="W64" s="30"/>
      <c r="X64" s="30"/>
      <c r="Y64" s="30"/>
      <c r="Z64" s="30"/>
    </row>
    <row r="65" ht="14.25" customHeight="1">
      <c r="A65" s="35"/>
      <c r="B65" s="30"/>
      <c r="C65" s="104"/>
      <c r="D65" s="104"/>
      <c r="E65" s="104"/>
      <c r="F65" s="104"/>
      <c r="G65" s="104"/>
      <c r="H65" s="191"/>
      <c r="I65" s="104"/>
      <c r="J65" s="104"/>
      <c r="K65" s="104"/>
      <c r="L65" s="104"/>
      <c r="M65" s="30"/>
      <c r="N65" s="192"/>
      <c r="O65" s="192"/>
      <c r="P65" s="30"/>
      <c r="Q65" s="30"/>
      <c r="R65" s="30"/>
      <c r="S65" s="30"/>
      <c r="T65" s="30"/>
      <c r="U65" s="30"/>
      <c r="V65" s="30"/>
      <c r="W65" s="30"/>
      <c r="X65" s="30"/>
      <c r="Y65" s="30"/>
      <c r="Z65" s="30"/>
    </row>
    <row r="66" ht="14.25" customHeight="1">
      <c r="A66" s="35"/>
      <c r="B66" s="30"/>
      <c r="C66" s="104"/>
      <c r="D66" s="104"/>
      <c r="E66" s="104"/>
      <c r="F66" s="104"/>
      <c r="G66" s="104"/>
      <c r="H66" s="191"/>
      <c r="I66" s="104"/>
      <c r="J66" s="104"/>
      <c r="K66" s="104"/>
      <c r="L66" s="104"/>
      <c r="M66" s="30"/>
      <c r="N66" s="192"/>
      <c r="O66" s="192"/>
      <c r="P66" s="30"/>
      <c r="Q66" s="30"/>
      <c r="R66" s="30"/>
      <c r="S66" s="30"/>
      <c r="T66" s="30"/>
      <c r="U66" s="30"/>
      <c r="V66" s="30"/>
      <c r="W66" s="30"/>
      <c r="X66" s="30"/>
      <c r="Y66" s="30"/>
      <c r="Z66" s="30"/>
    </row>
    <row r="67" ht="14.25" customHeight="1">
      <c r="A67" s="35"/>
      <c r="B67" s="30"/>
      <c r="C67" s="104"/>
      <c r="D67" s="104"/>
      <c r="E67" s="104"/>
      <c r="F67" s="104"/>
      <c r="G67" s="104"/>
      <c r="H67" s="191"/>
      <c r="I67" s="104"/>
      <c r="J67" s="104"/>
      <c r="K67" s="104"/>
      <c r="L67" s="104"/>
      <c r="M67" s="30"/>
      <c r="N67" s="192"/>
      <c r="O67" s="192"/>
      <c r="P67" s="30"/>
      <c r="Q67" s="30"/>
      <c r="R67" s="30"/>
      <c r="S67" s="30"/>
      <c r="T67" s="30"/>
      <c r="U67" s="30"/>
      <c r="V67" s="30"/>
      <c r="W67" s="30"/>
      <c r="X67" s="30"/>
      <c r="Y67" s="30"/>
      <c r="Z67" s="30"/>
    </row>
    <row r="68" ht="14.25" customHeight="1">
      <c r="A68" s="35"/>
      <c r="B68" s="30"/>
      <c r="C68" s="104"/>
      <c r="D68" s="104"/>
      <c r="E68" s="104"/>
      <c r="F68" s="104"/>
      <c r="G68" s="104"/>
      <c r="H68" s="191"/>
      <c r="I68" s="104"/>
      <c r="J68" s="104"/>
      <c r="K68" s="104"/>
      <c r="L68" s="104"/>
      <c r="M68" s="30"/>
      <c r="N68" s="192"/>
      <c r="O68" s="192"/>
      <c r="P68" s="30"/>
      <c r="Q68" s="30"/>
      <c r="R68" s="30"/>
      <c r="S68" s="30"/>
      <c r="T68" s="30"/>
      <c r="U68" s="30"/>
      <c r="V68" s="30"/>
      <c r="W68" s="30"/>
      <c r="X68" s="30"/>
      <c r="Y68" s="30"/>
      <c r="Z68" s="30"/>
    </row>
    <row r="69" ht="14.25" customHeight="1">
      <c r="A69" s="35"/>
      <c r="B69" s="30"/>
      <c r="C69" s="104"/>
      <c r="D69" s="104"/>
      <c r="E69" s="104"/>
      <c r="F69" s="104"/>
      <c r="G69" s="104"/>
      <c r="H69" s="191"/>
      <c r="I69" s="104"/>
      <c r="J69" s="104"/>
      <c r="K69" s="104"/>
      <c r="L69" s="104"/>
      <c r="M69" s="30"/>
      <c r="N69" s="192"/>
      <c r="O69" s="192"/>
      <c r="P69" s="30"/>
      <c r="Q69" s="30"/>
      <c r="R69" s="30"/>
      <c r="S69" s="30"/>
      <c r="T69" s="30"/>
      <c r="U69" s="30"/>
      <c r="V69" s="30"/>
      <c r="W69" s="30"/>
      <c r="X69" s="30"/>
      <c r="Y69" s="30"/>
      <c r="Z69" s="30"/>
    </row>
    <row r="70" ht="14.25" customHeight="1">
      <c r="A70" s="35"/>
      <c r="B70" s="30"/>
      <c r="C70" s="104"/>
      <c r="D70" s="104"/>
      <c r="E70" s="104"/>
      <c r="F70" s="104"/>
      <c r="G70" s="104"/>
      <c r="H70" s="191"/>
      <c r="I70" s="104"/>
      <c r="J70" s="104"/>
      <c r="K70" s="104"/>
      <c r="L70" s="104"/>
      <c r="M70" s="30"/>
      <c r="N70" s="192"/>
      <c r="O70" s="192"/>
      <c r="P70" s="30"/>
      <c r="Q70" s="30"/>
      <c r="R70" s="30"/>
      <c r="S70" s="30"/>
      <c r="T70" s="30"/>
      <c r="U70" s="30"/>
      <c r="V70" s="30"/>
      <c r="W70" s="30"/>
      <c r="X70" s="30"/>
      <c r="Y70" s="30"/>
      <c r="Z70" s="30"/>
    </row>
    <row r="71" ht="14.25" customHeight="1">
      <c r="A71" s="35"/>
      <c r="B71" s="30"/>
      <c r="C71" s="104"/>
      <c r="D71" s="104"/>
      <c r="E71" s="104"/>
      <c r="F71" s="104"/>
      <c r="G71" s="104"/>
      <c r="H71" s="191"/>
      <c r="I71" s="104"/>
      <c r="J71" s="104"/>
      <c r="K71" s="104"/>
      <c r="L71" s="104"/>
      <c r="M71" s="30"/>
      <c r="N71" s="192"/>
      <c r="O71" s="192"/>
      <c r="P71" s="30"/>
      <c r="Q71" s="30"/>
      <c r="R71" s="30"/>
      <c r="S71" s="30"/>
      <c r="T71" s="30"/>
      <c r="U71" s="30"/>
      <c r="V71" s="30"/>
      <c r="W71" s="30"/>
      <c r="X71" s="30"/>
      <c r="Y71" s="30"/>
      <c r="Z71" s="30"/>
    </row>
    <row r="72" ht="14.25" customHeight="1">
      <c r="A72" s="35"/>
      <c r="B72" s="30"/>
      <c r="C72" s="104"/>
      <c r="D72" s="104"/>
      <c r="E72" s="104"/>
      <c r="F72" s="104"/>
      <c r="G72" s="104"/>
      <c r="H72" s="191"/>
      <c r="I72" s="104"/>
      <c r="J72" s="104"/>
      <c r="K72" s="104"/>
      <c r="L72" s="104"/>
      <c r="M72" s="30"/>
      <c r="N72" s="192"/>
      <c r="O72" s="192"/>
      <c r="P72" s="30"/>
      <c r="Q72" s="30"/>
      <c r="R72" s="30"/>
      <c r="S72" s="30"/>
      <c r="T72" s="30"/>
      <c r="U72" s="30"/>
      <c r="V72" s="30"/>
      <c r="W72" s="30"/>
      <c r="X72" s="30"/>
      <c r="Y72" s="30"/>
      <c r="Z72" s="30"/>
    </row>
    <row r="73" ht="14.25" customHeight="1">
      <c r="A73" s="35"/>
      <c r="B73" s="30"/>
      <c r="C73" s="104"/>
      <c r="D73" s="104"/>
      <c r="E73" s="104"/>
      <c r="F73" s="104"/>
      <c r="G73" s="104"/>
      <c r="H73" s="191"/>
      <c r="I73" s="104"/>
      <c r="J73" s="104"/>
      <c r="K73" s="104"/>
      <c r="L73" s="104"/>
      <c r="M73" s="30"/>
      <c r="N73" s="192"/>
      <c r="O73" s="192"/>
      <c r="P73" s="30"/>
      <c r="Q73" s="30"/>
      <c r="R73" s="30"/>
      <c r="S73" s="30"/>
      <c r="T73" s="30"/>
      <c r="U73" s="30"/>
      <c r="V73" s="30"/>
      <c r="W73" s="30"/>
      <c r="X73" s="30"/>
      <c r="Y73" s="30"/>
      <c r="Z73" s="30"/>
    </row>
    <row r="74" ht="14.25" customHeight="1">
      <c r="A74" s="35"/>
      <c r="B74" s="30"/>
      <c r="C74" s="104"/>
      <c r="D74" s="104"/>
      <c r="E74" s="104"/>
      <c r="F74" s="104"/>
      <c r="G74" s="104"/>
      <c r="H74" s="191"/>
      <c r="I74" s="104"/>
      <c r="J74" s="104"/>
      <c r="K74" s="104"/>
      <c r="L74" s="104"/>
      <c r="M74" s="30"/>
      <c r="N74" s="192"/>
      <c r="O74" s="192"/>
      <c r="P74" s="30"/>
      <c r="Q74" s="30"/>
      <c r="R74" s="30"/>
      <c r="S74" s="30"/>
      <c r="T74" s="30"/>
      <c r="U74" s="30"/>
      <c r="V74" s="30"/>
      <c r="W74" s="30"/>
      <c r="X74" s="30"/>
      <c r="Y74" s="30"/>
      <c r="Z74" s="30"/>
    </row>
    <row r="75" ht="14.25" customHeight="1">
      <c r="A75" s="35"/>
      <c r="B75" s="30"/>
      <c r="C75" s="104"/>
      <c r="D75" s="104"/>
      <c r="E75" s="104"/>
      <c r="F75" s="104"/>
      <c r="G75" s="104"/>
      <c r="H75" s="191"/>
      <c r="I75" s="104"/>
      <c r="J75" s="104"/>
      <c r="K75" s="104"/>
      <c r="L75" s="104"/>
      <c r="M75" s="30"/>
      <c r="N75" s="192"/>
      <c r="O75" s="192"/>
      <c r="P75" s="30"/>
      <c r="Q75" s="30"/>
      <c r="R75" s="30"/>
      <c r="S75" s="30"/>
      <c r="T75" s="30"/>
      <c r="U75" s="30"/>
      <c r="V75" s="30"/>
      <c r="W75" s="30"/>
      <c r="X75" s="30"/>
      <c r="Y75" s="30"/>
      <c r="Z75" s="30"/>
    </row>
    <row r="76" ht="14.25" customHeight="1">
      <c r="A76" s="35"/>
      <c r="B76" s="30"/>
      <c r="C76" s="104"/>
      <c r="D76" s="104"/>
      <c r="E76" s="104"/>
      <c r="F76" s="104"/>
      <c r="G76" s="104"/>
      <c r="H76" s="191"/>
      <c r="I76" s="104"/>
      <c r="J76" s="104"/>
      <c r="K76" s="104"/>
      <c r="L76" s="104"/>
      <c r="M76" s="30"/>
      <c r="N76" s="192"/>
      <c r="O76" s="192"/>
      <c r="P76" s="30"/>
      <c r="Q76" s="30"/>
      <c r="R76" s="30"/>
      <c r="S76" s="30"/>
      <c r="T76" s="30"/>
      <c r="U76" s="30"/>
      <c r="V76" s="30"/>
      <c r="W76" s="30"/>
      <c r="X76" s="30"/>
      <c r="Y76" s="30"/>
      <c r="Z76" s="30"/>
    </row>
    <row r="77" ht="14.25" customHeight="1">
      <c r="A77" s="35"/>
      <c r="B77" s="30"/>
      <c r="C77" s="104"/>
      <c r="D77" s="104"/>
      <c r="E77" s="104"/>
      <c r="F77" s="104"/>
      <c r="G77" s="104"/>
      <c r="H77" s="191"/>
      <c r="I77" s="104"/>
      <c r="J77" s="104"/>
      <c r="K77" s="104"/>
      <c r="L77" s="104"/>
      <c r="M77" s="30"/>
      <c r="N77" s="192"/>
      <c r="O77" s="192"/>
      <c r="P77" s="30"/>
      <c r="Q77" s="30"/>
      <c r="R77" s="30"/>
      <c r="S77" s="30"/>
      <c r="T77" s="30"/>
      <c r="U77" s="30"/>
      <c r="V77" s="30"/>
      <c r="W77" s="30"/>
      <c r="X77" s="30"/>
      <c r="Y77" s="30"/>
      <c r="Z77" s="30"/>
    </row>
    <row r="78" ht="14.25" customHeight="1">
      <c r="A78" s="35"/>
      <c r="B78" s="30"/>
      <c r="C78" s="104"/>
      <c r="D78" s="104"/>
      <c r="E78" s="104"/>
      <c r="F78" s="104"/>
      <c r="G78" s="104"/>
      <c r="H78" s="191"/>
      <c r="I78" s="104"/>
      <c r="J78" s="104"/>
      <c r="K78" s="104"/>
      <c r="L78" s="104"/>
      <c r="M78" s="30"/>
      <c r="N78" s="192"/>
      <c r="O78" s="192"/>
      <c r="P78" s="30"/>
      <c r="Q78" s="30"/>
      <c r="R78" s="30"/>
      <c r="S78" s="30"/>
      <c r="T78" s="30"/>
      <c r="U78" s="30"/>
      <c r="V78" s="30"/>
      <c r="W78" s="30"/>
      <c r="X78" s="30"/>
      <c r="Y78" s="30"/>
      <c r="Z78" s="30"/>
    </row>
    <row r="79" ht="14.25" customHeight="1">
      <c r="A79" s="35"/>
      <c r="B79" s="30"/>
      <c r="C79" s="104"/>
      <c r="D79" s="104"/>
      <c r="E79" s="104"/>
      <c r="F79" s="104"/>
      <c r="G79" s="104"/>
      <c r="H79" s="191"/>
      <c r="I79" s="104"/>
      <c r="J79" s="104"/>
      <c r="K79" s="104"/>
      <c r="L79" s="104"/>
      <c r="M79" s="30"/>
      <c r="N79" s="192"/>
      <c r="O79" s="192"/>
      <c r="P79" s="30"/>
      <c r="Q79" s="30"/>
      <c r="R79" s="30"/>
      <c r="S79" s="30"/>
      <c r="T79" s="30"/>
      <c r="U79" s="30"/>
      <c r="V79" s="30"/>
      <c r="W79" s="30"/>
      <c r="X79" s="30"/>
      <c r="Y79" s="30"/>
      <c r="Z79" s="30"/>
    </row>
    <row r="80" ht="14.25" customHeight="1">
      <c r="A80" s="35"/>
      <c r="B80" s="30"/>
      <c r="C80" s="104"/>
      <c r="D80" s="104"/>
      <c r="E80" s="104"/>
      <c r="F80" s="104"/>
      <c r="G80" s="104"/>
      <c r="H80" s="191"/>
      <c r="I80" s="104"/>
      <c r="J80" s="104"/>
      <c r="K80" s="104"/>
      <c r="L80" s="104"/>
      <c r="M80" s="30"/>
      <c r="N80" s="192"/>
      <c r="O80" s="192"/>
      <c r="P80" s="30"/>
      <c r="Q80" s="30"/>
      <c r="R80" s="30"/>
      <c r="S80" s="30"/>
      <c r="T80" s="30"/>
      <c r="U80" s="30"/>
      <c r="V80" s="30"/>
      <c r="W80" s="30"/>
      <c r="X80" s="30"/>
      <c r="Y80" s="30"/>
      <c r="Z80" s="30"/>
    </row>
    <row r="81" ht="14.25" customHeight="1">
      <c r="A81" s="35"/>
      <c r="B81" s="30"/>
      <c r="C81" s="104"/>
      <c r="D81" s="104"/>
      <c r="E81" s="104"/>
      <c r="F81" s="104"/>
      <c r="G81" s="104"/>
      <c r="H81" s="191"/>
      <c r="I81" s="104"/>
      <c r="J81" s="104"/>
      <c r="K81" s="104"/>
      <c r="L81" s="104"/>
      <c r="M81" s="30"/>
      <c r="N81" s="192"/>
      <c r="O81" s="192"/>
      <c r="P81" s="30"/>
      <c r="Q81" s="30"/>
      <c r="R81" s="30"/>
      <c r="S81" s="30"/>
      <c r="T81" s="30"/>
      <c r="U81" s="30"/>
      <c r="V81" s="30"/>
      <c r="W81" s="30"/>
      <c r="X81" s="30"/>
      <c r="Y81" s="30"/>
      <c r="Z81" s="30"/>
    </row>
    <row r="82" ht="14.25" customHeight="1">
      <c r="A82" s="35"/>
      <c r="B82" s="30"/>
      <c r="C82" s="104"/>
      <c r="D82" s="104"/>
      <c r="E82" s="104"/>
      <c r="F82" s="104"/>
      <c r="G82" s="104"/>
      <c r="H82" s="191"/>
      <c r="I82" s="104"/>
      <c r="J82" s="104"/>
      <c r="K82" s="104"/>
      <c r="L82" s="104"/>
      <c r="M82" s="30"/>
      <c r="N82" s="192"/>
      <c r="O82" s="192"/>
      <c r="P82" s="30"/>
      <c r="Q82" s="30"/>
      <c r="R82" s="30"/>
      <c r="S82" s="30"/>
      <c r="T82" s="30"/>
      <c r="U82" s="30"/>
      <c r="V82" s="30"/>
      <c r="W82" s="30"/>
      <c r="X82" s="30"/>
      <c r="Y82" s="30"/>
      <c r="Z82" s="30"/>
    </row>
    <row r="83" ht="14.25" customHeight="1">
      <c r="A83" s="35"/>
      <c r="B83" s="30"/>
      <c r="C83" s="104"/>
      <c r="D83" s="104"/>
      <c r="E83" s="104"/>
      <c r="F83" s="104"/>
      <c r="G83" s="104"/>
      <c r="H83" s="191"/>
      <c r="I83" s="104"/>
      <c r="J83" s="104"/>
      <c r="K83" s="104"/>
      <c r="L83" s="104"/>
      <c r="M83" s="30"/>
      <c r="N83" s="192"/>
      <c r="O83" s="192"/>
      <c r="P83" s="30"/>
      <c r="Q83" s="30"/>
      <c r="R83" s="30"/>
      <c r="S83" s="30"/>
      <c r="T83" s="30"/>
      <c r="U83" s="30"/>
      <c r="V83" s="30"/>
      <c r="W83" s="30"/>
      <c r="X83" s="30"/>
      <c r="Y83" s="30"/>
      <c r="Z83" s="30"/>
    </row>
    <row r="84" ht="14.25" customHeight="1">
      <c r="A84" s="35"/>
      <c r="B84" s="30"/>
      <c r="C84" s="104"/>
      <c r="D84" s="104"/>
      <c r="E84" s="104"/>
      <c r="F84" s="104"/>
      <c r="G84" s="104"/>
      <c r="H84" s="191"/>
      <c r="I84" s="104"/>
      <c r="J84" s="104"/>
      <c r="K84" s="104"/>
      <c r="L84" s="104"/>
      <c r="M84" s="30"/>
      <c r="N84" s="192"/>
      <c r="O84" s="192"/>
      <c r="P84" s="30"/>
      <c r="Q84" s="30"/>
      <c r="R84" s="30"/>
      <c r="S84" s="30"/>
      <c r="T84" s="30"/>
      <c r="U84" s="30"/>
      <c r="V84" s="30"/>
      <c r="W84" s="30"/>
      <c r="X84" s="30"/>
      <c r="Y84" s="30"/>
      <c r="Z84" s="30"/>
    </row>
    <row r="85" ht="14.25" customHeight="1">
      <c r="A85" s="35"/>
      <c r="B85" s="30"/>
      <c r="C85" s="104"/>
      <c r="D85" s="104"/>
      <c r="E85" s="104"/>
      <c r="F85" s="104"/>
      <c r="G85" s="104"/>
      <c r="H85" s="191"/>
      <c r="I85" s="104"/>
      <c r="J85" s="104"/>
      <c r="K85" s="104"/>
      <c r="L85" s="104"/>
      <c r="M85" s="30"/>
      <c r="N85" s="192"/>
      <c r="O85" s="192"/>
      <c r="P85" s="30"/>
      <c r="Q85" s="30"/>
      <c r="R85" s="30"/>
      <c r="S85" s="30"/>
      <c r="T85" s="30"/>
      <c r="U85" s="30"/>
      <c r="V85" s="30"/>
      <c r="W85" s="30"/>
      <c r="X85" s="30"/>
      <c r="Y85" s="30"/>
      <c r="Z85" s="30"/>
    </row>
    <row r="86" ht="14.25" customHeight="1">
      <c r="A86" s="35"/>
      <c r="B86" s="30"/>
      <c r="C86" s="104"/>
      <c r="D86" s="104"/>
      <c r="E86" s="104"/>
      <c r="F86" s="104"/>
      <c r="G86" s="104"/>
      <c r="H86" s="191"/>
      <c r="I86" s="104"/>
      <c r="J86" s="104"/>
      <c r="K86" s="104"/>
      <c r="L86" s="104"/>
      <c r="M86" s="30"/>
      <c r="N86" s="192"/>
      <c r="O86" s="192"/>
      <c r="P86" s="30"/>
      <c r="Q86" s="30"/>
      <c r="R86" s="30"/>
      <c r="S86" s="30"/>
      <c r="T86" s="30"/>
      <c r="U86" s="30"/>
      <c r="V86" s="30"/>
      <c r="W86" s="30"/>
      <c r="X86" s="30"/>
      <c r="Y86" s="30"/>
      <c r="Z86" s="30"/>
    </row>
    <row r="87" ht="14.25" customHeight="1">
      <c r="A87" s="35"/>
      <c r="B87" s="30"/>
      <c r="C87" s="104"/>
      <c r="D87" s="104"/>
      <c r="E87" s="104"/>
      <c r="F87" s="104"/>
      <c r="G87" s="104"/>
      <c r="H87" s="191"/>
      <c r="I87" s="104"/>
      <c r="J87" s="104"/>
      <c r="K87" s="104"/>
      <c r="L87" s="104"/>
      <c r="M87" s="30"/>
      <c r="N87" s="192"/>
      <c r="O87" s="192"/>
      <c r="P87" s="30"/>
      <c r="Q87" s="30"/>
      <c r="R87" s="30"/>
      <c r="S87" s="30"/>
      <c r="T87" s="30"/>
      <c r="U87" s="30"/>
      <c r="V87" s="30"/>
      <c r="W87" s="30"/>
      <c r="X87" s="30"/>
      <c r="Y87" s="30"/>
      <c r="Z87" s="30"/>
    </row>
    <row r="88" ht="14.25" customHeight="1">
      <c r="A88" s="35"/>
      <c r="B88" s="30"/>
      <c r="C88" s="104"/>
      <c r="D88" s="104"/>
      <c r="E88" s="104"/>
      <c r="F88" s="104"/>
      <c r="G88" s="104"/>
      <c r="H88" s="191"/>
      <c r="I88" s="104"/>
      <c r="J88" s="104"/>
      <c r="K88" s="104"/>
      <c r="L88" s="104"/>
      <c r="M88" s="30"/>
      <c r="N88" s="192"/>
      <c r="O88" s="192"/>
      <c r="P88" s="30"/>
      <c r="Q88" s="30"/>
      <c r="R88" s="30"/>
      <c r="S88" s="30"/>
      <c r="T88" s="30"/>
      <c r="U88" s="30"/>
      <c r="V88" s="30"/>
      <c r="W88" s="30"/>
      <c r="X88" s="30"/>
      <c r="Y88" s="30"/>
      <c r="Z88" s="30"/>
    </row>
    <row r="89" ht="14.25" customHeight="1">
      <c r="A89" s="35"/>
      <c r="B89" s="30"/>
      <c r="C89" s="104"/>
      <c r="D89" s="104"/>
      <c r="E89" s="104"/>
      <c r="F89" s="104"/>
      <c r="G89" s="104"/>
      <c r="H89" s="191"/>
      <c r="I89" s="104"/>
      <c r="J89" s="104"/>
      <c r="K89" s="104"/>
      <c r="L89" s="104"/>
      <c r="M89" s="30"/>
      <c r="N89" s="192"/>
      <c r="O89" s="192"/>
      <c r="P89" s="30"/>
      <c r="Q89" s="30"/>
      <c r="R89" s="30"/>
      <c r="S89" s="30"/>
      <c r="T89" s="30"/>
      <c r="U89" s="30"/>
      <c r="V89" s="30"/>
      <c r="W89" s="30"/>
      <c r="X89" s="30"/>
      <c r="Y89" s="30"/>
      <c r="Z89" s="30"/>
    </row>
    <row r="90" ht="14.25" customHeight="1">
      <c r="A90" s="35"/>
      <c r="B90" s="30"/>
      <c r="C90" s="104"/>
      <c r="D90" s="104"/>
      <c r="E90" s="104"/>
      <c r="F90" s="104"/>
      <c r="G90" s="104"/>
      <c r="H90" s="191"/>
      <c r="I90" s="104"/>
      <c r="J90" s="104"/>
      <c r="K90" s="104"/>
      <c r="L90" s="104"/>
      <c r="M90" s="30"/>
      <c r="N90" s="192"/>
      <c r="O90" s="192"/>
      <c r="P90" s="30"/>
      <c r="Q90" s="30"/>
      <c r="R90" s="30"/>
      <c r="S90" s="30"/>
      <c r="T90" s="30"/>
      <c r="U90" s="30"/>
      <c r="V90" s="30"/>
      <c r="W90" s="30"/>
      <c r="X90" s="30"/>
      <c r="Y90" s="30"/>
      <c r="Z90" s="30"/>
    </row>
    <row r="91" ht="14.25" customHeight="1">
      <c r="A91" s="35"/>
      <c r="B91" s="30"/>
      <c r="C91" s="104"/>
      <c r="D91" s="104"/>
      <c r="E91" s="104"/>
      <c r="F91" s="104"/>
      <c r="G91" s="104"/>
      <c r="H91" s="191"/>
      <c r="I91" s="104"/>
      <c r="J91" s="104"/>
      <c r="K91" s="104"/>
      <c r="L91" s="104"/>
      <c r="M91" s="30"/>
      <c r="N91" s="192"/>
      <c r="O91" s="192"/>
      <c r="P91" s="30"/>
      <c r="Q91" s="30"/>
      <c r="R91" s="30"/>
      <c r="S91" s="30"/>
      <c r="T91" s="30"/>
      <c r="U91" s="30"/>
      <c r="V91" s="30"/>
      <c r="W91" s="30"/>
      <c r="X91" s="30"/>
      <c r="Y91" s="30"/>
      <c r="Z91" s="30"/>
    </row>
    <row r="92" ht="14.25" customHeight="1">
      <c r="A92" s="35"/>
      <c r="B92" s="30"/>
      <c r="C92" s="104"/>
      <c r="D92" s="104"/>
      <c r="E92" s="104"/>
      <c r="F92" s="104"/>
      <c r="G92" s="104"/>
      <c r="H92" s="191"/>
      <c r="I92" s="104"/>
      <c r="J92" s="104"/>
      <c r="K92" s="104"/>
      <c r="L92" s="104"/>
      <c r="M92" s="30"/>
      <c r="N92" s="192"/>
      <c r="O92" s="192"/>
      <c r="P92" s="30"/>
      <c r="Q92" s="30"/>
      <c r="R92" s="30"/>
      <c r="S92" s="30"/>
      <c r="T92" s="30"/>
      <c r="U92" s="30"/>
      <c r="V92" s="30"/>
      <c r="W92" s="30"/>
      <c r="X92" s="30"/>
      <c r="Y92" s="30"/>
      <c r="Z92" s="30"/>
    </row>
    <row r="93" ht="14.25" customHeight="1">
      <c r="A93" s="35"/>
      <c r="B93" s="30"/>
      <c r="C93" s="104"/>
      <c r="D93" s="104"/>
      <c r="E93" s="104"/>
      <c r="F93" s="104"/>
      <c r="G93" s="104"/>
      <c r="H93" s="191"/>
      <c r="I93" s="104"/>
      <c r="J93" s="104"/>
      <c r="K93" s="104"/>
      <c r="L93" s="104"/>
      <c r="M93" s="30"/>
      <c r="N93" s="192"/>
      <c r="O93" s="192"/>
      <c r="P93" s="30"/>
      <c r="Q93" s="30"/>
      <c r="R93" s="30"/>
      <c r="S93" s="30"/>
      <c r="T93" s="30"/>
      <c r="U93" s="30"/>
      <c r="V93" s="30"/>
      <c r="W93" s="30"/>
      <c r="X93" s="30"/>
      <c r="Y93" s="30"/>
      <c r="Z93" s="30"/>
    </row>
    <row r="94" ht="14.25" customHeight="1">
      <c r="A94" s="35"/>
      <c r="B94" s="30"/>
      <c r="C94" s="104"/>
      <c r="D94" s="104"/>
      <c r="E94" s="104"/>
      <c r="F94" s="104"/>
      <c r="G94" s="104"/>
      <c r="H94" s="191"/>
      <c r="I94" s="104"/>
      <c r="J94" s="104"/>
      <c r="K94" s="104"/>
      <c r="L94" s="104"/>
      <c r="M94" s="30"/>
      <c r="N94" s="192"/>
      <c r="O94" s="192"/>
      <c r="P94" s="30"/>
      <c r="Q94" s="30"/>
      <c r="R94" s="30"/>
      <c r="S94" s="30"/>
      <c r="T94" s="30"/>
      <c r="U94" s="30"/>
      <c r="V94" s="30"/>
      <c r="W94" s="30"/>
      <c r="X94" s="30"/>
      <c r="Y94" s="30"/>
      <c r="Z94" s="30"/>
    </row>
    <row r="95" ht="14.25" customHeight="1">
      <c r="A95" s="35"/>
      <c r="B95" s="30"/>
      <c r="C95" s="104"/>
      <c r="D95" s="104"/>
      <c r="E95" s="104"/>
      <c r="F95" s="104"/>
      <c r="G95" s="104"/>
      <c r="H95" s="191"/>
      <c r="I95" s="104"/>
      <c r="J95" s="104"/>
      <c r="K95" s="104"/>
      <c r="L95" s="104"/>
      <c r="M95" s="30"/>
      <c r="N95" s="192"/>
      <c r="O95" s="192"/>
      <c r="P95" s="30"/>
      <c r="Q95" s="30"/>
      <c r="R95" s="30"/>
      <c r="S95" s="30"/>
      <c r="T95" s="30"/>
      <c r="U95" s="30"/>
      <c r="V95" s="30"/>
      <c r="W95" s="30"/>
      <c r="X95" s="30"/>
      <c r="Y95" s="30"/>
      <c r="Z95" s="30"/>
    </row>
    <row r="96" ht="14.25" customHeight="1">
      <c r="A96" s="35"/>
      <c r="B96" s="30"/>
      <c r="C96" s="104"/>
      <c r="D96" s="104"/>
      <c r="E96" s="104"/>
      <c r="F96" s="104"/>
      <c r="G96" s="104"/>
      <c r="H96" s="191"/>
      <c r="I96" s="104"/>
      <c r="J96" s="104"/>
      <c r="K96" s="104"/>
      <c r="L96" s="104"/>
      <c r="M96" s="30"/>
      <c r="N96" s="192"/>
      <c r="O96" s="192"/>
      <c r="P96" s="30"/>
      <c r="Q96" s="30"/>
      <c r="R96" s="30"/>
      <c r="S96" s="30"/>
      <c r="T96" s="30"/>
      <c r="U96" s="30"/>
      <c r="V96" s="30"/>
      <c r="W96" s="30"/>
      <c r="X96" s="30"/>
      <c r="Y96" s="30"/>
      <c r="Z96" s="30"/>
    </row>
    <row r="97" ht="14.25" customHeight="1">
      <c r="A97" s="35"/>
      <c r="B97" s="30"/>
      <c r="C97" s="104"/>
      <c r="D97" s="104"/>
      <c r="E97" s="104"/>
      <c r="F97" s="104"/>
      <c r="G97" s="104"/>
      <c r="H97" s="191"/>
      <c r="I97" s="104"/>
      <c r="J97" s="104"/>
      <c r="K97" s="104"/>
      <c r="L97" s="104"/>
      <c r="M97" s="30"/>
      <c r="N97" s="192"/>
      <c r="O97" s="192"/>
      <c r="P97" s="30"/>
      <c r="Q97" s="30"/>
      <c r="R97" s="30"/>
      <c r="S97" s="30"/>
      <c r="T97" s="30"/>
      <c r="U97" s="30"/>
      <c r="V97" s="30"/>
      <c r="W97" s="30"/>
      <c r="X97" s="30"/>
      <c r="Y97" s="30"/>
      <c r="Z97" s="30"/>
    </row>
    <row r="98" ht="14.25" customHeight="1">
      <c r="A98" s="35"/>
      <c r="B98" s="30"/>
      <c r="C98" s="104"/>
      <c r="D98" s="104"/>
      <c r="E98" s="104"/>
      <c r="F98" s="104"/>
      <c r="G98" s="104"/>
      <c r="H98" s="191"/>
      <c r="I98" s="104"/>
      <c r="J98" s="104"/>
      <c r="K98" s="104"/>
      <c r="L98" s="104"/>
      <c r="M98" s="30"/>
      <c r="N98" s="192"/>
      <c r="O98" s="192"/>
      <c r="P98" s="30"/>
      <c r="Q98" s="30"/>
      <c r="R98" s="30"/>
      <c r="S98" s="30"/>
      <c r="T98" s="30"/>
      <c r="U98" s="30"/>
      <c r="V98" s="30"/>
      <c r="W98" s="30"/>
      <c r="X98" s="30"/>
      <c r="Y98" s="30"/>
      <c r="Z98" s="30"/>
    </row>
    <row r="99" ht="14.25" customHeight="1">
      <c r="A99" s="35"/>
      <c r="B99" s="30"/>
      <c r="C99" s="104"/>
      <c r="D99" s="104"/>
      <c r="E99" s="104"/>
      <c r="F99" s="104"/>
      <c r="G99" s="104"/>
      <c r="H99" s="191"/>
      <c r="I99" s="104"/>
      <c r="J99" s="104"/>
      <c r="K99" s="104"/>
      <c r="L99" s="104"/>
      <c r="M99" s="30"/>
      <c r="N99" s="192"/>
      <c r="O99" s="192"/>
      <c r="P99" s="30"/>
      <c r="Q99" s="30"/>
      <c r="R99" s="30"/>
      <c r="S99" s="30"/>
      <c r="T99" s="30"/>
      <c r="U99" s="30"/>
      <c r="V99" s="30"/>
      <c r="W99" s="30"/>
      <c r="X99" s="30"/>
      <c r="Y99" s="30"/>
      <c r="Z99" s="30"/>
    </row>
    <row r="100" ht="14.25" customHeight="1">
      <c r="A100" s="35"/>
      <c r="B100" s="30"/>
      <c r="C100" s="104"/>
      <c r="D100" s="104"/>
      <c r="E100" s="104"/>
      <c r="F100" s="104"/>
      <c r="G100" s="104"/>
      <c r="H100" s="191"/>
      <c r="I100" s="104"/>
      <c r="J100" s="104"/>
      <c r="K100" s="104"/>
      <c r="L100" s="104"/>
      <c r="M100" s="30"/>
      <c r="N100" s="192"/>
      <c r="O100" s="192"/>
      <c r="P100" s="30"/>
      <c r="Q100" s="30"/>
      <c r="R100" s="30"/>
      <c r="S100" s="30"/>
      <c r="T100" s="30"/>
      <c r="U100" s="30"/>
      <c r="V100" s="30"/>
      <c r="W100" s="30"/>
      <c r="X100" s="30"/>
      <c r="Y100" s="30"/>
      <c r="Z100" s="30"/>
    </row>
    <row r="101" ht="14.25" customHeight="1">
      <c r="A101" s="35"/>
      <c r="B101" s="30"/>
      <c r="C101" s="104"/>
      <c r="D101" s="104"/>
      <c r="E101" s="104"/>
      <c r="F101" s="104"/>
      <c r="G101" s="104"/>
      <c r="H101" s="191"/>
      <c r="I101" s="104"/>
      <c r="J101" s="104"/>
      <c r="K101" s="104"/>
      <c r="L101" s="104"/>
      <c r="M101" s="30"/>
      <c r="N101" s="192"/>
      <c r="O101" s="192"/>
      <c r="P101" s="30"/>
      <c r="Q101" s="30"/>
      <c r="R101" s="30"/>
      <c r="S101" s="30"/>
      <c r="T101" s="30"/>
      <c r="U101" s="30"/>
      <c r="V101" s="30"/>
      <c r="W101" s="30"/>
      <c r="X101" s="30"/>
      <c r="Y101" s="30"/>
      <c r="Z101" s="30"/>
    </row>
    <row r="102" ht="14.25" customHeight="1">
      <c r="A102" s="35"/>
      <c r="B102" s="30"/>
      <c r="C102" s="104"/>
      <c r="D102" s="104"/>
      <c r="E102" s="104"/>
      <c r="F102" s="104"/>
      <c r="G102" s="104"/>
      <c r="H102" s="191"/>
      <c r="I102" s="104"/>
      <c r="J102" s="104"/>
      <c r="K102" s="104"/>
      <c r="L102" s="104"/>
      <c r="M102" s="30"/>
      <c r="N102" s="192"/>
      <c r="O102" s="192"/>
      <c r="P102" s="30"/>
      <c r="Q102" s="30"/>
      <c r="R102" s="30"/>
      <c r="S102" s="30"/>
      <c r="T102" s="30"/>
      <c r="U102" s="30"/>
      <c r="V102" s="30"/>
      <c r="W102" s="30"/>
      <c r="X102" s="30"/>
      <c r="Y102" s="30"/>
      <c r="Z102" s="30"/>
    </row>
    <row r="103" ht="14.25" customHeight="1">
      <c r="A103" s="35"/>
      <c r="B103" s="30"/>
      <c r="C103" s="104"/>
      <c r="D103" s="104"/>
      <c r="E103" s="104"/>
      <c r="F103" s="104"/>
      <c r="G103" s="104"/>
      <c r="H103" s="191"/>
      <c r="I103" s="104"/>
      <c r="J103" s="104"/>
      <c r="K103" s="104"/>
      <c r="L103" s="104"/>
      <c r="M103" s="30"/>
      <c r="N103" s="192"/>
      <c r="O103" s="192"/>
      <c r="P103" s="30"/>
      <c r="Q103" s="30"/>
      <c r="R103" s="30"/>
      <c r="S103" s="30"/>
      <c r="T103" s="30"/>
      <c r="U103" s="30"/>
      <c r="V103" s="30"/>
      <c r="W103" s="30"/>
      <c r="X103" s="30"/>
      <c r="Y103" s="30"/>
      <c r="Z103" s="30"/>
    </row>
    <row r="104" ht="14.25" customHeight="1">
      <c r="A104" s="35"/>
      <c r="B104" s="30"/>
      <c r="C104" s="104"/>
      <c r="D104" s="104"/>
      <c r="E104" s="104"/>
      <c r="F104" s="104"/>
      <c r="G104" s="104"/>
      <c r="H104" s="191"/>
      <c r="I104" s="104"/>
      <c r="J104" s="104"/>
      <c r="K104" s="104"/>
      <c r="L104" s="104"/>
      <c r="M104" s="30"/>
      <c r="N104" s="192"/>
      <c r="O104" s="192"/>
      <c r="P104" s="30"/>
      <c r="Q104" s="30"/>
      <c r="R104" s="30"/>
      <c r="S104" s="30"/>
      <c r="T104" s="30"/>
      <c r="U104" s="30"/>
      <c r="V104" s="30"/>
      <c r="W104" s="30"/>
      <c r="X104" s="30"/>
      <c r="Y104" s="30"/>
      <c r="Z104" s="30"/>
    </row>
    <row r="105" ht="14.25" customHeight="1">
      <c r="A105" s="35"/>
      <c r="B105" s="30"/>
      <c r="C105" s="104"/>
      <c r="D105" s="104"/>
      <c r="E105" s="104"/>
      <c r="F105" s="104"/>
      <c r="G105" s="104"/>
      <c r="H105" s="191"/>
      <c r="I105" s="104"/>
      <c r="J105" s="104"/>
      <c r="K105" s="104"/>
      <c r="L105" s="104"/>
      <c r="M105" s="30"/>
      <c r="N105" s="192"/>
      <c r="O105" s="192"/>
      <c r="P105" s="30"/>
      <c r="Q105" s="30"/>
      <c r="R105" s="30"/>
      <c r="S105" s="30"/>
      <c r="T105" s="30"/>
      <c r="U105" s="30"/>
      <c r="V105" s="30"/>
      <c r="W105" s="30"/>
      <c r="X105" s="30"/>
      <c r="Y105" s="30"/>
      <c r="Z105" s="30"/>
    </row>
    <row r="106" ht="14.25" customHeight="1">
      <c r="A106" s="35"/>
      <c r="B106" s="30"/>
      <c r="C106" s="104"/>
      <c r="D106" s="104"/>
      <c r="E106" s="104"/>
      <c r="F106" s="104"/>
      <c r="G106" s="104"/>
      <c r="H106" s="191"/>
      <c r="I106" s="104"/>
      <c r="J106" s="104"/>
      <c r="K106" s="104"/>
      <c r="L106" s="104"/>
      <c r="M106" s="30"/>
      <c r="N106" s="192"/>
      <c r="O106" s="192"/>
      <c r="P106" s="30"/>
      <c r="Q106" s="30"/>
      <c r="R106" s="30"/>
      <c r="S106" s="30"/>
      <c r="T106" s="30"/>
      <c r="U106" s="30"/>
      <c r="V106" s="30"/>
      <c r="W106" s="30"/>
      <c r="X106" s="30"/>
      <c r="Y106" s="30"/>
      <c r="Z106" s="30"/>
    </row>
    <row r="107" ht="14.25" customHeight="1">
      <c r="A107" s="35"/>
      <c r="B107" s="30"/>
      <c r="C107" s="104"/>
      <c r="D107" s="104"/>
      <c r="E107" s="104"/>
      <c r="F107" s="104"/>
      <c r="G107" s="104"/>
      <c r="H107" s="191"/>
      <c r="I107" s="104"/>
      <c r="J107" s="104"/>
      <c r="K107" s="104"/>
      <c r="L107" s="104"/>
      <c r="M107" s="30"/>
      <c r="N107" s="192"/>
      <c r="O107" s="192"/>
      <c r="P107" s="30"/>
      <c r="Q107" s="30"/>
      <c r="R107" s="30"/>
      <c r="S107" s="30"/>
      <c r="T107" s="30"/>
      <c r="U107" s="30"/>
      <c r="V107" s="30"/>
      <c r="W107" s="30"/>
      <c r="X107" s="30"/>
      <c r="Y107" s="30"/>
      <c r="Z107" s="30"/>
    </row>
    <row r="108" ht="14.25" customHeight="1">
      <c r="A108" s="35"/>
      <c r="B108" s="30"/>
      <c r="C108" s="104"/>
      <c r="D108" s="104"/>
      <c r="E108" s="104"/>
      <c r="F108" s="104"/>
      <c r="G108" s="104"/>
      <c r="H108" s="191"/>
      <c r="I108" s="104"/>
      <c r="J108" s="104"/>
      <c r="K108" s="104"/>
      <c r="L108" s="104"/>
      <c r="M108" s="30"/>
      <c r="N108" s="192"/>
      <c r="O108" s="192"/>
      <c r="P108" s="30"/>
      <c r="Q108" s="30"/>
      <c r="R108" s="30"/>
      <c r="S108" s="30"/>
      <c r="T108" s="30"/>
      <c r="U108" s="30"/>
      <c r="V108" s="30"/>
      <c r="W108" s="30"/>
      <c r="X108" s="30"/>
      <c r="Y108" s="30"/>
      <c r="Z108" s="30"/>
    </row>
    <row r="109" ht="14.25" customHeight="1">
      <c r="A109" s="35"/>
      <c r="B109" s="30"/>
      <c r="C109" s="104"/>
      <c r="D109" s="104"/>
      <c r="E109" s="104"/>
      <c r="F109" s="104"/>
      <c r="G109" s="104"/>
      <c r="H109" s="191"/>
      <c r="I109" s="104"/>
      <c r="J109" s="104"/>
      <c r="K109" s="104"/>
      <c r="L109" s="104"/>
      <c r="M109" s="30"/>
      <c r="N109" s="192"/>
      <c r="O109" s="192"/>
      <c r="P109" s="30"/>
      <c r="Q109" s="30"/>
      <c r="R109" s="30"/>
      <c r="S109" s="30"/>
      <c r="T109" s="30"/>
      <c r="U109" s="30"/>
      <c r="V109" s="30"/>
      <c r="W109" s="30"/>
      <c r="X109" s="30"/>
      <c r="Y109" s="30"/>
      <c r="Z109" s="30"/>
    </row>
    <row r="110" ht="14.25" customHeight="1">
      <c r="A110" s="35"/>
      <c r="B110" s="30"/>
      <c r="C110" s="104"/>
      <c r="D110" s="104"/>
      <c r="E110" s="104"/>
      <c r="F110" s="104"/>
      <c r="G110" s="104"/>
      <c r="H110" s="191"/>
      <c r="I110" s="104"/>
      <c r="J110" s="104"/>
      <c r="K110" s="104"/>
      <c r="L110" s="104"/>
      <c r="M110" s="30"/>
      <c r="N110" s="192"/>
      <c r="O110" s="192"/>
      <c r="P110" s="30"/>
      <c r="Q110" s="30"/>
      <c r="R110" s="30"/>
      <c r="S110" s="30"/>
      <c r="T110" s="30"/>
      <c r="U110" s="30"/>
      <c r="V110" s="30"/>
      <c r="W110" s="30"/>
      <c r="X110" s="30"/>
      <c r="Y110" s="30"/>
      <c r="Z110" s="30"/>
    </row>
    <row r="111" ht="14.25" customHeight="1">
      <c r="A111" s="35"/>
      <c r="B111" s="30"/>
      <c r="C111" s="104"/>
      <c r="D111" s="104"/>
      <c r="E111" s="104"/>
      <c r="F111" s="104"/>
      <c r="G111" s="104"/>
      <c r="H111" s="191"/>
      <c r="I111" s="104"/>
      <c r="J111" s="104"/>
      <c r="K111" s="104"/>
      <c r="L111" s="104"/>
      <c r="M111" s="30"/>
      <c r="N111" s="192"/>
      <c r="O111" s="192"/>
      <c r="P111" s="30"/>
      <c r="Q111" s="30"/>
      <c r="R111" s="30"/>
      <c r="S111" s="30"/>
      <c r="T111" s="30"/>
      <c r="U111" s="30"/>
      <c r="V111" s="30"/>
      <c r="W111" s="30"/>
      <c r="X111" s="30"/>
      <c r="Y111" s="30"/>
      <c r="Z111" s="30"/>
    </row>
    <row r="112" ht="14.25" customHeight="1">
      <c r="A112" s="35"/>
      <c r="B112" s="30"/>
      <c r="C112" s="104"/>
      <c r="D112" s="104"/>
      <c r="E112" s="104"/>
      <c r="F112" s="104"/>
      <c r="G112" s="104"/>
      <c r="H112" s="191"/>
      <c r="I112" s="104"/>
      <c r="J112" s="104"/>
      <c r="K112" s="104"/>
      <c r="L112" s="104"/>
      <c r="M112" s="30"/>
      <c r="N112" s="192"/>
      <c r="O112" s="192"/>
      <c r="P112" s="30"/>
      <c r="Q112" s="30"/>
      <c r="R112" s="30"/>
      <c r="S112" s="30"/>
      <c r="T112" s="30"/>
      <c r="U112" s="30"/>
      <c r="V112" s="30"/>
      <c r="W112" s="30"/>
      <c r="X112" s="30"/>
      <c r="Y112" s="30"/>
      <c r="Z112" s="30"/>
    </row>
    <row r="113" ht="14.25" customHeight="1">
      <c r="A113" s="35"/>
      <c r="B113" s="30"/>
      <c r="C113" s="104"/>
      <c r="D113" s="104"/>
      <c r="E113" s="104"/>
      <c r="F113" s="104"/>
      <c r="G113" s="104"/>
      <c r="H113" s="191"/>
      <c r="I113" s="104"/>
      <c r="J113" s="104"/>
      <c r="K113" s="104"/>
      <c r="L113" s="104"/>
      <c r="M113" s="30"/>
      <c r="N113" s="192"/>
      <c r="O113" s="192"/>
      <c r="P113" s="30"/>
      <c r="Q113" s="30"/>
      <c r="R113" s="30"/>
      <c r="S113" s="30"/>
      <c r="T113" s="30"/>
      <c r="U113" s="30"/>
      <c r="V113" s="30"/>
      <c r="W113" s="30"/>
      <c r="X113" s="30"/>
      <c r="Y113" s="30"/>
      <c r="Z113" s="30"/>
    </row>
    <row r="114" ht="14.25" customHeight="1">
      <c r="A114" s="35"/>
      <c r="B114" s="30"/>
      <c r="C114" s="104"/>
      <c r="D114" s="104"/>
      <c r="E114" s="104"/>
      <c r="F114" s="104"/>
      <c r="G114" s="104"/>
      <c r="H114" s="191"/>
      <c r="I114" s="104"/>
      <c r="J114" s="104"/>
      <c r="K114" s="104"/>
      <c r="L114" s="104"/>
      <c r="M114" s="30"/>
      <c r="N114" s="192"/>
      <c r="O114" s="192"/>
      <c r="P114" s="30"/>
      <c r="Q114" s="30"/>
      <c r="R114" s="30"/>
      <c r="S114" s="30"/>
      <c r="T114" s="30"/>
      <c r="U114" s="30"/>
      <c r="V114" s="30"/>
      <c r="W114" s="30"/>
      <c r="X114" s="30"/>
      <c r="Y114" s="30"/>
      <c r="Z114" s="30"/>
    </row>
    <row r="115" ht="14.25" customHeight="1">
      <c r="A115" s="35"/>
      <c r="B115" s="30"/>
      <c r="C115" s="104"/>
      <c r="D115" s="104"/>
      <c r="E115" s="104"/>
      <c r="F115" s="104"/>
      <c r="G115" s="104"/>
      <c r="H115" s="191"/>
      <c r="I115" s="104"/>
      <c r="J115" s="104"/>
      <c r="K115" s="104"/>
      <c r="L115" s="104"/>
      <c r="M115" s="30"/>
      <c r="N115" s="192"/>
      <c r="O115" s="192"/>
      <c r="P115" s="30"/>
      <c r="Q115" s="30"/>
      <c r="R115" s="30"/>
      <c r="S115" s="30"/>
      <c r="T115" s="30"/>
      <c r="U115" s="30"/>
      <c r="V115" s="30"/>
      <c r="W115" s="30"/>
      <c r="X115" s="30"/>
      <c r="Y115" s="30"/>
      <c r="Z115" s="30"/>
    </row>
    <row r="116" ht="14.25" customHeight="1">
      <c r="A116" s="35"/>
      <c r="B116" s="30"/>
      <c r="C116" s="104"/>
      <c r="D116" s="104"/>
      <c r="E116" s="104"/>
      <c r="F116" s="104"/>
      <c r="G116" s="104"/>
      <c r="H116" s="191"/>
      <c r="I116" s="104"/>
      <c r="J116" s="104"/>
      <c r="K116" s="104"/>
      <c r="L116" s="104"/>
      <c r="M116" s="30"/>
      <c r="N116" s="192"/>
      <c r="O116" s="192"/>
      <c r="P116" s="30"/>
      <c r="Q116" s="30"/>
      <c r="R116" s="30"/>
      <c r="S116" s="30"/>
      <c r="T116" s="30"/>
      <c r="U116" s="30"/>
      <c r="V116" s="30"/>
      <c r="W116" s="30"/>
      <c r="X116" s="30"/>
      <c r="Y116" s="30"/>
      <c r="Z116" s="30"/>
    </row>
    <row r="117" ht="14.25" customHeight="1">
      <c r="A117" s="35"/>
      <c r="B117" s="30"/>
      <c r="C117" s="104"/>
      <c r="D117" s="104"/>
      <c r="E117" s="104"/>
      <c r="F117" s="104"/>
      <c r="G117" s="104"/>
      <c r="H117" s="191"/>
      <c r="I117" s="104"/>
      <c r="J117" s="104"/>
      <c r="K117" s="104"/>
      <c r="L117" s="104"/>
      <c r="M117" s="30"/>
      <c r="N117" s="192"/>
      <c r="O117" s="192"/>
      <c r="P117" s="30"/>
      <c r="Q117" s="30"/>
      <c r="R117" s="30"/>
      <c r="S117" s="30"/>
      <c r="T117" s="30"/>
      <c r="U117" s="30"/>
      <c r="V117" s="30"/>
      <c r="W117" s="30"/>
      <c r="X117" s="30"/>
      <c r="Y117" s="30"/>
      <c r="Z117" s="30"/>
    </row>
    <row r="118" ht="14.25" customHeight="1">
      <c r="A118" s="35"/>
      <c r="B118" s="30"/>
      <c r="C118" s="104"/>
      <c r="D118" s="104"/>
      <c r="E118" s="104"/>
      <c r="F118" s="104"/>
      <c r="G118" s="104"/>
      <c r="H118" s="191"/>
      <c r="I118" s="104"/>
      <c r="J118" s="104"/>
      <c r="K118" s="104"/>
      <c r="L118" s="104"/>
      <c r="M118" s="30"/>
      <c r="N118" s="192"/>
      <c r="O118" s="192"/>
      <c r="P118" s="30"/>
      <c r="Q118" s="30"/>
      <c r="R118" s="30"/>
      <c r="S118" s="30"/>
      <c r="T118" s="30"/>
      <c r="U118" s="30"/>
      <c r="V118" s="30"/>
      <c r="W118" s="30"/>
      <c r="X118" s="30"/>
      <c r="Y118" s="30"/>
      <c r="Z118" s="30"/>
    </row>
    <row r="119" ht="14.25" customHeight="1">
      <c r="A119" s="35"/>
      <c r="B119" s="30"/>
      <c r="C119" s="104"/>
      <c r="D119" s="104"/>
      <c r="E119" s="104"/>
      <c r="F119" s="104"/>
      <c r="G119" s="104"/>
      <c r="H119" s="191"/>
      <c r="I119" s="104"/>
      <c r="J119" s="104"/>
      <c r="K119" s="104"/>
      <c r="L119" s="104"/>
      <c r="M119" s="30"/>
      <c r="N119" s="192"/>
      <c r="O119" s="192"/>
      <c r="P119" s="30"/>
      <c r="Q119" s="30"/>
      <c r="R119" s="30"/>
      <c r="S119" s="30"/>
      <c r="T119" s="30"/>
      <c r="U119" s="30"/>
      <c r="V119" s="30"/>
      <c r="W119" s="30"/>
      <c r="X119" s="30"/>
      <c r="Y119" s="30"/>
      <c r="Z119" s="30"/>
    </row>
    <row r="120" ht="14.25" customHeight="1">
      <c r="A120" s="35"/>
      <c r="B120" s="30"/>
      <c r="C120" s="104"/>
      <c r="D120" s="104"/>
      <c r="E120" s="104"/>
      <c r="F120" s="104"/>
      <c r="G120" s="104"/>
      <c r="H120" s="191"/>
      <c r="I120" s="104"/>
      <c r="J120" s="104"/>
      <c r="K120" s="104"/>
      <c r="L120" s="104"/>
      <c r="M120" s="30"/>
      <c r="N120" s="192"/>
      <c r="O120" s="192"/>
      <c r="P120" s="30"/>
      <c r="Q120" s="30"/>
      <c r="R120" s="30"/>
      <c r="S120" s="30"/>
      <c r="T120" s="30"/>
      <c r="U120" s="30"/>
      <c r="V120" s="30"/>
      <c r="W120" s="30"/>
      <c r="X120" s="30"/>
      <c r="Y120" s="30"/>
      <c r="Z120" s="30"/>
    </row>
    <row r="121" ht="14.25" customHeight="1">
      <c r="A121" s="35"/>
      <c r="B121" s="30"/>
      <c r="C121" s="104"/>
      <c r="D121" s="104"/>
      <c r="E121" s="104"/>
      <c r="F121" s="104"/>
      <c r="G121" s="104"/>
      <c r="H121" s="191"/>
      <c r="I121" s="104"/>
      <c r="J121" s="104"/>
      <c r="K121" s="104"/>
      <c r="L121" s="104"/>
      <c r="M121" s="30"/>
      <c r="N121" s="192"/>
      <c r="O121" s="192"/>
      <c r="P121" s="30"/>
      <c r="Q121" s="30"/>
      <c r="R121" s="30"/>
      <c r="S121" s="30"/>
      <c r="T121" s="30"/>
      <c r="U121" s="30"/>
      <c r="V121" s="30"/>
      <c r="W121" s="30"/>
      <c r="X121" s="30"/>
      <c r="Y121" s="30"/>
      <c r="Z121" s="30"/>
    </row>
    <row r="122" ht="14.25" customHeight="1">
      <c r="A122" s="35"/>
      <c r="B122" s="30"/>
      <c r="C122" s="104"/>
      <c r="D122" s="104"/>
      <c r="E122" s="104"/>
      <c r="F122" s="104"/>
      <c r="G122" s="104"/>
      <c r="H122" s="191"/>
      <c r="I122" s="104"/>
      <c r="J122" s="104"/>
      <c r="K122" s="104"/>
      <c r="L122" s="104"/>
      <c r="M122" s="30"/>
      <c r="N122" s="192"/>
      <c r="O122" s="192"/>
      <c r="P122" s="30"/>
      <c r="Q122" s="30"/>
      <c r="R122" s="30"/>
      <c r="S122" s="30"/>
      <c r="T122" s="30"/>
      <c r="U122" s="30"/>
      <c r="V122" s="30"/>
      <c r="W122" s="30"/>
      <c r="X122" s="30"/>
      <c r="Y122" s="30"/>
      <c r="Z122" s="30"/>
    </row>
    <row r="123" ht="14.25" customHeight="1">
      <c r="A123" s="35"/>
      <c r="B123" s="30"/>
      <c r="C123" s="104"/>
      <c r="D123" s="104"/>
      <c r="E123" s="104"/>
      <c r="F123" s="104"/>
      <c r="G123" s="104"/>
      <c r="H123" s="191"/>
      <c r="I123" s="104"/>
      <c r="J123" s="104"/>
      <c r="K123" s="104"/>
      <c r="L123" s="104"/>
      <c r="M123" s="30"/>
      <c r="N123" s="192"/>
      <c r="O123" s="192"/>
      <c r="P123" s="30"/>
      <c r="Q123" s="30"/>
      <c r="R123" s="30"/>
      <c r="S123" s="30"/>
      <c r="T123" s="30"/>
      <c r="U123" s="30"/>
      <c r="V123" s="30"/>
      <c r="W123" s="30"/>
      <c r="X123" s="30"/>
      <c r="Y123" s="30"/>
      <c r="Z123" s="30"/>
    </row>
    <row r="124" ht="14.25" customHeight="1">
      <c r="A124" s="35"/>
      <c r="B124" s="30"/>
      <c r="C124" s="104"/>
      <c r="D124" s="104"/>
      <c r="E124" s="104"/>
      <c r="F124" s="104"/>
      <c r="G124" s="104"/>
      <c r="H124" s="191"/>
      <c r="I124" s="104"/>
      <c r="J124" s="104"/>
      <c r="K124" s="104"/>
      <c r="L124" s="104"/>
      <c r="M124" s="30"/>
      <c r="N124" s="192"/>
      <c r="O124" s="192"/>
      <c r="P124" s="30"/>
      <c r="Q124" s="30"/>
      <c r="R124" s="30"/>
      <c r="S124" s="30"/>
      <c r="T124" s="30"/>
      <c r="U124" s="30"/>
      <c r="V124" s="30"/>
      <c r="W124" s="30"/>
      <c r="X124" s="30"/>
      <c r="Y124" s="30"/>
      <c r="Z124" s="30"/>
    </row>
    <row r="125" ht="14.25" customHeight="1">
      <c r="A125" s="35"/>
      <c r="B125" s="30"/>
      <c r="C125" s="104"/>
      <c r="D125" s="104"/>
      <c r="E125" s="104"/>
      <c r="F125" s="104"/>
      <c r="G125" s="104"/>
      <c r="H125" s="191"/>
      <c r="I125" s="104"/>
      <c r="J125" s="104"/>
      <c r="K125" s="104"/>
      <c r="L125" s="104"/>
      <c r="M125" s="30"/>
      <c r="N125" s="192"/>
      <c r="O125" s="192"/>
      <c r="P125" s="30"/>
      <c r="Q125" s="30"/>
      <c r="R125" s="30"/>
      <c r="S125" s="30"/>
      <c r="T125" s="30"/>
      <c r="U125" s="30"/>
      <c r="V125" s="30"/>
      <c r="W125" s="30"/>
      <c r="X125" s="30"/>
      <c r="Y125" s="30"/>
      <c r="Z125" s="30"/>
    </row>
    <row r="126" ht="14.25" customHeight="1">
      <c r="A126" s="35"/>
      <c r="B126" s="30"/>
      <c r="C126" s="104"/>
      <c r="D126" s="104"/>
      <c r="E126" s="104"/>
      <c r="F126" s="104"/>
      <c r="G126" s="104"/>
      <c r="H126" s="191"/>
      <c r="I126" s="104"/>
      <c r="J126" s="104"/>
      <c r="K126" s="104"/>
      <c r="L126" s="104"/>
      <c r="M126" s="30"/>
      <c r="N126" s="192"/>
      <c r="O126" s="192"/>
      <c r="P126" s="30"/>
      <c r="Q126" s="30"/>
      <c r="R126" s="30"/>
      <c r="S126" s="30"/>
      <c r="T126" s="30"/>
      <c r="U126" s="30"/>
      <c r="V126" s="30"/>
      <c r="W126" s="30"/>
      <c r="X126" s="30"/>
      <c r="Y126" s="30"/>
      <c r="Z126" s="30"/>
    </row>
    <row r="127" ht="14.25" customHeight="1">
      <c r="A127" s="35"/>
      <c r="B127" s="30"/>
      <c r="C127" s="104"/>
      <c r="D127" s="104"/>
      <c r="E127" s="104"/>
      <c r="F127" s="104"/>
      <c r="G127" s="104"/>
      <c r="H127" s="191"/>
      <c r="I127" s="104"/>
      <c r="J127" s="104"/>
      <c r="K127" s="104"/>
      <c r="L127" s="104"/>
      <c r="M127" s="30"/>
      <c r="N127" s="192"/>
      <c r="O127" s="192"/>
      <c r="P127" s="30"/>
      <c r="Q127" s="30"/>
      <c r="R127" s="30"/>
      <c r="S127" s="30"/>
      <c r="T127" s="30"/>
      <c r="U127" s="30"/>
      <c r="V127" s="30"/>
      <c r="W127" s="30"/>
      <c r="X127" s="30"/>
      <c r="Y127" s="30"/>
      <c r="Z127" s="30"/>
    </row>
    <row r="128" ht="14.25" customHeight="1">
      <c r="A128" s="35"/>
      <c r="B128" s="30"/>
      <c r="C128" s="104"/>
      <c r="D128" s="104"/>
      <c r="E128" s="104"/>
      <c r="F128" s="104"/>
      <c r="G128" s="104"/>
      <c r="H128" s="191"/>
      <c r="I128" s="104"/>
      <c r="J128" s="104"/>
      <c r="K128" s="104"/>
      <c r="L128" s="104"/>
      <c r="M128" s="30"/>
      <c r="N128" s="192"/>
      <c r="O128" s="192"/>
      <c r="P128" s="30"/>
      <c r="Q128" s="30"/>
      <c r="R128" s="30"/>
      <c r="S128" s="30"/>
      <c r="T128" s="30"/>
      <c r="U128" s="30"/>
      <c r="V128" s="30"/>
      <c r="W128" s="30"/>
      <c r="X128" s="30"/>
      <c r="Y128" s="30"/>
      <c r="Z128" s="30"/>
    </row>
    <row r="129" ht="14.25" customHeight="1">
      <c r="A129" s="35"/>
      <c r="B129" s="30"/>
      <c r="C129" s="104"/>
      <c r="D129" s="104"/>
      <c r="E129" s="104"/>
      <c r="F129" s="104"/>
      <c r="G129" s="104"/>
      <c r="H129" s="191"/>
      <c r="I129" s="104"/>
      <c r="J129" s="104"/>
      <c r="K129" s="104"/>
      <c r="L129" s="104"/>
      <c r="M129" s="30"/>
      <c r="N129" s="192"/>
      <c r="O129" s="192"/>
      <c r="P129" s="30"/>
      <c r="Q129" s="30"/>
      <c r="R129" s="30"/>
      <c r="S129" s="30"/>
      <c r="T129" s="30"/>
      <c r="U129" s="30"/>
      <c r="V129" s="30"/>
      <c r="W129" s="30"/>
      <c r="X129" s="30"/>
      <c r="Y129" s="30"/>
      <c r="Z129" s="30"/>
    </row>
    <row r="130" ht="14.25" customHeight="1">
      <c r="A130" s="35"/>
      <c r="B130" s="30"/>
      <c r="C130" s="104"/>
      <c r="D130" s="104"/>
      <c r="E130" s="104"/>
      <c r="F130" s="104"/>
      <c r="G130" s="104"/>
      <c r="H130" s="191"/>
      <c r="I130" s="104"/>
      <c r="J130" s="104"/>
      <c r="K130" s="104"/>
      <c r="L130" s="104"/>
      <c r="M130" s="30"/>
      <c r="N130" s="192"/>
      <c r="O130" s="192"/>
      <c r="P130" s="30"/>
      <c r="Q130" s="30"/>
      <c r="R130" s="30"/>
      <c r="S130" s="30"/>
      <c r="T130" s="30"/>
      <c r="U130" s="30"/>
      <c r="V130" s="30"/>
      <c r="W130" s="30"/>
      <c r="X130" s="30"/>
      <c r="Y130" s="30"/>
      <c r="Z130" s="30"/>
    </row>
    <row r="131" ht="14.25" customHeight="1">
      <c r="A131" s="35"/>
      <c r="B131" s="30"/>
      <c r="C131" s="104"/>
      <c r="D131" s="104"/>
      <c r="E131" s="104"/>
      <c r="F131" s="104"/>
      <c r="G131" s="104"/>
      <c r="H131" s="191"/>
      <c r="I131" s="104"/>
      <c r="J131" s="104"/>
      <c r="K131" s="104"/>
      <c r="L131" s="104"/>
      <c r="M131" s="30"/>
      <c r="N131" s="192"/>
      <c r="O131" s="192"/>
      <c r="P131" s="30"/>
      <c r="Q131" s="30"/>
      <c r="R131" s="30"/>
      <c r="S131" s="30"/>
      <c r="T131" s="30"/>
      <c r="U131" s="30"/>
      <c r="V131" s="30"/>
      <c r="W131" s="30"/>
      <c r="X131" s="30"/>
      <c r="Y131" s="30"/>
      <c r="Z131" s="30"/>
    </row>
    <row r="132" ht="14.25" customHeight="1">
      <c r="A132" s="35"/>
      <c r="B132" s="30"/>
      <c r="C132" s="104"/>
      <c r="D132" s="104"/>
      <c r="E132" s="104"/>
      <c r="F132" s="104"/>
      <c r="G132" s="104"/>
      <c r="H132" s="191"/>
      <c r="I132" s="104"/>
      <c r="J132" s="104"/>
      <c r="K132" s="104"/>
      <c r="L132" s="104"/>
      <c r="M132" s="30"/>
      <c r="N132" s="192"/>
      <c r="O132" s="192"/>
      <c r="P132" s="30"/>
      <c r="Q132" s="30"/>
      <c r="R132" s="30"/>
      <c r="S132" s="30"/>
      <c r="T132" s="30"/>
      <c r="U132" s="30"/>
      <c r="V132" s="30"/>
      <c r="W132" s="30"/>
      <c r="X132" s="30"/>
      <c r="Y132" s="30"/>
      <c r="Z132" s="30"/>
    </row>
    <row r="133" ht="14.25" customHeight="1">
      <c r="A133" s="35"/>
      <c r="B133" s="30"/>
      <c r="C133" s="104"/>
      <c r="D133" s="104"/>
      <c r="E133" s="104"/>
      <c r="F133" s="104"/>
      <c r="G133" s="104"/>
      <c r="H133" s="191"/>
      <c r="I133" s="104"/>
      <c r="J133" s="104"/>
      <c r="K133" s="104"/>
      <c r="L133" s="104"/>
      <c r="M133" s="30"/>
      <c r="N133" s="192"/>
      <c r="O133" s="192"/>
      <c r="P133" s="30"/>
      <c r="Q133" s="30"/>
      <c r="R133" s="30"/>
      <c r="S133" s="30"/>
      <c r="T133" s="30"/>
      <c r="U133" s="30"/>
      <c r="V133" s="30"/>
      <c r="W133" s="30"/>
      <c r="X133" s="30"/>
      <c r="Y133" s="30"/>
      <c r="Z133" s="30"/>
    </row>
    <row r="134" ht="14.25" customHeight="1">
      <c r="A134" s="35"/>
      <c r="B134" s="30"/>
      <c r="C134" s="104"/>
      <c r="D134" s="104"/>
      <c r="E134" s="104"/>
      <c r="F134" s="104"/>
      <c r="G134" s="104"/>
      <c r="H134" s="191"/>
      <c r="I134" s="104"/>
      <c r="J134" s="104"/>
      <c r="K134" s="104"/>
      <c r="L134" s="104"/>
      <c r="M134" s="30"/>
      <c r="N134" s="192"/>
      <c r="O134" s="192"/>
      <c r="P134" s="30"/>
      <c r="Q134" s="30"/>
      <c r="R134" s="30"/>
      <c r="S134" s="30"/>
      <c r="T134" s="30"/>
      <c r="U134" s="30"/>
      <c r="V134" s="30"/>
      <c r="W134" s="30"/>
      <c r="X134" s="30"/>
      <c r="Y134" s="30"/>
      <c r="Z134" s="30"/>
    </row>
    <row r="135" ht="14.25" customHeight="1">
      <c r="A135" s="35"/>
      <c r="B135" s="30"/>
      <c r="C135" s="104"/>
      <c r="D135" s="104"/>
      <c r="E135" s="104"/>
      <c r="F135" s="104"/>
      <c r="G135" s="104"/>
      <c r="H135" s="191"/>
      <c r="I135" s="104"/>
      <c r="J135" s="104"/>
      <c r="K135" s="104"/>
      <c r="L135" s="104"/>
      <c r="M135" s="30"/>
      <c r="N135" s="192"/>
      <c r="O135" s="192"/>
      <c r="P135" s="30"/>
      <c r="Q135" s="30"/>
      <c r="R135" s="30"/>
      <c r="S135" s="30"/>
      <c r="T135" s="30"/>
      <c r="U135" s="30"/>
      <c r="V135" s="30"/>
      <c r="W135" s="30"/>
      <c r="X135" s="30"/>
      <c r="Y135" s="30"/>
      <c r="Z135" s="30"/>
    </row>
    <row r="136" ht="14.25" customHeight="1">
      <c r="A136" s="35"/>
      <c r="B136" s="30"/>
      <c r="C136" s="104"/>
      <c r="D136" s="104"/>
      <c r="E136" s="104"/>
      <c r="F136" s="104"/>
      <c r="G136" s="104"/>
      <c r="H136" s="191"/>
      <c r="I136" s="104"/>
      <c r="J136" s="104"/>
      <c r="K136" s="104"/>
      <c r="L136" s="104"/>
      <c r="M136" s="30"/>
      <c r="N136" s="192"/>
      <c r="O136" s="192"/>
      <c r="P136" s="30"/>
      <c r="Q136" s="30"/>
      <c r="R136" s="30"/>
      <c r="S136" s="30"/>
      <c r="T136" s="30"/>
      <c r="U136" s="30"/>
      <c r="V136" s="30"/>
      <c r="W136" s="30"/>
      <c r="X136" s="30"/>
      <c r="Y136" s="30"/>
      <c r="Z136" s="30"/>
    </row>
    <row r="137" ht="14.25" customHeight="1">
      <c r="A137" s="35"/>
      <c r="B137" s="30"/>
      <c r="C137" s="104"/>
      <c r="D137" s="104"/>
      <c r="E137" s="104"/>
      <c r="F137" s="104"/>
      <c r="G137" s="104"/>
      <c r="H137" s="191"/>
      <c r="I137" s="104"/>
      <c r="J137" s="104"/>
      <c r="K137" s="104"/>
      <c r="L137" s="104"/>
      <c r="M137" s="30"/>
      <c r="N137" s="192"/>
      <c r="O137" s="192"/>
      <c r="P137" s="30"/>
      <c r="Q137" s="30"/>
      <c r="R137" s="30"/>
      <c r="S137" s="30"/>
      <c r="T137" s="30"/>
      <c r="U137" s="30"/>
      <c r="V137" s="30"/>
      <c r="W137" s="30"/>
      <c r="X137" s="30"/>
      <c r="Y137" s="30"/>
      <c r="Z137" s="30"/>
    </row>
    <row r="138" ht="14.25" customHeight="1">
      <c r="A138" s="35"/>
      <c r="B138" s="30"/>
      <c r="C138" s="104"/>
      <c r="D138" s="104"/>
      <c r="E138" s="104"/>
      <c r="F138" s="104"/>
      <c r="G138" s="104"/>
      <c r="H138" s="191"/>
      <c r="I138" s="104"/>
      <c r="J138" s="104"/>
      <c r="K138" s="104"/>
      <c r="L138" s="104"/>
      <c r="M138" s="30"/>
      <c r="N138" s="192"/>
      <c r="O138" s="192"/>
      <c r="P138" s="30"/>
      <c r="Q138" s="30"/>
      <c r="R138" s="30"/>
      <c r="S138" s="30"/>
      <c r="T138" s="30"/>
      <c r="U138" s="30"/>
      <c r="V138" s="30"/>
      <c r="W138" s="30"/>
      <c r="X138" s="30"/>
      <c r="Y138" s="30"/>
      <c r="Z138" s="30"/>
    </row>
    <row r="139" ht="14.25" customHeight="1">
      <c r="A139" s="35"/>
      <c r="B139" s="30"/>
      <c r="C139" s="104"/>
      <c r="D139" s="104"/>
      <c r="E139" s="104"/>
      <c r="F139" s="104"/>
      <c r="G139" s="104"/>
      <c r="H139" s="191"/>
      <c r="I139" s="104"/>
      <c r="J139" s="104"/>
      <c r="K139" s="104"/>
      <c r="L139" s="104"/>
      <c r="M139" s="30"/>
      <c r="N139" s="192"/>
      <c r="O139" s="192"/>
      <c r="P139" s="30"/>
      <c r="Q139" s="30"/>
      <c r="R139" s="30"/>
      <c r="S139" s="30"/>
      <c r="T139" s="30"/>
      <c r="U139" s="30"/>
      <c r="V139" s="30"/>
      <c r="W139" s="30"/>
      <c r="X139" s="30"/>
      <c r="Y139" s="30"/>
      <c r="Z139" s="30"/>
    </row>
    <row r="140" ht="14.25" customHeight="1">
      <c r="A140" s="35"/>
      <c r="B140" s="30"/>
      <c r="C140" s="104"/>
      <c r="D140" s="104"/>
      <c r="E140" s="104"/>
      <c r="F140" s="104"/>
      <c r="G140" s="104"/>
      <c r="H140" s="191"/>
      <c r="I140" s="104"/>
      <c r="J140" s="104"/>
      <c r="K140" s="104"/>
      <c r="L140" s="104"/>
      <c r="M140" s="30"/>
      <c r="N140" s="192"/>
      <c r="O140" s="192"/>
      <c r="P140" s="30"/>
      <c r="Q140" s="30"/>
      <c r="R140" s="30"/>
      <c r="S140" s="30"/>
      <c r="T140" s="30"/>
      <c r="U140" s="30"/>
      <c r="V140" s="30"/>
      <c r="W140" s="30"/>
      <c r="X140" s="30"/>
      <c r="Y140" s="30"/>
      <c r="Z140" s="30"/>
    </row>
    <row r="141" ht="14.25" customHeight="1">
      <c r="A141" s="35"/>
      <c r="B141" s="30"/>
      <c r="C141" s="104"/>
      <c r="D141" s="104"/>
      <c r="E141" s="104"/>
      <c r="F141" s="104"/>
      <c r="G141" s="104"/>
      <c r="H141" s="191"/>
      <c r="I141" s="104"/>
      <c r="J141" s="104"/>
      <c r="K141" s="104"/>
      <c r="L141" s="104"/>
      <c r="M141" s="30"/>
      <c r="N141" s="192"/>
      <c r="O141" s="192"/>
      <c r="P141" s="30"/>
      <c r="Q141" s="30"/>
      <c r="R141" s="30"/>
      <c r="S141" s="30"/>
      <c r="T141" s="30"/>
      <c r="U141" s="30"/>
      <c r="V141" s="30"/>
      <c r="W141" s="30"/>
      <c r="X141" s="30"/>
      <c r="Y141" s="30"/>
      <c r="Z141" s="30"/>
    </row>
    <row r="142" ht="14.25" customHeight="1">
      <c r="A142" s="35"/>
      <c r="B142" s="30"/>
      <c r="C142" s="104"/>
      <c r="D142" s="104"/>
      <c r="E142" s="104"/>
      <c r="F142" s="104"/>
      <c r="G142" s="104"/>
      <c r="H142" s="191"/>
      <c r="I142" s="104"/>
      <c r="J142" s="104"/>
      <c r="K142" s="104"/>
      <c r="L142" s="104"/>
      <c r="M142" s="30"/>
      <c r="N142" s="192"/>
      <c r="O142" s="192"/>
      <c r="P142" s="30"/>
      <c r="Q142" s="30"/>
      <c r="R142" s="30"/>
      <c r="S142" s="30"/>
      <c r="T142" s="30"/>
      <c r="U142" s="30"/>
      <c r="V142" s="30"/>
      <c r="W142" s="30"/>
      <c r="X142" s="30"/>
      <c r="Y142" s="30"/>
      <c r="Z142" s="30"/>
    </row>
    <row r="143" ht="14.25" customHeight="1">
      <c r="A143" s="35"/>
      <c r="B143" s="30"/>
      <c r="C143" s="104"/>
      <c r="D143" s="104"/>
      <c r="E143" s="104"/>
      <c r="F143" s="104"/>
      <c r="G143" s="104"/>
      <c r="H143" s="191"/>
      <c r="I143" s="104"/>
      <c r="J143" s="104"/>
      <c r="K143" s="104"/>
      <c r="L143" s="104"/>
      <c r="M143" s="30"/>
      <c r="N143" s="192"/>
      <c r="O143" s="192"/>
      <c r="P143" s="30"/>
      <c r="Q143" s="30"/>
      <c r="R143" s="30"/>
      <c r="S143" s="30"/>
      <c r="T143" s="30"/>
      <c r="U143" s="30"/>
      <c r="V143" s="30"/>
      <c r="W143" s="30"/>
      <c r="X143" s="30"/>
      <c r="Y143" s="30"/>
      <c r="Z143" s="30"/>
    </row>
    <row r="144" ht="14.25" customHeight="1">
      <c r="A144" s="35"/>
      <c r="B144" s="30"/>
      <c r="C144" s="104"/>
      <c r="D144" s="104"/>
      <c r="E144" s="104"/>
      <c r="F144" s="104"/>
      <c r="G144" s="104"/>
      <c r="H144" s="191"/>
      <c r="I144" s="104"/>
      <c r="J144" s="104"/>
      <c r="K144" s="104"/>
      <c r="L144" s="104"/>
      <c r="M144" s="30"/>
      <c r="N144" s="192"/>
      <c r="O144" s="192"/>
      <c r="P144" s="30"/>
      <c r="Q144" s="30"/>
      <c r="R144" s="30"/>
      <c r="S144" s="30"/>
      <c r="T144" s="30"/>
      <c r="U144" s="30"/>
      <c r="V144" s="30"/>
      <c r="W144" s="30"/>
      <c r="X144" s="30"/>
      <c r="Y144" s="30"/>
      <c r="Z144" s="30"/>
    </row>
    <row r="145" ht="14.25" customHeight="1">
      <c r="A145" s="35"/>
      <c r="B145" s="30"/>
      <c r="C145" s="104"/>
      <c r="D145" s="104"/>
      <c r="E145" s="104"/>
      <c r="F145" s="104"/>
      <c r="G145" s="104"/>
      <c r="H145" s="191"/>
      <c r="I145" s="104"/>
      <c r="J145" s="104"/>
      <c r="K145" s="104"/>
      <c r="L145" s="104"/>
      <c r="M145" s="30"/>
      <c r="N145" s="192"/>
      <c r="O145" s="192"/>
      <c r="P145" s="30"/>
      <c r="Q145" s="30"/>
      <c r="R145" s="30"/>
      <c r="S145" s="30"/>
      <c r="T145" s="30"/>
      <c r="U145" s="30"/>
      <c r="V145" s="30"/>
      <c r="W145" s="30"/>
      <c r="X145" s="30"/>
      <c r="Y145" s="30"/>
      <c r="Z145" s="30"/>
    </row>
    <row r="146" ht="14.25" customHeight="1">
      <c r="A146" s="35"/>
      <c r="B146" s="30"/>
      <c r="C146" s="104"/>
      <c r="D146" s="104"/>
      <c r="E146" s="104"/>
      <c r="F146" s="104"/>
      <c r="G146" s="104"/>
      <c r="H146" s="191"/>
      <c r="I146" s="104"/>
      <c r="J146" s="104"/>
      <c r="K146" s="104"/>
      <c r="L146" s="104"/>
      <c r="M146" s="30"/>
      <c r="N146" s="192"/>
      <c r="O146" s="192"/>
      <c r="P146" s="30"/>
      <c r="Q146" s="30"/>
      <c r="R146" s="30"/>
      <c r="S146" s="30"/>
      <c r="T146" s="30"/>
      <c r="U146" s="30"/>
      <c r="V146" s="30"/>
      <c r="W146" s="30"/>
      <c r="X146" s="30"/>
      <c r="Y146" s="30"/>
      <c r="Z146" s="30"/>
    </row>
    <row r="147" ht="14.25" customHeight="1">
      <c r="A147" s="35"/>
      <c r="B147" s="30"/>
      <c r="C147" s="104"/>
      <c r="D147" s="104"/>
      <c r="E147" s="104"/>
      <c r="F147" s="104"/>
      <c r="G147" s="104"/>
      <c r="H147" s="191"/>
      <c r="I147" s="104"/>
      <c r="J147" s="104"/>
      <c r="K147" s="104"/>
      <c r="L147" s="104"/>
      <c r="M147" s="30"/>
      <c r="N147" s="192"/>
      <c r="O147" s="192"/>
      <c r="P147" s="30"/>
      <c r="Q147" s="30"/>
      <c r="R147" s="30"/>
      <c r="S147" s="30"/>
      <c r="T147" s="30"/>
      <c r="U147" s="30"/>
      <c r="V147" s="30"/>
      <c r="W147" s="30"/>
      <c r="X147" s="30"/>
      <c r="Y147" s="30"/>
      <c r="Z147" s="30"/>
    </row>
    <row r="148" ht="14.25" customHeight="1">
      <c r="A148" s="35"/>
      <c r="B148" s="30"/>
      <c r="C148" s="104"/>
      <c r="D148" s="104"/>
      <c r="E148" s="104"/>
      <c r="F148" s="104"/>
      <c r="G148" s="104"/>
      <c r="H148" s="191"/>
      <c r="I148" s="104"/>
      <c r="J148" s="104"/>
      <c r="K148" s="104"/>
      <c r="L148" s="104"/>
      <c r="M148" s="30"/>
      <c r="N148" s="192"/>
      <c r="O148" s="192"/>
      <c r="P148" s="30"/>
      <c r="Q148" s="30"/>
      <c r="R148" s="30"/>
      <c r="S148" s="30"/>
      <c r="T148" s="30"/>
      <c r="U148" s="30"/>
      <c r="V148" s="30"/>
      <c r="W148" s="30"/>
      <c r="X148" s="30"/>
      <c r="Y148" s="30"/>
      <c r="Z148" s="30"/>
    </row>
    <row r="149" ht="14.25" customHeight="1">
      <c r="A149" s="35"/>
      <c r="B149" s="30"/>
      <c r="C149" s="104"/>
      <c r="D149" s="104"/>
      <c r="E149" s="104"/>
      <c r="F149" s="104"/>
      <c r="G149" s="104"/>
      <c r="H149" s="191"/>
      <c r="I149" s="104"/>
      <c r="J149" s="104"/>
      <c r="K149" s="104"/>
      <c r="L149" s="104"/>
      <c r="M149" s="30"/>
      <c r="N149" s="192"/>
      <c r="O149" s="192"/>
      <c r="P149" s="30"/>
      <c r="Q149" s="30"/>
      <c r="R149" s="30"/>
      <c r="S149" s="30"/>
      <c r="T149" s="30"/>
      <c r="U149" s="30"/>
      <c r="V149" s="30"/>
      <c r="W149" s="30"/>
      <c r="X149" s="30"/>
      <c r="Y149" s="30"/>
      <c r="Z149" s="30"/>
    </row>
    <row r="150" ht="14.25" customHeight="1">
      <c r="A150" s="35"/>
      <c r="B150" s="30"/>
      <c r="C150" s="104"/>
      <c r="D150" s="104"/>
      <c r="E150" s="104"/>
      <c r="F150" s="104"/>
      <c r="G150" s="104"/>
      <c r="H150" s="191"/>
      <c r="I150" s="104"/>
      <c r="J150" s="104"/>
      <c r="K150" s="104"/>
      <c r="L150" s="104"/>
      <c r="M150" s="30"/>
      <c r="N150" s="192"/>
      <c r="O150" s="192"/>
      <c r="P150" s="30"/>
      <c r="Q150" s="30"/>
      <c r="R150" s="30"/>
      <c r="S150" s="30"/>
      <c r="T150" s="30"/>
      <c r="U150" s="30"/>
      <c r="V150" s="30"/>
      <c r="W150" s="30"/>
      <c r="X150" s="30"/>
      <c r="Y150" s="30"/>
      <c r="Z150" s="30"/>
    </row>
    <row r="151" ht="14.25" customHeight="1">
      <c r="A151" s="35"/>
      <c r="B151" s="30"/>
      <c r="C151" s="104"/>
      <c r="D151" s="104"/>
      <c r="E151" s="104"/>
      <c r="F151" s="104"/>
      <c r="G151" s="104"/>
      <c r="H151" s="191"/>
      <c r="I151" s="104"/>
      <c r="J151" s="104"/>
      <c r="K151" s="104"/>
      <c r="L151" s="104"/>
      <c r="M151" s="30"/>
      <c r="N151" s="192"/>
      <c r="O151" s="192"/>
      <c r="P151" s="30"/>
      <c r="Q151" s="30"/>
      <c r="R151" s="30"/>
      <c r="S151" s="30"/>
      <c r="T151" s="30"/>
      <c r="U151" s="30"/>
      <c r="V151" s="30"/>
      <c r="W151" s="30"/>
      <c r="X151" s="30"/>
      <c r="Y151" s="30"/>
      <c r="Z151" s="30"/>
    </row>
    <row r="152" ht="14.25" customHeight="1">
      <c r="A152" s="35"/>
      <c r="B152" s="30"/>
      <c r="C152" s="104"/>
      <c r="D152" s="104"/>
      <c r="E152" s="104"/>
      <c r="F152" s="104"/>
      <c r="G152" s="104"/>
      <c r="H152" s="191"/>
      <c r="I152" s="104"/>
      <c r="J152" s="104"/>
      <c r="K152" s="104"/>
      <c r="L152" s="104"/>
      <c r="M152" s="30"/>
      <c r="N152" s="192"/>
      <c r="O152" s="192"/>
      <c r="P152" s="30"/>
      <c r="Q152" s="30"/>
      <c r="R152" s="30"/>
      <c r="S152" s="30"/>
      <c r="T152" s="30"/>
      <c r="U152" s="30"/>
      <c r="V152" s="30"/>
      <c r="W152" s="30"/>
      <c r="X152" s="30"/>
      <c r="Y152" s="30"/>
      <c r="Z152" s="30"/>
    </row>
    <row r="153" ht="14.25" customHeight="1">
      <c r="A153" s="35"/>
      <c r="B153" s="30"/>
      <c r="C153" s="104"/>
      <c r="D153" s="104"/>
      <c r="E153" s="104"/>
      <c r="F153" s="104"/>
      <c r="G153" s="104"/>
      <c r="H153" s="191"/>
      <c r="I153" s="104"/>
      <c r="J153" s="104"/>
      <c r="K153" s="104"/>
      <c r="L153" s="104"/>
      <c r="M153" s="30"/>
      <c r="N153" s="192"/>
      <c r="O153" s="192"/>
      <c r="P153" s="30"/>
      <c r="Q153" s="30"/>
      <c r="R153" s="30"/>
      <c r="S153" s="30"/>
      <c r="T153" s="30"/>
      <c r="U153" s="30"/>
      <c r="V153" s="30"/>
      <c r="W153" s="30"/>
      <c r="X153" s="30"/>
      <c r="Y153" s="30"/>
      <c r="Z153" s="30"/>
    </row>
    <row r="154" ht="14.25" customHeight="1">
      <c r="A154" s="35"/>
      <c r="B154" s="30"/>
      <c r="C154" s="104"/>
      <c r="D154" s="104"/>
      <c r="E154" s="104"/>
      <c r="F154" s="104"/>
      <c r="G154" s="104"/>
      <c r="H154" s="191"/>
      <c r="I154" s="104"/>
      <c r="J154" s="104"/>
      <c r="K154" s="104"/>
      <c r="L154" s="104"/>
      <c r="M154" s="30"/>
      <c r="N154" s="192"/>
      <c r="O154" s="192"/>
      <c r="P154" s="30"/>
      <c r="Q154" s="30"/>
      <c r="R154" s="30"/>
      <c r="S154" s="30"/>
      <c r="T154" s="30"/>
      <c r="U154" s="30"/>
      <c r="V154" s="30"/>
      <c r="W154" s="30"/>
      <c r="X154" s="30"/>
      <c r="Y154" s="30"/>
      <c r="Z154" s="30"/>
    </row>
    <row r="155" ht="14.25" customHeight="1">
      <c r="A155" s="35"/>
      <c r="B155" s="30"/>
      <c r="C155" s="104"/>
      <c r="D155" s="104"/>
      <c r="E155" s="104"/>
      <c r="F155" s="104"/>
      <c r="G155" s="104"/>
      <c r="H155" s="191"/>
      <c r="I155" s="104"/>
      <c r="J155" s="104"/>
      <c r="K155" s="104"/>
      <c r="L155" s="104"/>
      <c r="M155" s="30"/>
      <c r="N155" s="192"/>
      <c r="O155" s="192"/>
      <c r="P155" s="30"/>
      <c r="Q155" s="30"/>
      <c r="R155" s="30"/>
      <c r="S155" s="30"/>
      <c r="T155" s="30"/>
      <c r="U155" s="30"/>
      <c r="V155" s="30"/>
      <c r="W155" s="30"/>
      <c r="X155" s="30"/>
      <c r="Y155" s="30"/>
      <c r="Z155" s="30"/>
    </row>
    <row r="156" ht="14.25" customHeight="1">
      <c r="A156" s="35"/>
      <c r="B156" s="30"/>
      <c r="C156" s="104"/>
      <c r="D156" s="104"/>
      <c r="E156" s="104"/>
      <c r="F156" s="104"/>
      <c r="G156" s="104"/>
      <c r="H156" s="191"/>
      <c r="I156" s="104"/>
      <c r="J156" s="104"/>
      <c r="K156" s="104"/>
      <c r="L156" s="104"/>
      <c r="M156" s="30"/>
      <c r="N156" s="192"/>
      <c r="O156" s="192"/>
      <c r="P156" s="30"/>
      <c r="Q156" s="30"/>
      <c r="R156" s="30"/>
      <c r="S156" s="30"/>
      <c r="T156" s="30"/>
      <c r="U156" s="30"/>
      <c r="V156" s="30"/>
      <c r="W156" s="30"/>
      <c r="X156" s="30"/>
      <c r="Y156" s="30"/>
      <c r="Z156" s="30"/>
    </row>
    <row r="157" ht="14.25" customHeight="1">
      <c r="A157" s="35"/>
      <c r="B157" s="30"/>
      <c r="C157" s="104"/>
      <c r="D157" s="104"/>
      <c r="E157" s="104"/>
      <c r="F157" s="104"/>
      <c r="G157" s="104"/>
      <c r="H157" s="191"/>
      <c r="I157" s="104"/>
      <c r="J157" s="104"/>
      <c r="K157" s="104"/>
      <c r="L157" s="104"/>
      <c r="M157" s="30"/>
      <c r="N157" s="192"/>
      <c r="O157" s="192"/>
      <c r="P157" s="30"/>
      <c r="Q157" s="30"/>
      <c r="R157" s="30"/>
      <c r="S157" s="30"/>
      <c r="T157" s="30"/>
      <c r="U157" s="30"/>
      <c r="V157" s="30"/>
      <c r="W157" s="30"/>
      <c r="X157" s="30"/>
      <c r="Y157" s="30"/>
      <c r="Z157" s="30"/>
    </row>
    <row r="158" ht="14.25" customHeight="1">
      <c r="A158" s="35"/>
      <c r="B158" s="30"/>
      <c r="C158" s="104"/>
      <c r="D158" s="104"/>
      <c r="E158" s="104"/>
      <c r="F158" s="104"/>
      <c r="G158" s="104"/>
      <c r="H158" s="191"/>
      <c r="I158" s="104"/>
      <c r="J158" s="104"/>
      <c r="K158" s="104"/>
      <c r="L158" s="104"/>
      <c r="M158" s="30"/>
      <c r="N158" s="192"/>
      <c r="O158" s="192"/>
      <c r="P158" s="30"/>
      <c r="Q158" s="30"/>
      <c r="R158" s="30"/>
      <c r="S158" s="30"/>
      <c r="T158" s="30"/>
      <c r="U158" s="30"/>
      <c r="V158" s="30"/>
      <c r="W158" s="30"/>
      <c r="X158" s="30"/>
      <c r="Y158" s="30"/>
      <c r="Z158" s="30"/>
    </row>
    <row r="159" ht="14.25" customHeight="1">
      <c r="A159" s="35"/>
      <c r="B159" s="30"/>
      <c r="C159" s="104"/>
      <c r="D159" s="104"/>
      <c r="E159" s="104"/>
      <c r="F159" s="104"/>
      <c r="G159" s="104"/>
      <c r="H159" s="191"/>
      <c r="I159" s="104"/>
      <c r="J159" s="104"/>
      <c r="K159" s="104"/>
      <c r="L159" s="104"/>
      <c r="M159" s="30"/>
      <c r="N159" s="192"/>
      <c r="O159" s="192"/>
      <c r="P159" s="30"/>
      <c r="Q159" s="30"/>
      <c r="R159" s="30"/>
      <c r="S159" s="30"/>
      <c r="T159" s="30"/>
      <c r="U159" s="30"/>
      <c r="V159" s="30"/>
      <c r="W159" s="30"/>
      <c r="X159" s="30"/>
      <c r="Y159" s="30"/>
      <c r="Z159" s="30"/>
    </row>
    <row r="160" ht="14.25" customHeight="1">
      <c r="A160" s="35"/>
      <c r="B160" s="30"/>
      <c r="C160" s="104"/>
      <c r="D160" s="104"/>
      <c r="E160" s="104"/>
      <c r="F160" s="104"/>
      <c r="G160" s="104"/>
      <c r="H160" s="191"/>
      <c r="I160" s="104"/>
      <c r="J160" s="104"/>
      <c r="K160" s="104"/>
      <c r="L160" s="104"/>
      <c r="M160" s="30"/>
      <c r="N160" s="192"/>
      <c r="O160" s="192"/>
      <c r="P160" s="30"/>
      <c r="Q160" s="30"/>
      <c r="R160" s="30"/>
      <c r="S160" s="30"/>
      <c r="T160" s="30"/>
      <c r="U160" s="30"/>
      <c r="V160" s="30"/>
      <c r="W160" s="30"/>
      <c r="X160" s="30"/>
      <c r="Y160" s="30"/>
      <c r="Z160" s="30"/>
    </row>
    <row r="161" ht="14.25" customHeight="1">
      <c r="A161" s="35"/>
      <c r="B161" s="30"/>
      <c r="C161" s="104"/>
      <c r="D161" s="104"/>
      <c r="E161" s="104"/>
      <c r="F161" s="104"/>
      <c r="G161" s="104"/>
      <c r="H161" s="191"/>
      <c r="I161" s="104"/>
      <c r="J161" s="104"/>
      <c r="K161" s="104"/>
      <c r="L161" s="104"/>
      <c r="M161" s="30"/>
      <c r="N161" s="192"/>
      <c r="O161" s="192"/>
      <c r="P161" s="30"/>
      <c r="Q161" s="30"/>
      <c r="R161" s="30"/>
      <c r="S161" s="30"/>
      <c r="T161" s="30"/>
      <c r="U161" s="30"/>
      <c r="V161" s="30"/>
      <c r="W161" s="30"/>
      <c r="X161" s="30"/>
      <c r="Y161" s="30"/>
      <c r="Z161" s="30"/>
    </row>
    <row r="162" ht="14.25" customHeight="1">
      <c r="A162" s="35"/>
      <c r="B162" s="30"/>
      <c r="C162" s="104"/>
      <c r="D162" s="104"/>
      <c r="E162" s="104"/>
      <c r="F162" s="104"/>
      <c r="G162" s="104"/>
      <c r="H162" s="191"/>
      <c r="I162" s="104"/>
      <c r="J162" s="104"/>
      <c r="K162" s="104"/>
      <c r="L162" s="104"/>
      <c r="M162" s="30"/>
      <c r="N162" s="192"/>
      <c r="O162" s="192"/>
      <c r="P162" s="30"/>
      <c r="Q162" s="30"/>
      <c r="R162" s="30"/>
      <c r="S162" s="30"/>
      <c r="T162" s="30"/>
      <c r="U162" s="30"/>
      <c r="V162" s="30"/>
      <c r="W162" s="30"/>
      <c r="X162" s="30"/>
      <c r="Y162" s="30"/>
      <c r="Z162" s="30"/>
    </row>
    <row r="163" ht="14.25" customHeight="1">
      <c r="A163" s="35"/>
      <c r="B163" s="30"/>
      <c r="C163" s="104"/>
      <c r="D163" s="104"/>
      <c r="E163" s="104"/>
      <c r="F163" s="104"/>
      <c r="G163" s="104"/>
      <c r="H163" s="191"/>
      <c r="I163" s="104"/>
      <c r="J163" s="104"/>
      <c r="K163" s="104"/>
      <c r="L163" s="104"/>
      <c r="M163" s="30"/>
      <c r="N163" s="192"/>
      <c r="O163" s="192"/>
      <c r="P163" s="30"/>
      <c r="Q163" s="30"/>
      <c r="R163" s="30"/>
      <c r="S163" s="30"/>
      <c r="T163" s="30"/>
      <c r="U163" s="30"/>
      <c r="V163" s="30"/>
      <c r="W163" s="30"/>
      <c r="X163" s="30"/>
      <c r="Y163" s="30"/>
      <c r="Z163" s="30"/>
    </row>
    <row r="164" ht="14.25" customHeight="1">
      <c r="A164" s="35"/>
      <c r="B164" s="30"/>
      <c r="C164" s="104"/>
      <c r="D164" s="104"/>
      <c r="E164" s="104"/>
      <c r="F164" s="104"/>
      <c r="G164" s="104"/>
      <c r="H164" s="191"/>
      <c r="I164" s="104"/>
      <c r="J164" s="104"/>
      <c r="K164" s="104"/>
      <c r="L164" s="104"/>
      <c r="M164" s="30"/>
      <c r="N164" s="192"/>
      <c r="O164" s="192"/>
      <c r="P164" s="30"/>
      <c r="Q164" s="30"/>
      <c r="R164" s="30"/>
      <c r="S164" s="30"/>
      <c r="T164" s="30"/>
      <c r="U164" s="30"/>
      <c r="V164" s="30"/>
      <c r="W164" s="30"/>
      <c r="X164" s="30"/>
      <c r="Y164" s="30"/>
      <c r="Z164" s="30"/>
    </row>
    <row r="165" ht="14.25" customHeight="1">
      <c r="A165" s="35"/>
      <c r="B165" s="30"/>
      <c r="C165" s="104"/>
      <c r="D165" s="104"/>
      <c r="E165" s="104"/>
      <c r="F165" s="104"/>
      <c r="G165" s="104"/>
      <c r="H165" s="191"/>
      <c r="I165" s="104"/>
      <c r="J165" s="104"/>
      <c r="K165" s="104"/>
      <c r="L165" s="104"/>
      <c r="M165" s="30"/>
      <c r="N165" s="192"/>
      <c r="O165" s="192"/>
      <c r="P165" s="30"/>
      <c r="Q165" s="30"/>
      <c r="R165" s="30"/>
      <c r="S165" s="30"/>
      <c r="T165" s="30"/>
      <c r="U165" s="30"/>
      <c r="V165" s="30"/>
      <c r="W165" s="30"/>
      <c r="X165" s="30"/>
      <c r="Y165" s="30"/>
      <c r="Z165" s="30"/>
    </row>
    <row r="166" ht="14.25" customHeight="1">
      <c r="A166" s="35"/>
      <c r="B166" s="30"/>
      <c r="C166" s="104"/>
      <c r="D166" s="104"/>
      <c r="E166" s="104"/>
      <c r="F166" s="104"/>
      <c r="G166" s="104"/>
      <c r="H166" s="191"/>
      <c r="I166" s="104"/>
      <c r="J166" s="104"/>
      <c r="K166" s="104"/>
      <c r="L166" s="104"/>
      <c r="M166" s="30"/>
      <c r="N166" s="192"/>
      <c r="O166" s="192"/>
      <c r="P166" s="30"/>
      <c r="Q166" s="30"/>
      <c r="R166" s="30"/>
      <c r="S166" s="30"/>
      <c r="T166" s="30"/>
      <c r="U166" s="30"/>
      <c r="V166" s="30"/>
      <c r="W166" s="30"/>
      <c r="X166" s="30"/>
      <c r="Y166" s="30"/>
      <c r="Z166" s="30"/>
    </row>
    <row r="167" ht="14.25" customHeight="1">
      <c r="A167" s="35"/>
      <c r="B167" s="30"/>
      <c r="C167" s="104"/>
      <c r="D167" s="104"/>
      <c r="E167" s="104"/>
      <c r="F167" s="104"/>
      <c r="G167" s="104"/>
      <c r="H167" s="191"/>
      <c r="I167" s="104"/>
      <c r="J167" s="104"/>
      <c r="K167" s="104"/>
      <c r="L167" s="104"/>
      <c r="M167" s="30"/>
      <c r="N167" s="192"/>
      <c r="O167" s="192"/>
      <c r="P167" s="30"/>
      <c r="Q167" s="30"/>
      <c r="R167" s="30"/>
      <c r="S167" s="30"/>
      <c r="T167" s="30"/>
      <c r="U167" s="30"/>
      <c r="V167" s="30"/>
      <c r="W167" s="30"/>
      <c r="X167" s="30"/>
      <c r="Y167" s="30"/>
      <c r="Z167" s="30"/>
    </row>
    <row r="168" ht="14.25" customHeight="1">
      <c r="A168" s="35"/>
      <c r="B168" s="30"/>
      <c r="C168" s="104"/>
      <c r="D168" s="104"/>
      <c r="E168" s="104"/>
      <c r="F168" s="104"/>
      <c r="G168" s="104"/>
      <c r="H168" s="191"/>
      <c r="I168" s="104"/>
      <c r="J168" s="104"/>
      <c r="K168" s="104"/>
      <c r="L168" s="104"/>
      <c r="M168" s="30"/>
      <c r="N168" s="192"/>
      <c r="O168" s="192"/>
      <c r="P168" s="30"/>
      <c r="Q168" s="30"/>
      <c r="R168" s="30"/>
      <c r="S168" s="30"/>
      <c r="T168" s="30"/>
      <c r="U168" s="30"/>
      <c r="V168" s="30"/>
      <c r="W168" s="30"/>
      <c r="X168" s="30"/>
      <c r="Y168" s="30"/>
      <c r="Z168" s="30"/>
    </row>
    <row r="169" ht="14.25" customHeight="1">
      <c r="A169" s="35"/>
      <c r="B169" s="30"/>
      <c r="C169" s="104"/>
      <c r="D169" s="104"/>
      <c r="E169" s="104"/>
      <c r="F169" s="104"/>
      <c r="G169" s="104"/>
      <c r="H169" s="191"/>
      <c r="I169" s="104"/>
      <c r="J169" s="104"/>
      <c r="K169" s="104"/>
      <c r="L169" s="104"/>
      <c r="M169" s="30"/>
      <c r="N169" s="192"/>
      <c r="O169" s="192"/>
      <c r="P169" s="30"/>
      <c r="Q169" s="30"/>
      <c r="R169" s="30"/>
      <c r="S169" s="30"/>
      <c r="T169" s="30"/>
      <c r="U169" s="30"/>
      <c r="V169" s="30"/>
      <c r="W169" s="30"/>
      <c r="X169" s="30"/>
      <c r="Y169" s="30"/>
      <c r="Z169" s="30"/>
    </row>
    <row r="170" ht="14.25" customHeight="1">
      <c r="A170" s="35"/>
      <c r="B170" s="30"/>
      <c r="C170" s="104"/>
      <c r="D170" s="104"/>
      <c r="E170" s="104"/>
      <c r="F170" s="104"/>
      <c r="G170" s="104"/>
      <c r="H170" s="191"/>
      <c r="I170" s="104"/>
      <c r="J170" s="104"/>
      <c r="K170" s="104"/>
      <c r="L170" s="104"/>
      <c r="M170" s="30"/>
      <c r="N170" s="192"/>
      <c r="O170" s="192"/>
      <c r="P170" s="30"/>
      <c r="Q170" s="30"/>
      <c r="R170" s="30"/>
      <c r="S170" s="30"/>
      <c r="T170" s="30"/>
      <c r="U170" s="30"/>
      <c r="V170" s="30"/>
      <c r="W170" s="30"/>
      <c r="X170" s="30"/>
      <c r="Y170" s="30"/>
      <c r="Z170" s="30"/>
    </row>
    <row r="171" ht="14.25" customHeight="1">
      <c r="A171" s="35"/>
      <c r="B171" s="30"/>
      <c r="C171" s="104"/>
      <c r="D171" s="104"/>
      <c r="E171" s="104"/>
      <c r="F171" s="104"/>
      <c r="G171" s="104"/>
      <c r="H171" s="191"/>
      <c r="I171" s="104"/>
      <c r="J171" s="104"/>
      <c r="K171" s="104"/>
      <c r="L171" s="104"/>
      <c r="M171" s="30"/>
      <c r="N171" s="192"/>
      <c r="O171" s="192"/>
      <c r="P171" s="30"/>
      <c r="Q171" s="30"/>
      <c r="R171" s="30"/>
      <c r="S171" s="30"/>
      <c r="T171" s="30"/>
      <c r="U171" s="30"/>
      <c r="V171" s="30"/>
      <c r="W171" s="30"/>
      <c r="X171" s="30"/>
      <c r="Y171" s="30"/>
      <c r="Z171" s="30"/>
    </row>
    <row r="172" ht="14.25" customHeight="1">
      <c r="A172" s="35"/>
      <c r="B172" s="30"/>
      <c r="C172" s="104"/>
      <c r="D172" s="104"/>
      <c r="E172" s="104"/>
      <c r="F172" s="104"/>
      <c r="G172" s="104"/>
      <c r="H172" s="191"/>
      <c r="I172" s="104"/>
      <c r="J172" s="104"/>
      <c r="K172" s="104"/>
      <c r="L172" s="104"/>
      <c r="M172" s="30"/>
      <c r="N172" s="192"/>
      <c r="O172" s="192"/>
      <c r="P172" s="30"/>
      <c r="Q172" s="30"/>
      <c r="R172" s="30"/>
      <c r="S172" s="30"/>
      <c r="T172" s="30"/>
      <c r="U172" s="30"/>
      <c r="V172" s="30"/>
      <c r="W172" s="30"/>
      <c r="X172" s="30"/>
      <c r="Y172" s="30"/>
      <c r="Z172" s="30"/>
    </row>
    <row r="173" ht="14.25" customHeight="1">
      <c r="A173" s="35"/>
      <c r="B173" s="30"/>
      <c r="C173" s="104"/>
      <c r="D173" s="104"/>
      <c r="E173" s="104"/>
      <c r="F173" s="104"/>
      <c r="G173" s="104"/>
      <c r="H173" s="191"/>
      <c r="I173" s="104"/>
      <c r="J173" s="104"/>
      <c r="K173" s="104"/>
      <c r="L173" s="104"/>
      <c r="M173" s="30"/>
      <c r="N173" s="192"/>
      <c r="O173" s="192"/>
      <c r="P173" s="30"/>
      <c r="Q173" s="30"/>
      <c r="R173" s="30"/>
      <c r="S173" s="30"/>
      <c r="T173" s="30"/>
      <c r="U173" s="30"/>
      <c r="V173" s="30"/>
      <c r="W173" s="30"/>
      <c r="X173" s="30"/>
      <c r="Y173" s="30"/>
      <c r="Z173" s="30"/>
    </row>
    <row r="174" ht="14.25" customHeight="1">
      <c r="A174" s="35"/>
      <c r="B174" s="30"/>
      <c r="C174" s="104"/>
      <c r="D174" s="104"/>
      <c r="E174" s="104"/>
      <c r="F174" s="104"/>
      <c r="G174" s="104"/>
      <c r="H174" s="191"/>
      <c r="I174" s="104"/>
      <c r="J174" s="104"/>
      <c r="K174" s="104"/>
      <c r="L174" s="104"/>
      <c r="M174" s="30"/>
      <c r="N174" s="192"/>
      <c r="O174" s="192"/>
      <c r="P174" s="30"/>
      <c r="Q174" s="30"/>
      <c r="R174" s="30"/>
      <c r="S174" s="30"/>
      <c r="T174" s="30"/>
      <c r="U174" s="30"/>
      <c r="V174" s="30"/>
      <c r="W174" s="30"/>
      <c r="X174" s="30"/>
      <c r="Y174" s="30"/>
      <c r="Z174" s="30"/>
    </row>
    <row r="175" ht="14.25" customHeight="1">
      <c r="A175" s="35"/>
      <c r="B175" s="30"/>
      <c r="C175" s="104"/>
      <c r="D175" s="104"/>
      <c r="E175" s="104"/>
      <c r="F175" s="104"/>
      <c r="G175" s="104"/>
      <c r="H175" s="191"/>
      <c r="I175" s="104"/>
      <c r="J175" s="104"/>
      <c r="K175" s="104"/>
      <c r="L175" s="104"/>
      <c r="M175" s="30"/>
      <c r="N175" s="192"/>
      <c r="O175" s="192"/>
      <c r="P175" s="30"/>
      <c r="Q175" s="30"/>
      <c r="R175" s="30"/>
      <c r="S175" s="30"/>
      <c r="T175" s="30"/>
      <c r="U175" s="30"/>
      <c r="V175" s="30"/>
      <c r="W175" s="30"/>
      <c r="X175" s="30"/>
      <c r="Y175" s="30"/>
      <c r="Z175" s="30"/>
    </row>
    <row r="176" ht="14.25" customHeight="1">
      <c r="A176" s="35"/>
      <c r="B176" s="30"/>
      <c r="C176" s="104"/>
      <c r="D176" s="104"/>
      <c r="E176" s="104"/>
      <c r="F176" s="104"/>
      <c r="G176" s="104"/>
      <c r="H176" s="191"/>
      <c r="I176" s="104"/>
      <c r="J176" s="104"/>
      <c r="K176" s="104"/>
      <c r="L176" s="104"/>
      <c r="M176" s="30"/>
      <c r="N176" s="192"/>
      <c r="O176" s="192"/>
      <c r="P176" s="30"/>
      <c r="Q176" s="30"/>
      <c r="R176" s="30"/>
      <c r="S176" s="30"/>
      <c r="T176" s="30"/>
      <c r="U176" s="30"/>
      <c r="V176" s="30"/>
      <c r="W176" s="30"/>
      <c r="X176" s="30"/>
      <c r="Y176" s="30"/>
      <c r="Z176" s="30"/>
    </row>
    <row r="177" ht="14.25" customHeight="1">
      <c r="A177" s="35"/>
      <c r="B177" s="30"/>
      <c r="C177" s="104"/>
      <c r="D177" s="104"/>
      <c r="E177" s="104"/>
      <c r="F177" s="104"/>
      <c r="G177" s="104"/>
      <c r="H177" s="191"/>
      <c r="I177" s="104"/>
      <c r="J177" s="104"/>
      <c r="K177" s="104"/>
      <c r="L177" s="104"/>
      <c r="M177" s="30"/>
      <c r="N177" s="192"/>
      <c r="O177" s="192"/>
      <c r="P177" s="30"/>
      <c r="Q177" s="30"/>
      <c r="R177" s="30"/>
      <c r="S177" s="30"/>
      <c r="T177" s="30"/>
      <c r="U177" s="30"/>
      <c r="V177" s="30"/>
      <c r="W177" s="30"/>
      <c r="X177" s="30"/>
      <c r="Y177" s="30"/>
      <c r="Z177" s="30"/>
    </row>
    <row r="178" ht="14.25" customHeight="1">
      <c r="A178" s="35"/>
      <c r="B178" s="30"/>
      <c r="C178" s="104"/>
      <c r="D178" s="104"/>
      <c r="E178" s="104"/>
      <c r="F178" s="104"/>
      <c r="G178" s="104"/>
      <c r="H178" s="191"/>
      <c r="I178" s="104"/>
      <c r="J178" s="104"/>
      <c r="K178" s="104"/>
      <c r="L178" s="104"/>
      <c r="M178" s="30"/>
      <c r="N178" s="192"/>
      <c r="O178" s="192"/>
      <c r="P178" s="30"/>
      <c r="Q178" s="30"/>
      <c r="R178" s="30"/>
      <c r="S178" s="30"/>
      <c r="T178" s="30"/>
      <c r="U178" s="30"/>
      <c r="V178" s="30"/>
      <c r="W178" s="30"/>
      <c r="X178" s="30"/>
      <c r="Y178" s="30"/>
      <c r="Z178" s="30"/>
    </row>
    <row r="179" ht="14.25" customHeight="1">
      <c r="A179" s="35"/>
      <c r="B179" s="30"/>
      <c r="C179" s="104"/>
      <c r="D179" s="104"/>
      <c r="E179" s="104"/>
      <c r="F179" s="104"/>
      <c r="G179" s="104"/>
      <c r="H179" s="191"/>
      <c r="I179" s="104"/>
      <c r="J179" s="104"/>
      <c r="K179" s="104"/>
      <c r="L179" s="104"/>
      <c r="M179" s="30"/>
      <c r="N179" s="192"/>
      <c r="O179" s="192"/>
      <c r="P179" s="30"/>
      <c r="Q179" s="30"/>
      <c r="R179" s="30"/>
      <c r="S179" s="30"/>
      <c r="T179" s="30"/>
      <c r="U179" s="30"/>
      <c r="V179" s="30"/>
      <c r="W179" s="30"/>
      <c r="X179" s="30"/>
      <c r="Y179" s="30"/>
      <c r="Z179" s="30"/>
    </row>
    <row r="180" ht="14.25" customHeight="1">
      <c r="A180" s="35"/>
      <c r="B180" s="30"/>
      <c r="C180" s="104"/>
      <c r="D180" s="104"/>
      <c r="E180" s="104"/>
      <c r="F180" s="104"/>
      <c r="G180" s="104"/>
      <c r="H180" s="191"/>
      <c r="I180" s="104"/>
      <c r="J180" s="104"/>
      <c r="K180" s="104"/>
      <c r="L180" s="104"/>
      <c r="M180" s="30"/>
      <c r="N180" s="192"/>
      <c r="O180" s="192"/>
      <c r="P180" s="30"/>
      <c r="Q180" s="30"/>
      <c r="R180" s="30"/>
      <c r="S180" s="30"/>
      <c r="T180" s="30"/>
      <c r="U180" s="30"/>
      <c r="V180" s="30"/>
      <c r="W180" s="30"/>
      <c r="X180" s="30"/>
      <c r="Y180" s="30"/>
      <c r="Z180" s="30"/>
    </row>
    <row r="181" ht="14.25" customHeight="1">
      <c r="A181" s="35"/>
      <c r="B181" s="30"/>
      <c r="C181" s="104"/>
      <c r="D181" s="104"/>
      <c r="E181" s="104"/>
      <c r="F181" s="104"/>
      <c r="G181" s="104"/>
      <c r="H181" s="191"/>
      <c r="I181" s="104"/>
      <c r="J181" s="104"/>
      <c r="K181" s="104"/>
      <c r="L181" s="104"/>
      <c r="M181" s="30"/>
      <c r="N181" s="192"/>
      <c r="O181" s="192"/>
      <c r="P181" s="30"/>
      <c r="Q181" s="30"/>
      <c r="R181" s="30"/>
      <c r="S181" s="30"/>
      <c r="T181" s="30"/>
      <c r="U181" s="30"/>
      <c r="V181" s="30"/>
      <c r="W181" s="30"/>
      <c r="X181" s="30"/>
      <c r="Y181" s="30"/>
      <c r="Z181" s="30"/>
    </row>
    <row r="182" ht="14.25" customHeight="1">
      <c r="A182" s="35"/>
      <c r="B182" s="30"/>
      <c r="C182" s="104"/>
      <c r="D182" s="104"/>
      <c r="E182" s="104"/>
      <c r="F182" s="104"/>
      <c r="G182" s="104"/>
      <c r="H182" s="191"/>
      <c r="I182" s="104"/>
      <c r="J182" s="104"/>
      <c r="K182" s="104"/>
      <c r="L182" s="104"/>
      <c r="M182" s="30"/>
      <c r="N182" s="192"/>
      <c r="O182" s="192"/>
      <c r="P182" s="30"/>
      <c r="Q182" s="30"/>
      <c r="R182" s="30"/>
      <c r="S182" s="30"/>
      <c r="T182" s="30"/>
      <c r="U182" s="30"/>
      <c r="V182" s="30"/>
      <c r="W182" s="30"/>
      <c r="X182" s="30"/>
      <c r="Y182" s="30"/>
      <c r="Z182" s="30"/>
    </row>
    <row r="183" ht="14.25" customHeight="1">
      <c r="A183" s="35"/>
      <c r="B183" s="30"/>
      <c r="C183" s="104"/>
      <c r="D183" s="104"/>
      <c r="E183" s="104"/>
      <c r="F183" s="104"/>
      <c r="G183" s="104"/>
      <c r="H183" s="191"/>
      <c r="I183" s="104"/>
      <c r="J183" s="104"/>
      <c r="K183" s="104"/>
      <c r="L183" s="104"/>
      <c r="M183" s="30"/>
      <c r="N183" s="192"/>
      <c r="O183" s="192"/>
      <c r="P183" s="30"/>
      <c r="Q183" s="30"/>
      <c r="R183" s="30"/>
      <c r="S183" s="30"/>
      <c r="T183" s="30"/>
      <c r="U183" s="30"/>
      <c r="V183" s="30"/>
      <c r="W183" s="30"/>
      <c r="X183" s="30"/>
      <c r="Y183" s="30"/>
      <c r="Z183" s="30"/>
    </row>
    <row r="184" ht="14.25" customHeight="1">
      <c r="A184" s="35"/>
      <c r="B184" s="30"/>
      <c r="C184" s="104"/>
      <c r="D184" s="104"/>
      <c r="E184" s="104"/>
      <c r="F184" s="104"/>
      <c r="G184" s="104"/>
      <c r="H184" s="191"/>
      <c r="I184" s="104"/>
      <c r="J184" s="104"/>
      <c r="K184" s="104"/>
      <c r="L184" s="104"/>
      <c r="M184" s="30"/>
      <c r="N184" s="192"/>
      <c r="O184" s="192"/>
      <c r="P184" s="30"/>
      <c r="Q184" s="30"/>
      <c r="R184" s="30"/>
      <c r="S184" s="30"/>
      <c r="T184" s="30"/>
      <c r="U184" s="30"/>
      <c r="V184" s="30"/>
      <c r="W184" s="30"/>
      <c r="X184" s="30"/>
      <c r="Y184" s="30"/>
      <c r="Z184" s="30"/>
    </row>
    <row r="185" ht="14.25" customHeight="1">
      <c r="A185" s="35"/>
      <c r="B185" s="30"/>
      <c r="C185" s="104"/>
      <c r="D185" s="104"/>
      <c r="E185" s="104"/>
      <c r="F185" s="104"/>
      <c r="G185" s="104"/>
      <c r="H185" s="191"/>
      <c r="I185" s="104"/>
      <c r="J185" s="104"/>
      <c r="K185" s="104"/>
      <c r="L185" s="104"/>
      <c r="M185" s="30"/>
      <c r="N185" s="192"/>
      <c r="O185" s="192"/>
      <c r="P185" s="30"/>
      <c r="Q185" s="30"/>
      <c r="R185" s="30"/>
      <c r="S185" s="30"/>
      <c r="T185" s="30"/>
      <c r="U185" s="30"/>
      <c r="V185" s="30"/>
      <c r="W185" s="30"/>
      <c r="X185" s="30"/>
      <c r="Y185" s="30"/>
      <c r="Z185" s="30"/>
    </row>
    <row r="186" ht="14.25" customHeight="1">
      <c r="A186" s="35"/>
      <c r="B186" s="30"/>
      <c r="C186" s="104"/>
      <c r="D186" s="104"/>
      <c r="E186" s="104"/>
      <c r="F186" s="104"/>
      <c r="G186" s="104"/>
      <c r="H186" s="191"/>
      <c r="I186" s="104"/>
      <c r="J186" s="104"/>
      <c r="K186" s="104"/>
      <c r="L186" s="104"/>
      <c r="M186" s="30"/>
      <c r="N186" s="192"/>
      <c r="O186" s="192"/>
      <c r="P186" s="30"/>
      <c r="Q186" s="30"/>
      <c r="R186" s="30"/>
      <c r="S186" s="30"/>
      <c r="T186" s="30"/>
      <c r="U186" s="30"/>
      <c r="V186" s="30"/>
      <c r="W186" s="30"/>
      <c r="X186" s="30"/>
      <c r="Y186" s="30"/>
      <c r="Z186" s="30"/>
    </row>
    <row r="187" ht="14.25" customHeight="1">
      <c r="A187" s="35"/>
      <c r="B187" s="30"/>
      <c r="C187" s="104"/>
      <c r="D187" s="104"/>
      <c r="E187" s="104"/>
      <c r="F187" s="104"/>
      <c r="G187" s="104"/>
      <c r="H187" s="191"/>
      <c r="I187" s="104"/>
      <c r="J187" s="104"/>
      <c r="K187" s="104"/>
      <c r="L187" s="104"/>
      <c r="M187" s="30"/>
      <c r="N187" s="192"/>
      <c r="O187" s="192"/>
      <c r="P187" s="30"/>
      <c r="Q187" s="30"/>
      <c r="R187" s="30"/>
      <c r="S187" s="30"/>
      <c r="T187" s="30"/>
      <c r="U187" s="30"/>
      <c r="V187" s="30"/>
      <c r="W187" s="30"/>
      <c r="X187" s="30"/>
      <c r="Y187" s="30"/>
      <c r="Z187" s="30"/>
    </row>
    <row r="188" ht="14.25" customHeight="1">
      <c r="A188" s="35"/>
      <c r="B188" s="30"/>
      <c r="C188" s="104"/>
      <c r="D188" s="104"/>
      <c r="E188" s="104"/>
      <c r="F188" s="104"/>
      <c r="G188" s="104"/>
      <c r="H188" s="191"/>
      <c r="I188" s="104"/>
      <c r="J188" s="104"/>
      <c r="K188" s="104"/>
      <c r="L188" s="104"/>
      <c r="M188" s="30"/>
      <c r="N188" s="192"/>
      <c r="O188" s="192"/>
      <c r="P188" s="30"/>
      <c r="Q188" s="30"/>
      <c r="R188" s="30"/>
      <c r="S188" s="30"/>
      <c r="T188" s="30"/>
      <c r="U188" s="30"/>
      <c r="V188" s="30"/>
      <c r="W188" s="30"/>
      <c r="X188" s="30"/>
      <c r="Y188" s="30"/>
      <c r="Z188" s="30"/>
    </row>
    <row r="189" ht="14.25" customHeight="1">
      <c r="A189" s="35"/>
      <c r="B189" s="30"/>
      <c r="C189" s="104"/>
      <c r="D189" s="104"/>
      <c r="E189" s="104"/>
      <c r="F189" s="104"/>
      <c r="G189" s="104"/>
      <c r="H189" s="191"/>
      <c r="I189" s="104"/>
      <c r="J189" s="104"/>
      <c r="K189" s="104"/>
      <c r="L189" s="104"/>
      <c r="M189" s="30"/>
      <c r="N189" s="192"/>
      <c r="O189" s="192"/>
      <c r="P189" s="30"/>
      <c r="Q189" s="30"/>
      <c r="R189" s="30"/>
      <c r="S189" s="30"/>
      <c r="T189" s="30"/>
      <c r="U189" s="30"/>
      <c r="V189" s="30"/>
      <c r="W189" s="30"/>
      <c r="X189" s="30"/>
      <c r="Y189" s="30"/>
      <c r="Z189" s="30"/>
    </row>
    <row r="190" ht="14.25" customHeight="1">
      <c r="A190" s="35"/>
      <c r="B190" s="30"/>
      <c r="C190" s="104"/>
      <c r="D190" s="104"/>
      <c r="E190" s="104"/>
      <c r="F190" s="104"/>
      <c r="G190" s="104"/>
      <c r="H190" s="191"/>
      <c r="I190" s="104"/>
      <c r="J190" s="104"/>
      <c r="K190" s="104"/>
      <c r="L190" s="104"/>
      <c r="M190" s="30"/>
      <c r="N190" s="192"/>
      <c r="O190" s="192"/>
      <c r="P190" s="30"/>
      <c r="Q190" s="30"/>
      <c r="R190" s="30"/>
      <c r="S190" s="30"/>
      <c r="T190" s="30"/>
      <c r="U190" s="30"/>
      <c r="V190" s="30"/>
      <c r="W190" s="30"/>
      <c r="X190" s="30"/>
      <c r="Y190" s="30"/>
      <c r="Z190" s="30"/>
    </row>
    <row r="191" ht="14.25" customHeight="1">
      <c r="A191" s="35"/>
      <c r="B191" s="30"/>
      <c r="C191" s="104"/>
      <c r="D191" s="104"/>
      <c r="E191" s="104"/>
      <c r="F191" s="104"/>
      <c r="G191" s="104"/>
      <c r="H191" s="191"/>
      <c r="I191" s="104"/>
      <c r="J191" s="104"/>
      <c r="K191" s="104"/>
      <c r="L191" s="104"/>
      <c r="M191" s="30"/>
      <c r="N191" s="192"/>
      <c r="O191" s="192"/>
      <c r="P191" s="30"/>
      <c r="Q191" s="30"/>
      <c r="R191" s="30"/>
      <c r="S191" s="30"/>
      <c r="T191" s="30"/>
      <c r="U191" s="30"/>
      <c r="V191" s="30"/>
      <c r="W191" s="30"/>
      <c r="X191" s="30"/>
      <c r="Y191" s="30"/>
      <c r="Z191" s="30"/>
    </row>
    <row r="192" ht="14.25" customHeight="1">
      <c r="A192" s="35"/>
      <c r="B192" s="30"/>
      <c r="C192" s="104"/>
      <c r="D192" s="104"/>
      <c r="E192" s="104"/>
      <c r="F192" s="104"/>
      <c r="G192" s="104"/>
      <c r="H192" s="191"/>
      <c r="I192" s="104"/>
      <c r="J192" s="104"/>
      <c r="K192" s="104"/>
      <c r="L192" s="104"/>
      <c r="M192" s="30"/>
      <c r="N192" s="192"/>
      <c r="O192" s="192"/>
      <c r="P192" s="30"/>
      <c r="Q192" s="30"/>
      <c r="R192" s="30"/>
      <c r="S192" s="30"/>
      <c r="T192" s="30"/>
      <c r="U192" s="30"/>
      <c r="V192" s="30"/>
      <c r="W192" s="30"/>
      <c r="X192" s="30"/>
      <c r="Y192" s="30"/>
      <c r="Z192" s="30"/>
    </row>
    <row r="193" ht="14.25" customHeight="1">
      <c r="A193" s="35"/>
      <c r="B193" s="30"/>
      <c r="C193" s="104"/>
      <c r="D193" s="104"/>
      <c r="E193" s="104"/>
      <c r="F193" s="104"/>
      <c r="G193" s="104"/>
      <c r="H193" s="191"/>
      <c r="I193" s="104"/>
      <c r="J193" s="104"/>
      <c r="K193" s="104"/>
      <c r="L193" s="104"/>
      <c r="M193" s="30"/>
      <c r="N193" s="192"/>
      <c r="O193" s="192"/>
      <c r="P193" s="30"/>
      <c r="Q193" s="30"/>
      <c r="R193" s="30"/>
      <c r="S193" s="30"/>
      <c r="T193" s="30"/>
      <c r="U193" s="30"/>
      <c r="V193" s="30"/>
      <c r="W193" s="30"/>
      <c r="X193" s="30"/>
      <c r="Y193" s="30"/>
      <c r="Z193" s="30"/>
    </row>
    <row r="194" ht="14.25" customHeight="1">
      <c r="A194" s="35"/>
      <c r="B194" s="30"/>
      <c r="C194" s="104"/>
      <c r="D194" s="104"/>
      <c r="E194" s="104"/>
      <c r="F194" s="104"/>
      <c r="G194" s="104"/>
      <c r="H194" s="191"/>
      <c r="I194" s="104"/>
      <c r="J194" s="104"/>
      <c r="K194" s="104"/>
      <c r="L194" s="104"/>
      <c r="M194" s="30"/>
      <c r="N194" s="192"/>
      <c r="O194" s="192"/>
      <c r="P194" s="30"/>
      <c r="Q194" s="30"/>
      <c r="R194" s="30"/>
      <c r="S194" s="30"/>
      <c r="T194" s="30"/>
      <c r="U194" s="30"/>
      <c r="V194" s="30"/>
      <c r="W194" s="30"/>
      <c r="X194" s="30"/>
      <c r="Y194" s="30"/>
      <c r="Z194" s="30"/>
    </row>
    <row r="195" ht="14.25" customHeight="1">
      <c r="A195" s="35"/>
      <c r="B195" s="30"/>
      <c r="C195" s="104"/>
      <c r="D195" s="104"/>
      <c r="E195" s="104"/>
      <c r="F195" s="104"/>
      <c r="G195" s="104"/>
      <c r="H195" s="191"/>
      <c r="I195" s="104"/>
      <c r="J195" s="104"/>
      <c r="K195" s="104"/>
      <c r="L195" s="104"/>
      <c r="M195" s="30"/>
      <c r="N195" s="192"/>
      <c r="O195" s="192"/>
      <c r="P195" s="30"/>
      <c r="Q195" s="30"/>
      <c r="R195" s="30"/>
      <c r="S195" s="30"/>
      <c r="T195" s="30"/>
      <c r="U195" s="30"/>
      <c r="V195" s="30"/>
      <c r="W195" s="30"/>
      <c r="X195" s="30"/>
      <c r="Y195" s="30"/>
      <c r="Z195" s="30"/>
    </row>
    <row r="196" ht="14.25" customHeight="1">
      <c r="A196" s="35"/>
      <c r="B196" s="30"/>
      <c r="C196" s="104"/>
      <c r="D196" s="104"/>
      <c r="E196" s="104"/>
      <c r="F196" s="104"/>
      <c r="G196" s="104"/>
      <c r="H196" s="191"/>
      <c r="I196" s="104"/>
      <c r="J196" s="104"/>
      <c r="K196" s="104"/>
      <c r="L196" s="104"/>
      <c r="M196" s="30"/>
      <c r="N196" s="192"/>
      <c r="O196" s="192"/>
      <c r="P196" s="30"/>
      <c r="Q196" s="30"/>
      <c r="R196" s="30"/>
      <c r="S196" s="30"/>
      <c r="T196" s="30"/>
      <c r="U196" s="30"/>
      <c r="V196" s="30"/>
      <c r="W196" s="30"/>
      <c r="X196" s="30"/>
      <c r="Y196" s="30"/>
      <c r="Z196" s="30"/>
    </row>
    <row r="197" ht="14.25" customHeight="1">
      <c r="A197" s="35"/>
      <c r="B197" s="30"/>
      <c r="C197" s="104"/>
      <c r="D197" s="104"/>
      <c r="E197" s="104"/>
      <c r="F197" s="104"/>
      <c r="G197" s="104"/>
      <c r="H197" s="191"/>
      <c r="I197" s="104"/>
      <c r="J197" s="104"/>
      <c r="K197" s="104"/>
      <c r="L197" s="104"/>
      <c r="M197" s="30"/>
      <c r="N197" s="192"/>
      <c r="O197" s="192"/>
      <c r="P197" s="30"/>
      <c r="Q197" s="30"/>
      <c r="R197" s="30"/>
      <c r="S197" s="30"/>
      <c r="T197" s="30"/>
      <c r="U197" s="30"/>
      <c r="V197" s="30"/>
      <c r="W197" s="30"/>
      <c r="X197" s="30"/>
      <c r="Y197" s="30"/>
      <c r="Z197" s="30"/>
    </row>
    <row r="198" ht="14.25" customHeight="1">
      <c r="A198" s="35"/>
      <c r="B198" s="30"/>
      <c r="C198" s="104"/>
      <c r="D198" s="104"/>
      <c r="E198" s="104"/>
      <c r="F198" s="104"/>
      <c r="G198" s="104"/>
      <c r="H198" s="191"/>
      <c r="I198" s="104"/>
      <c r="J198" s="104"/>
      <c r="K198" s="104"/>
      <c r="L198" s="104"/>
      <c r="M198" s="30"/>
      <c r="N198" s="192"/>
      <c r="O198" s="192"/>
      <c r="P198" s="30"/>
      <c r="Q198" s="30"/>
      <c r="R198" s="30"/>
      <c r="S198" s="30"/>
      <c r="T198" s="30"/>
      <c r="U198" s="30"/>
      <c r="V198" s="30"/>
      <c r="W198" s="30"/>
      <c r="X198" s="30"/>
      <c r="Y198" s="30"/>
      <c r="Z198" s="30"/>
    </row>
    <row r="199" ht="14.25" customHeight="1">
      <c r="A199" s="35"/>
      <c r="B199" s="30"/>
      <c r="C199" s="104"/>
      <c r="D199" s="104"/>
      <c r="E199" s="104"/>
      <c r="F199" s="104"/>
      <c r="G199" s="104"/>
      <c r="H199" s="191"/>
      <c r="I199" s="104"/>
      <c r="J199" s="104"/>
      <c r="K199" s="104"/>
      <c r="L199" s="104"/>
      <c r="M199" s="30"/>
      <c r="N199" s="192"/>
      <c r="O199" s="192"/>
      <c r="P199" s="30"/>
      <c r="Q199" s="30"/>
      <c r="R199" s="30"/>
      <c r="S199" s="30"/>
      <c r="T199" s="30"/>
      <c r="U199" s="30"/>
      <c r="V199" s="30"/>
      <c r="W199" s="30"/>
      <c r="X199" s="30"/>
      <c r="Y199" s="30"/>
      <c r="Z199" s="30"/>
    </row>
    <row r="200" ht="14.25" customHeight="1">
      <c r="A200" s="35"/>
      <c r="B200" s="30"/>
      <c r="C200" s="104"/>
      <c r="D200" s="104"/>
      <c r="E200" s="104"/>
      <c r="F200" s="104"/>
      <c r="G200" s="104"/>
      <c r="H200" s="191"/>
      <c r="I200" s="104"/>
      <c r="J200" s="104"/>
      <c r="K200" s="104"/>
      <c r="L200" s="104"/>
      <c r="M200" s="30"/>
      <c r="N200" s="192"/>
      <c r="O200" s="192"/>
      <c r="P200" s="30"/>
      <c r="Q200" s="30"/>
      <c r="R200" s="30"/>
      <c r="S200" s="30"/>
      <c r="T200" s="30"/>
      <c r="U200" s="30"/>
      <c r="V200" s="30"/>
      <c r="W200" s="30"/>
      <c r="X200" s="30"/>
      <c r="Y200" s="30"/>
      <c r="Z200" s="30"/>
    </row>
    <row r="201" ht="14.25" customHeight="1">
      <c r="A201" s="35"/>
      <c r="B201" s="30"/>
      <c r="C201" s="104"/>
      <c r="D201" s="104"/>
      <c r="E201" s="104"/>
      <c r="F201" s="104"/>
      <c r="G201" s="104"/>
      <c r="H201" s="191"/>
      <c r="I201" s="104"/>
      <c r="J201" s="104"/>
      <c r="K201" s="104"/>
      <c r="L201" s="104"/>
      <c r="M201" s="30"/>
      <c r="N201" s="192"/>
      <c r="O201" s="192"/>
      <c r="P201" s="30"/>
      <c r="Q201" s="30"/>
      <c r="R201" s="30"/>
      <c r="S201" s="30"/>
      <c r="T201" s="30"/>
      <c r="U201" s="30"/>
      <c r="V201" s="30"/>
      <c r="W201" s="30"/>
      <c r="X201" s="30"/>
      <c r="Y201" s="30"/>
      <c r="Z201" s="30"/>
    </row>
    <row r="202" ht="14.25" customHeight="1">
      <c r="A202" s="35"/>
      <c r="B202" s="30"/>
      <c r="C202" s="104"/>
      <c r="D202" s="104"/>
      <c r="E202" s="104"/>
      <c r="F202" s="104"/>
      <c r="G202" s="104"/>
      <c r="H202" s="191"/>
      <c r="I202" s="104"/>
      <c r="J202" s="104"/>
      <c r="K202" s="104"/>
      <c r="L202" s="104"/>
      <c r="M202" s="30"/>
      <c r="N202" s="192"/>
      <c r="O202" s="192"/>
      <c r="P202" s="30"/>
      <c r="Q202" s="30"/>
      <c r="R202" s="30"/>
      <c r="S202" s="30"/>
      <c r="T202" s="30"/>
      <c r="U202" s="30"/>
      <c r="V202" s="30"/>
      <c r="W202" s="30"/>
      <c r="X202" s="30"/>
      <c r="Y202" s="30"/>
      <c r="Z202" s="30"/>
    </row>
    <row r="203" ht="14.25" customHeight="1">
      <c r="A203" s="35"/>
      <c r="B203" s="30"/>
      <c r="C203" s="104"/>
      <c r="D203" s="104"/>
      <c r="E203" s="104"/>
      <c r="F203" s="104"/>
      <c r="G203" s="104"/>
      <c r="H203" s="191"/>
      <c r="I203" s="104"/>
      <c r="J203" s="104"/>
      <c r="K203" s="104"/>
      <c r="L203" s="104"/>
      <c r="M203" s="30"/>
      <c r="N203" s="192"/>
      <c r="O203" s="192"/>
      <c r="P203" s="30"/>
      <c r="Q203" s="30"/>
      <c r="R203" s="30"/>
      <c r="S203" s="30"/>
      <c r="T203" s="30"/>
      <c r="U203" s="30"/>
      <c r="V203" s="30"/>
      <c r="W203" s="30"/>
      <c r="X203" s="30"/>
      <c r="Y203" s="30"/>
      <c r="Z203" s="30"/>
    </row>
    <row r="204" ht="14.25" customHeight="1">
      <c r="A204" s="35"/>
      <c r="B204" s="30"/>
      <c r="C204" s="104"/>
      <c r="D204" s="104"/>
      <c r="E204" s="104"/>
      <c r="F204" s="104"/>
      <c r="G204" s="104"/>
      <c r="H204" s="191"/>
      <c r="I204" s="104"/>
      <c r="J204" s="104"/>
      <c r="K204" s="104"/>
      <c r="L204" s="104"/>
      <c r="M204" s="30"/>
      <c r="N204" s="192"/>
      <c r="O204" s="192"/>
      <c r="P204" s="30"/>
      <c r="Q204" s="30"/>
      <c r="R204" s="30"/>
      <c r="S204" s="30"/>
      <c r="T204" s="30"/>
      <c r="U204" s="30"/>
      <c r="V204" s="30"/>
      <c r="W204" s="30"/>
      <c r="X204" s="30"/>
      <c r="Y204" s="30"/>
      <c r="Z204" s="30"/>
    </row>
    <row r="205" ht="14.25" customHeight="1">
      <c r="A205" s="35"/>
      <c r="B205" s="30"/>
      <c r="C205" s="104"/>
      <c r="D205" s="104"/>
      <c r="E205" s="104"/>
      <c r="F205" s="104"/>
      <c r="G205" s="104"/>
      <c r="H205" s="191"/>
      <c r="I205" s="104"/>
      <c r="J205" s="104"/>
      <c r="K205" s="104"/>
      <c r="L205" s="104"/>
      <c r="M205" s="30"/>
      <c r="N205" s="192"/>
      <c r="O205" s="192"/>
      <c r="P205" s="30"/>
      <c r="Q205" s="30"/>
      <c r="R205" s="30"/>
      <c r="S205" s="30"/>
      <c r="T205" s="30"/>
      <c r="U205" s="30"/>
      <c r="V205" s="30"/>
      <c r="W205" s="30"/>
      <c r="X205" s="30"/>
      <c r="Y205" s="30"/>
      <c r="Z205" s="30"/>
    </row>
    <row r="206" ht="14.25" customHeight="1">
      <c r="A206" s="35"/>
      <c r="B206" s="30"/>
      <c r="C206" s="104"/>
      <c r="D206" s="104"/>
      <c r="E206" s="104"/>
      <c r="F206" s="104"/>
      <c r="G206" s="104"/>
      <c r="H206" s="191"/>
      <c r="I206" s="104"/>
      <c r="J206" s="104"/>
      <c r="K206" s="104"/>
      <c r="L206" s="104"/>
      <c r="M206" s="30"/>
      <c r="N206" s="192"/>
      <c r="O206" s="192"/>
      <c r="P206" s="30"/>
      <c r="Q206" s="30"/>
      <c r="R206" s="30"/>
      <c r="S206" s="30"/>
      <c r="T206" s="30"/>
      <c r="U206" s="30"/>
      <c r="V206" s="30"/>
      <c r="W206" s="30"/>
      <c r="X206" s="30"/>
      <c r="Y206" s="30"/>
      <c r="Z206" s="30"/>
    </row>
    <row r="207" ht="14.25" customHeight="1">
      <c r="A207" s="35"/>
      <c r="B207" s="30"/>
      <c r="C207" s="104"/>
      <c r="D207" s="104"/>
      <c r="E207" s="104"/>
      <c r="F207" s="104"/>
      <c r="G207" s="104"/>
      <c r="H207" s="191"/>
      <c r="I207" s="104"/>
      <c r="J207" s="104"/>
      <c r="K207" s="104"/>
      <c r="L207" s="104"/>
      <c r="M207" s="30"/>
      <c r="N207" s="192"/>
      <c r="O207" s="192"/>
      <c r="P207" s="30"/>
      <c r="Q207" s="30"/>
      <c r="R207" s="30"/>
      <c r="S207" s="30"/>
      <c r="T207" s="30"/>
      <c r="U207" s="30"/>
      <c r="V207" s="30"/>
      <c r="W207" s="30"/>
      <c r="X207" s="30"/>
      <c r="Y207" s="30"/>
      <c r="Z207" s="30"/>
    </row>
    <row r="208" ht="14.25" customHeight="1">
      <c r="A208" s="35"/>
      <c r="B208" s="30"/>
      <c r="C208" s="104"/>
      <c r="D208" s="104"/>
      <c r="E208" s="104"/>
      <c r="F208" s="104"/>
      <c r="G208" s="104"/>
      <c r="H208" s="191"/>
      <c r="I208" s="104"/>
      <c r="J208" s="104"/>
      <c r="K208" s="104"/>
      <c r="L208" s="104"/>
      <c r="M208" s="30"/>
      <c r="N208" s="192"/>
      <c r="O208" s="192"/>
      <c r="P208" s="30"/>
      <c r="Q208" s="30"/>
      <c r="R208" s="30"/>
      <c r="S208" s="30"/>
      <c r="T208" s="30"/>
      <c r="U208" s="30"/>
      <c r="V208" s="30"/>
      <c r="W208" s="30"/>
      <c r="X208" s="30"/>
      <c r="Y208" s="30"/>
      <c r="Z208" s="30"/>
    </row>
    <row r="209" ht="14.25" customHeight="1">
      <c r="A209" s="35"/>
      <c r="B209" s="30"/>
      <c r="C209" s="104"/>
      <c r="D209" s="104"/>
      <c r="E209" s="104"/>
      <c r="F209" s="104"/>
      <c r="G209" s="104"/>
      <c r="H209" s="191"/>
      <c r="I209" s="104"/>
      <c r="J209" s="104"/>
      <c r="K209" s="104"/>
      <c r="L209" s="104"/>
      <c r="M209" s="30"/>
      <c r="N209" s="192"/>
      <c r="O209" s="192"/>
      <c r="P209" s="30"/>
      <c r="Q209" s="30"/>
      <c r="R209" s="30"/>
      <c r="S209" s="30"/>
      <c r="T209" s="30"/>
      <c r="U209" s="30"/>
      <c r="V209" s="30"/>
      <c r="W209" s="30"/>
      <c r="X209" s="30"/>
      <c r="Y209" s="30"/>
      <c r="Z209" s="30"/>
    </row>
    <row r="210" ht="14.25" customHeight="1">
      <c r="A210" s="35"/>
      <c r="B210" s="30"/>
      <c r="C210" s="104"/>
      <c r="D210" s="104"/>
      <c r="E210" s="104"/>
      <c r="F210" s="104"/>
      <c r="G210" s="104"/>
      <c r="H210" s="191"/>
      <c r="I210" s="104"/>
      <c r="J210" s="104"/>
      <c r="K210" s="104"/>
      <c r="L210" s="104"/>
      <c r="M210" s="30"/>
      <c r="N210" s="192"/>
      <c r="O210" s="192"/>
      <c r="P210" s="30"/>
      <c r="Q210" s="30"/>
      <c r="R210" s="30"/>
      <c r="S210" s="30"/>
      <c r="T210" s="30"/>
      <c r="U210" s="30"/>
      <c r="V210" s="30"/>
      <c r="W210" s="30"/>
      <c r="X210" s="30"/>
      <c r="Y210" s="30"/>
      <c r="Z210" s="30"/>
    </row>
    <row r="211" ht="14.25" customHeight="1">
      <c r="A211" s="35"/>
      <c r="B211" s="30"/>
      <c r="C211" s="104"/>
      <c r="D211" s="104"/>
      <c r="E211" s="104"/>
      <c r="F211" s="104"/>
      <c r="G211" s="104"/>
      <c r="H211" s="191"/>
      <c r="I211" s="104"/>
      <c r="J211" s="104"/>
      <c r="K211" s="104"/>
      <c r="L211" s="104"/>
      <c r="M211" s="30"/>
      <c r="N211" s="192"/>
      <c r="O211" s="192"/>
      <c r="P211" s="30"/>
      <c r="Q211" s="30"/>
      <c r="R211" s="30"/>
      <c r="S211" s="30"/>
      <c r="T211" s="30"/>
      <c r="U211" s="30"/>
      <c r="V211" s="30"/>
      <c r="W211" s="30"/>
      <c r="X211" s="30"/>
      <c r="Y211" s="30"/>
      <c r="Z211" s="30"/>
    </row>
    <row r="212" ht="14.25" customHeight="1">
      <c r="A212" s="35"/>
      <c r="B212" s="30"/>
      <c r="C212" s="104"/>
      <c r="D212" s="104"/>
      <c r="E212" s="104"/>
      <c r="F212" s="104"/>
      <c r="G212" s="104"/>
      <c r="H212" s="191"/>
      <c r="I212" s="104"/>
      <c r="J212" s="104"/>
      <c r="K212" s="104"/>
      <c r="L212" s="104"/>
      <c r="M212" s="30"/>
      <c r="N212" s="192"/>
      <c r="O212" s="192"/>
      <c r="P212" s="30"/>
      <c r="Q212" s="30"/>
      <c r="R212" s="30"/>
      <c r="S212" s="30"/>
      <c r="T212" s="30"/>
      <c r="U212" s="30"/>
      <c r="V212" s="30"/>
      <c r="W212" s="30"/>
      <c r="X212" s="30"/>
      <c r="Y212" s="30"/>
      <c r="Z212" s="30"/>
    </row>
    <row r="213" ht="14.25" customHeight="1">
      <c r="A213" s="35"/>
      <c r="B213" s="30"/>
      <c r="C213" s="104"/>
      <c r="D213" s="104"/>
      <c r="E213" s="104"/>
      <c r="F213" s="104"/>
      <c r="G213" s="104"/>
      <c r="H213" s="191"/>
      <c r="I213" s="104"/>
      <c r="J213" s="104"/>
      <c r="K213" s="104"/>
      <c r="L213" s="104"/>
      <c r="M213" s="30"/>
      <c r="N213" s="192"/>
      <c r="O213" s="192"/>
      <c r="P213" s="30"/>
      <c r="Q213" s="30"/>
      <c r="R213" s="30"/>
      <c r="S213" s="30"/>
      <c r="T213" s="30"/>
      <c r="U213" s="30"/>
      <c r="V213" s="30"/>
      <c r="W213" s="30"/>
      <c r="X213" s="30"/>
      <c r="Y213" s="30"/>
      <c r="Z213" s="30"/>
    </row>
    <row r="214" ht="14.25" customHeight="1">
      <c r="A214" s="35"/>
      <c r="B214" s="30"/>
      <c r="C214" s="104"/>
      <c r="D214" s="104"/>
      <c r="E214" s="104"/>
      <c r="F214" s="104"/>
      <c r="G214" s="104"/>
      <c r="H214" s="191"/>
      <c r="I214" s="104"/>
      <c r="J214" s="104"/>
      <c r="K214" s="104"/>
      <c r="L214" s="104"/>
      <c r="M214" s="30"/>
      <c r="N214" s="192"/>
      <c r="O214" s="192"/>
      <c r="P214" s="30"/>
      <c r="Q214" s="30"/>
      <c r="R214" s="30"/>
      <c r="S214" s="30"/>
      <c r="T214" s="30"/>
      <c r="U214" s="30"/>
      <c r="V214" s="30"/>
      <c r="W214" s="30"/>
      <c r="X214" s="30"/>
      <c r="Y214" s="30"/>
      <c r="Z214" s="30"/>
    </row>
    <row r="215" ht="14.25" customHeight="1">
      <c r="A215" s="35"/>
      <c r="B215" s="30"/>
      <c r="C215" s="104"/>
      <c r="D215" s="104"/>
      <c r="E215" s="104"/>
      <c r="F215" s="104"/>
      <c r="G215" s="104"/>
      <c r="H215" s="191"/>
      <c r="I215" s="104"/>
      <c r="J215" s="104"/>
      <c r="K215" s="104"/>
      <c r="L215" s="104"/>
      <c r="M215" s="30"/>
      <c r="N215" s="192"/>
      <c r="O215" s="192"/>
      <c r="P215" s="30"/>
      <c r="Q215" s="30"/>
      <c r="R215" s="30"/>
      <c r="S215" s="30"/>
      <c r="T215" s="30"/>
      <c r="U215" s="30"/>
      <c r="V215" s="30"/>
      <c r="W215" s="30"/>
      <c r="X215" s="30"/>
      <c r="Y215" s="30"/>
      <c r="Z215" s="30"/>
    </row>
    <row r="216" ht="14.25" customHeight="1">
      <c r="A216" s="35"/>
      <c r="B216" s="30"/>
      <c r="C216" s="104"/>
      <c r="D216" s="104"/>
      <c r="E216" s="104"/>
      <c r="F216" s="104"/>
      <c r="G216" s="104"/>
      <c r="H216" s="191"/>
      <c r="I216" s="104"/>
      <c r="J216" s="104"/>
      <c r="K216" s="104"/>
      <c r="L216" s="104"/>
      <c r="M216" s="30"/>
      <c r="N216" s="192"/>
      <c r="O216" s="192"/>
      <c r="P216" s="30"/>
      <c r="Q216" s="30"/>
      <c r="R216" s="30"/>
      <c r="S216" s="30"/>
      <c r="T216" s="30"/>
      <c r="U216" s="30"/>
      <c r="V216" s="30"/>
      <c r="W216" s="30"/>
      <c r="X216" s="30"/>
      <c r="Y216" s="30"/>
      <c r="Z216" s="30"/>
    </row>
    <row r="217" ht="14.25" customHeight="1">
      <c r="A217" s="35"/>
      <c r="B217" s="30"/>
      <c r="C217" s="104"/>
      <c r="D217" s="104"/>
      <c r="E217" s="104"/>
      <c r="F217" s="104"/>
      <c r="G217" s="104"/>
      <c r="H217" s="191"/>
      <c r="I217" s="104"/>
      <c r="J217" s="104"/>
      <c r="K217" s="104"/>
      <c r="L217" s="104"/>
      <c r="M217" s="30"/>
      <c r="N217" s="192"/>
      <c r="O217" s="192"/>
      <c r="P217" s="30"/>
      <c r="Q217" s="30"/>
      <c r="R217" s="30"/>
      <c r="S217" s="30"/>
      <c r="T217" s="30"/>
      <c r="U217" s="30"/>
      <c r="V217" s="30"/>
      <c r="W217" s="30"/>
      <c r="X217" s="30"/>
      <c r="Y217" s="30"/>
      <c r="Z217" s="30"/>
    </row>
    <row r="218" ht="14.25" customHeight="1">
      <c r="A218" s="35"/>
      <c r="B218" s="30"/>
      <c r="C218" s="104"/>
      <c r="D218" s="104"/>
      <c r="E218" s="104"/>
      <c r="F218" s="104"/>
      <c r="G218" s="104"/>
      <c r="H218" s="191"/>
      <c r="I218" s="104"/>
      <c r="J218" s="104"/>
      <c r="K218" s="104"/>
      <c r="L218" s="104"/>
      <c r="M218" s="30"/>
      <c r="N218" s="192"/>
      <c r="O218" s="192"/>
      <c r="P218" s="30"/>
      <c r="Q218" s="30"/>
      <c r="R218" s="30"/>
      <c r="S218" s="30"/>
      <c r="T218" s="30"/>
      <c r="U218" s="30"/>
      <c r="V218" s="30"/>
      <c r="W218" s="30"/>
      <c r="X218" s="30"/>
      <c r="Y218" s="30"/>
      <c r="Z218" s="30"/>
    </row>
    <row r="219" ht="14.25" customHeight="1">
      <c r="A219" s="35"/>
      <c r="B219" s="30"/>
      <c r="C219" s="104"/>
      <c r="D219" s="104"/>
      <c r="E219" s="104"/>
      <c r="F219" s="104"/>
      <c r="G219" s="104"/>
      <c r="H219" s="191"/>
      <c r="I219" s="104"/>
      <c r="J219" s="104"/>
      <c r="K219" s="104"/>
      <c r="L219" s="104"/>
      <c r="M219" s="30"/>
      <c r="N219" s="192"/>
      <c r="O219" s="192"/>
      <c r="P219" s="30"/>
      <c r="Q219" s="30"/>
      <c r="R219" s="30"/>
      <c r="S219" s="30"/>
      <c r="T219" s="30"/>
      <c r="U219" s="30"/>
      <c r="V219" s="30"/>
      <c r="W219" s="30"/>
      <c r="X219" s="30"/>
      <c r="Y219" s="30"/>
      <c r="Z219" s="30"/>
    </row>
    <row r="220" ht="14.25" customHeight="1">
      <c r="A220" s="35"/>
      <c r="B220" s="30"/>
      <c r="C220" s="104"/>
      <c r="D220" s="104"/>
      <c r="E220" s="104"/>
      <c r="F220" s="104"/>
      <c r="G220" s="104"/>
      <c r="H220" s="191"/>
      <c r="I220" s="104"/>
      <c r="J220" s="104"/>
      <c r="K220" s="104"/>
      <c r="L220" s="104"/>
      <c r="M220" s="30"/>
      <c r="N220" s="192"/>
      <c r="O220" s="192"/>
      <c r="P220" s="30"/>
      <c r="Q220" s="30"/>
      <c r="R220" s="30"/>
      <c r="S220" s="30"/>
      <c r="T220" s="30"/>
      <c r="U220" s="30"/>
      <c r="V220" s="30"/>
      <c r="W220" s="30"/>
      <c r="X220" s="30"/>
      <c r="Y220" s="30"/>
      <c r="Z220" s="30"/>
    </row>
    <row r="221" ht="14.25" customHeight="1">
      <c r="A221" s="35"/>
      <c r="B221" s="30"/>
      <c r="C221" s="104"/>
      <c r="D221" s="104"/>
      <c r="E221" s="104"/>
      <c r="F221" s="104"/>
      <c r="G221" s="104"/>
      <c r="H221" s="191"/>
      <c r="I221" s="104"/>
      <c r="J221" s="104"/>
      <c r="K221" s="104"/>
      <c r="L221" s="104"/>
      <c r="M221" s="30"/>
      <c r="N221" s="192"/>
      <c r="O221" s="192"/>
      <c r="P221" s="30"/>
      <c r="Q221" s="30"/>
      <c r="R221" s="30"/>
      <c r="S221" s="30"/>
      <c r="T221" s="30"/>
      <c r="U221" s="30"/>
      <c r="V221" s="30"/>
      <c r="W221" s="30"/>
      <c r="X221" s="30"/>
      <c r="Y221" s="30"/>
      <c r="Z221" s="30"/>
    </row>
    <row r="222" ht="14.25" customHeight="1">
      <c r="A222" s="35"/>
      <c r="B222" s="30"/>
      <c r="C222" s="104"/>
      <c r="D222" s="104"/>
      <c r="E222" s="104"/>
      <c r="F222" s="104"/>
      <c r="G222" s="104"/>
      <c r="H222" s="191"/>
      <c r="I222" s="104"/>
      <c r="J222" s="104"/>
      <c r="K222" s="104"/>
      <c r="L222" s="104"/>
      <c r="M222" s="30"/>
      <c r="N222" s="192"/>
      <c r="O222" s="192"/>
      <c r="P222" s="30"/>
      <c r="Q222" s="30"/>
      <c r="R222" s="30"/>
      <c r="S222" s="30"/>
      <c r="T222" s="30"/>
      <c r="U222" s="30"/>
      <c r="V222" s="30"/>
      <c r="W222" s="30"/>
      <c r="X222" s="30"/>
      <c r="Y222" s="30"/>
      <c r="Z222" s="30"/>
    </row>
    <row r="223" ht="14.25" customHeight="1">
      <c r="A223" s="35"/>
      <c r="B223" s="30"/>
      <c r="C223" s="104"/>
      <c r="D223" s="104"/>
      <c r="E223" s="104"/>
      <c r="F223" s="104"/>
      <c r="G223" s="104"/>
      <c r="H223" s="191"/>
      <c r="I223" s="104"/>
      <c r="J223" s="104"/>
      <c r="K223" s="104"/>
      <c r="L223" s="104"/>
      <c r="M223" s="30"/>
      <c r="N223" s="192"/>
      <c r="O223" s="192"/>
      <c r="P223" s="30"/>
      <c r="Q223" s="30"/>
      <c r="R223" s="30"/>
      <c r="S223" s="30"/>
      <c r="T223" s="30"/>
      <c r="U223" s="30"/>
      <c r="V223" s="30"/>
      <c r="W223" s="30"/>
      <c r="X223" s="30"/>
      <c r="Y223" s="30"/>
      <c r="Z223" s="30"/>
    </row>
    <row r="224" ht="14.25" customHeight="1">
      <c r="A224" s="35"/>
      <c r="B224" s="30"/>
      <c r="C224" s="104"/>
      <c r="D224" s="104"/>
      <c r="E224" s="104"/>
      <c r="F224" s="104"/>
      <c r="G224" s="104"/>
      <c r="H224" s="191"/>
      <c r="I224" s="104"/>
      <c r="J224" s="104"/>
      <c r="K224" s="104"/>
      <c r="L224" s="104"/>
      <c r="M224" s="30"/>
      <c r="N224" s="192"/>
      <c r="O224" s="192"/>
      <c r="P224" s="30"/>
      <c r="Q224" s="30"/>
      <c r="R224" s="30"/>
      <c r="S224" s="30"/>
      <c r="T224" s="30"/>
      <c r="U224" s="30"/>
      <c r="V224" s="30"/>
      <c r="W224" s="30"/>
      <c r="X224" s="30"/>
      <c r="Y224" s="30"/>
      <c r="Z224" s="30"/>
    </row>
    <row r="225" ht="14.25" customHeight="1">
      <c r="A225" s="35"/>
      <c r="B225" s="30"/>
      <c r="C225" s="104"/>
      <c r="D225" s="104"/>
      <c r="E225" s="104"/>
      <c r="F225" s="104"/>
      <c r="G225" s="104"/>
      <c r="H225" s="191"/>
      <c r="I225" s="104"/>
      <c r="J225" s="104"/>
      <c r="K225" s="104"/>
      <c r="L225" s="104"/>
      <c r="M225" s="30"/>
      <c r="N225" s="192"/>
      <c r="O225" s="192"/>
      <c r="P225" s="30"/>
      <c r="Q225" s="30"/>
      <c r="R225" s="30"/>
      <c r="S225" s="30"/>
      <c r="T225" s="30"/>
      <c r="U225" s="30"/>
      <c r="V225" s="30"/>
      <c r="W225" s="30"/>
      <c r="X225" s="30"/>
      <c r="Y225" s="30"/>
      <c r="Z225" s="30"/>
    </row>
    <row r="226" ht="14.25" customHeight="1">
      <c r="A226" s="35"/>
      <c r="B226" s="30"/>
      <c r="C226" s="104"/>
      <c r="D226" s="104"/>
      <c r="E226" s="104"/>
      <c r="F226" s="104"/>
      <c r="G226" s="104"/>
      <c r="H226" s="191"/>
      <c r="I226" s="104"/>
      <c r="J226" s="104"/>
      <c r="K226" s="104"/>
      <c r="L226" s="104"/>
      <c r="M226" s="30"/>
      <c r="N226" s="192"/>
      <c r="O226" s="192"/>
      <c r="P226" s="30"/>
      <c r="Q226" s="30"/>
      <c r="R226" s="30"/>
      <c r="S226" s="30"/>
      <c r="T226" s="30"/>
      <c r="U226" s="30"/>
      <c r="V226" s="30"/>
      <c r="W226" s="30"/>
      <c r="X226" s="30"/>
      <c r="Y226" s="30"/>
      <c r="Z226" s="30"/>
    </row>
    <row r="227" ht="14.25" customHeight="1">
      <c r="A227" s="35"/>
      <c r="B227" s="30"/>
      <c r="C227" s="104"/>
      <c r="D227" s="104"/>
      <c r="E227" s="104"/>
      <c r="F227" s="104"/>
      <c r="G227" s="104"/>
      <c r="H227" s="191"/>
      <c r="I227" s="104"/>
      <c r="J227" s="104"/>
      <c r="K227" s="104"/>
      <c r="L227" s="104"/>
      <c r="M227" s="30"/>
      <c r="N227" s="192"/>
      <c r="O227" s="192"/>
      <c r="P227" s="30"/>
      <c r="Q227" s="30"/>
      <c r="R227" s="30"/>
      <c r="S227" s="30"/>
      <c r="T227" s="30"/>
      <c r="U227" s="30"/>
      <c r="V227" s="30"/>
      <c r="W227" s="30"/>
      <c r="X227" s="30"/>
      <c r="Y227" s="30"/>
      <c r="Z227" s="30"/>
    </row>
    <row r="228" ht="14.25" customHeight="1">
      <c r="A228" s="35"/>
      <c r="B228" s="30"/>
      <c r="C228" s="104"/>
      <c r="D228" s="104"/>
      <c r="E228" s="104"/>
      <c r="F228" s="104"/>
      <c r="G228" s="104"/>
      <c r="H228" s="191"/>
      <c r="I228" s="104"/>
      <c r="J228" s="104"/>
      <c r="K228" s="104"/>
      <c r="L228" s="104"/>
      <c r="M228" s="30"/>
      <c r="N228" s="192"/>
      <c r="O228" s="192"/>
      <c r="P228" s="30"/>
      <c r="Q228" s="30"/>
      <c r="R228" s="30"/>
      <c r="S228" s="30"/>
      <c r="T228" s="30"/>
      <c r="U228" s="30"/>
      <c r="V228" s="30"/>
      <c r="W228" s="30"/>
      <c r="X228" s="30"/>
      <c r="Y228" s="30"/>
      <c r="Z228" s="30"/>
    </row>
    <row r="229" ht="14.25" customHeight="1">
      <c r="A229" s="35"/>
      <c r="B229" s="30"/>
      <c r="C229" s="104"/>
      <c r="D229" s="104"/>
      <c r="E229" s="104"/>
      <c r="F229" s="104"/>
      <c r="G229" s="104"/>
      <c r="H229" s="191"/>
      <c r="I229" s="104"/>
      <c r="J229" s="104"/>
      <c r="K229" s="104"/>
      <c r="L229" s="104"/>
      <c r="M229" s="30"/>
      <c r="N229" s="192"/>
      <c r="O229" s="192"/>
      <c r="P229" s="30"/>
      <c r="Q229" s="30"/>
      <c r="R229" s="30"/>
      <c r="S229" s="30"/>
      <c r="T229" s="30"/>
      <c r="U229" s="30"/>
      <c r="V229" s="30"/>
      <c r="W229" s="30"/>
      <c r="X229" s="30"/>
      <c r="Y229" s="30"/>
      <c r="Z229" s="30"/>
    </row>
    <row r="230" ht="14.25" customHeight="1">
      <c r="A230" s="35"/>
      <c r="B230" s="30"/>
      <c r="C230" s="104"/>
      <c r="D230" s="104"/>
      <c r="E230" s="104"/>
      <c r="F230" s="104"/>
      <c r="G230" s="104"/>
      <c r="H230" s="191"/>
      <c r="I230" s="104"/>
      <c r="J230" s="104"/>
      <c r="K230" s="104"/>
      <c r="L230" s="104"/>
      <c r="M230" s="30"/>
      <c r="N230" s="192"/>
      <c r="O230" s="192"/>
      <c r="P230" s="30"/>
      <c r="Q230" s="30"/>
      <c r="R230" s="30"/>
      <c r="S230" s="30"/>
      <c r="T230" s="30"/>
      <c r="U230" s="30"/>
      <c r="V230" s="30"/>
      <c r="W230" s="30"/>
      <c r="X230" s="30"/>
      <c r="Y230" s="30"/>
      <c r="Z230" s="30"/>
    </row>
    <row r="231" ht="14.25" customHeight="1">
      <c r="A231" s="35"/>
      <c r="B231" s="30"/>
      <c r="C231" s="104"/>
      <c r="D231" s="104"/>
      <c r="E231" s="104"/>
      <c r="F231" s="104"/>
      <c r="G231" s="104"/>
      <c r="H231" s="191"/>
      <c r="I231" s="104"/>
      <c r="J231" s="104"/>
      <c r="K231" s="104"/>
      <c r="L231" s="104"/>
      <c r="M231" s="30"/>
      <c r="N231" s="192"/>
      <c r="O231" s="192"/>
      <c r="P231" s="30"/>
      <c r="Q231" s="30"/>
      <c r="R231" s="30"/>
      <c r="S231" s="30"/>
      <c r="T231" s="30"/>
      <c r="U231" s="30"/>
      <c r="V231" s="30"/>
      <c r="W231" s="30"/>
      <c r="X231" s="30"/>
      <c r="Y231" s="30"/>
      <c r="Z231" s="30"/>
    </row>
    <row r="232" ht="14.25" customHeight="1">
      <c r="A232" s="35"/>
      <c r="B232" s="30"/>
      <c r="C232" s="104"/>
      <c r="D232" s="104"/>
      <c r="E232" s="104"/>
      <c r="F232" s="104"/>
      <c r="G232" s="104"/>
      <c r="H232" s="191"/>
      <c r="I232" s="104"/>
      <c r="J232" s="104"/>
      <c r="K232" s="104"/>
      <c r="L232" s="104"/>
      <c r="M232" s="30"/>
      <c r="N232" s="192"/>
      <c r="O232" s="192"/>
      <c r="P232" s="30"/>
      <c r="Q232" s="30"/>
      <c r="R232" s="30"/>
      <c r="S232" s="30"/>
      <c r="T232" s="30"/>
      <c r="U232" s="30"/>
      <c r="V232" s="30"/>
      <c r="W232" s="30"/>
      <c r="X232" s="30"/>
      <c r="Y232" s="30"/>
      <c r="Z232" s="30"/>
    </row>
    <row r="233" ht="14.25" customHeight="1">
      <c r="A233" s="35"/>
      <c r="B233" s="30"/>
      <c r="C233" s="104"/>
      <c r="D233" s="104"/>
      <c r="E233" s="104"/>
      <c r="F233" s="104"/>
      <c r="G233" s="104"/>
      <c r="H233" s="191"/>
      <c r="I233" s="104"/>
      <c r="J233" s="104"/>
      <c r="K233" s="104"/>
      <c r="L233" s="104"/>
      <c r="M233" s="30"/>
      <c r="N233" s="192"/>
      <c r="O233" s="192"/>
      <c r="P233" s="30"/>
      <c r="Q233" s="30"/>
      <c r="R233" s="30"/>
      <c r="S233" s="30"/>
      <c r="T233" s="30"/>
      <c r="U233" s="30"/>
      <c r="V233" s="30"/>
      <c r="W233" s="30"/>
      <c r="X233" s="30"/>
      <c r="Y233" s="30"/>
      <c r="Z233" s="30"/>
    </row>
    <row r="234" ht="14.25" customHeight="1">
      <c r="A234" s="35"/>
      <c r="B234" s="30"/>
      <c r="C234" s="104"/>
      <c r="D234" s="104"/>
      <c r="E234" s="104"/>
      <c r="F234" s="104"/>
      <c r="G234" s="104"/>
      <c r="H234" s="191"/>
      <c r="I234" s="104"/>
      <c r="J234" s="104"/>
      <c r="K234" s="104"/>
      <c r="L234" s="104"/>
      <c r="M234" s="30"/>
      <c r="N234" s="192"/>
      <c r="O234" s="192"/>
      <c r="P234" s="30"/>
      <c r="Q234" s="30"/>
      <c r="R234" s="30"/>
      <c r="S234" s="30"/>
      <c r="T234" s="30"/>
      <c r="U234" s="30"/>
      <c r="V234" s="30"/>
      <c r="W234" s="30"/>
      <c r="X234" s="30"/>
      <c r="Y234" s="30"/>
      <c r="Z234" s="30"/>
    </row>
    <row r="235" ht="14.25" customHeight="1">
      <c r="A235" s="35"/>
      <c r="B235" s="30"/>
      <c r="C235" s="104"/>
      <c r="D235" s="104"/>
      <c r="E235" s="104"/>
      <c r="F235" s="104"/>
      <c r="G235" s="104"/>
      <c r="H235" s="191"/>
      <c r="I235" s="104"/>
      <c r="J235" s="104"/>
      <c r="K235" s="104"/>
      <c r="L235" s="104"/>
      <c r="M235" s="30"/>
      <c r="N235" s="192"/>
      <c r="O235" s="192"/>
      <c r="P235" s="30"/>
      <c r="Q235" s="30"/>
      <c r="R235" s="30"/>
      <c r="S235" s="30"/>
      <c r="T235" s="30"/>
      <c r="U235" s="30"/>
      <c r="V235" s="30"/>
      <c r="W235" s="30"/>
      <c r="X235" s="30"/>
      <c r="Y235" s="30"/>
      <c r="Z235" s="30"/>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9:B13"/>
    <mergeCell ref="B16:B20"/>
    <mergeCell ref="B23:B27"/>
    <mergeCell ref="B30:B34"/>
    <mergeCell ref="B2:O2"/>
    <mergeCell ref="B3:O3"/>
    <mergeCell ref="B5:C5"/>
    <mergeCell ref="E5:F5"/>
    <mergeCell ref="G5:I5"/>
    <mergeCell ref="J5:L5"/>
    <mergeCell ref="M5:O5"/>
  </mergeCells>
  <printOptions/>
  <pageMargins bottom="0.787401575" footer="0.0" header="0.0" left="0.511811024" right="0.511811024" top="0.7874015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215" t="s">
        <v>127</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row>
    <row r="2">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row>
    <row r="3">
      <c r="A3" s="217" t="s">
        <v>128</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row>
    <row r="4">
      <c r="A4" s="216"/>
      <c r="B4" s="216"/>
      <c r="C4" s="216"/>
      <c r="D4" s="216"/>
      <c r="E4" s="216"/>
      <c r="F4" s="216"/>
      <c r="G4" s="216"/>
      <c r="H4" s="218"/>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row>
    <row r="5">
      <c r="A5" s="216" t="s">
        <v>129</v>
      </c>
      <c r="B5" s="216"/>
      <c r="C5" s="216"/>
      <c r="D5" s="216"/>
      <c r="E5" s="216"/>
      <c r="F5" s="216"/>
      <c r="G5" s="216"/>
      <c r="H5" s="219"/>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row>
    <row r="6">
      <c r="A6" s="220" t="s">
        <v>130</v>
      </c>
      <c r="B6" s="221"/>
      <c r="C6" s="221"/>
      <c r="D6" s="221"/>
      <c r="E6" s="221"/>
      <c r="F6" s="221"/>
      <c r="G6" s="222"/>
      <c r="H6" s="219"/>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row>
    <row r="7">
      <c r="A7" s="223"/>
      <c r="B7" s="224"/>
      <c r="C7" s="224"/>
      <c r="D7" s="224"/>
      <c r="E7" s="224"/>
      <c r="F7" s="224"/>
      <c r="G7" s="225"/>
      <c r="H7" s="216"/>
      <c r="I7" s="216"/>
      <c r="J7" s="216"/>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row>
    <row r="8">
      <c r="A8" s="220" t="s">
        <v>131</v>
      </c>
      <c r="B8" s="221"/>
      <c r="C8" s="221"/>
      <c r="D8" s="221"/>
      <c r="E8" s="221"/>
      <c r="F8" s="221"/>
      <c r="G8" s="222"/>
      <c r="H8" s="218" t="s">
        <v>132</v>
      </c>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c r="A9" s="223"/>
      <c r="B9" s="224"/>
      <c r="C9" s="224"/>
      <c r="D9" s="224"/>
      <c r="E9" s="224"/>
      <c r="F9" s="224"/>
      <c r="G9" s="225"/>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row>
    <row r="10">
      <c r="A10" s="220" t="s">
        <v>133</v>
      </c>
      <c r="B10" s="221"/>
      <c r="C10" s="221"/>
      <c r="D10" s="221"/>
      <c r="E10" s="221"/>
      <c r="F10" s="221"/>
      <c r="G10" s="222"/>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row>
    <row r="11">
      <c r="A11" s="223"/>
      <c r="B11" s="224"/>
      <c r="C11" s="224"/>
      <c r="D11" s="224"/>
      <c r="E11" s="224"/>
      <c r="F11" s="224"/>
      <c r="G11" s="225"/>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row>
    <row r="12">
      <c r="A12" s="216"/>
      <c r="B12" s="216"/>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row>
    <row r="13">
      <c r="A13" s="220" t="s">
        <v>134</v>
      </c>
      <c r="B13" s="221"/>
      <c r="C13" s="221"/>
      <c r="D13" s="221"/>
      <c r="E13" s="221"/>
      <c r="F13" s="221"/>
      <c r="G13" s="221"/>
      <c r="H13" s="222"/>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row>
    <row r="14">
      <c r="A14" s="226"/>
      <c r="H14" s="227"/>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row>
    <row r="15">
      <c r="A15" s="223"/>
      <c r="B15" s="224"/>
      <c r="C15" s="224"/>
      <c r="D15" s="224"/>
      <c r="E15" s="224"/>
      <c r="F15" s="224"/>
      <c r="G15" s="224"/>
      <c r="H15" s="225"/>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row>
    <row r="16">
      <c r="A16" s="220" t="s">
        <v>135</v>
      </c>
      <c r="B16" s="221"/>
      <c r="C16" s="221"/>
      <c r="D16" s="221"/>
      <c r="E16" s="221"/>
      <c r="F16" s="221"/>
      <c r="G16" s="221"/>
      <c r="H16" s="222"/>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row>
    <row r="17">
      <c r="A17" s="223"/>
      <c r="B17" s="224"/>
      <c r="C17" s="224"/>
      <c r="D17" s="224"/>
      <c r="E17" s="224"/>
      <c r="F17" s="224"/>
      <c r="G17" s="224"/>
      <c r="H17" s="225"/>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row>
    <row r="18">
      <c r="A18" s="216"/>
      <c r="B18" s="216"/>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row>
    <row r="19">
      <c r="A19" s="228" t="s">
        <v>136</v>
      </c>
      <c r="B19" s="228"/>
      <c r="C19" s="228"/>
      <c r="D19" s="228" t="s">
        <v>137</v>
      </c>
      <c r="E19" s="228" t="s">
        <v>138</v>
      </c>
      <c r="F19" s="228"/>
      <c r="G19" s="228" t="s">
        <v>139</v>
      </c>
      <c r="H19" s="228" t="s">
        <v>140</v>
      </c>
      <c r="I19" s="228" t="s">
        <v>141</v>
      </c>
      <c r="J19" s="228" t="s">
        <v>142</v>
      </c>
      <c r="K19" s="228" t="s">
        <v>143</v>
      </c>
      <c r="L19" s="228" t="s">
        <v>144</v>
      </c>
      <c r="M19" s="228" t="s">
        <v>145</v>
      </c>
      <c r="N19" s="228" t="s">
        <v>146</v>
      </c>
      <c r="O19" s="228" t="s">
        <v>147</v>
      </c>
      <c r="P19" s="228"/>
      <c r="Q19" s="228" t="s">
        <v>148</v>
      </c>
      <c r="R19" s="228" t="s">
        <v>149</v>
      </c>
      <c r="S19" s="228" t="s">
        <v>150</v>
      </c>
      <c r="T19" s="228" t="s">
        <v>151</v>
      </c>
      <c r="U19" s="228" t="s">
        <v>152</v>
      </c>
      <c r="V19" s="228"/>
      <c r="W19" s="228" t="s">
        <v>153</v>
      </c>
      <c r="X19" s="228" t="s">
        <v>154</v>
      </c>
      <c r="Y19" s="228" t="s">
        <v>155</v>
      </c>
      <c r="Z19" s="228" t="s">
        <v>156</v>
      </c>
      <c r="AA19" s="228" t="s">
        <v>157</v>
      </c>
      <c r="AB19" s="228" t="s">
        <v>158</v>
      </c>
      <c r="AC19" s="228" t="s">
        <v>159</v>
      </c>
      <c r="AD19" s="228" t="s">
        <v>160</v>
      </c>
      <c r="AE19" s="228" t="s">
        <v>161</v>
      </c>
      <c r="AF19" s="228" t="s">
        <v>162</v>
      </c>
      <c r="AG19" s="228" t="s">
        <v>163</v>
      </c>
      <c r="AH19" s="228"/>
      <c r="AI19" s="228"/>
      <c r="AJ19" s="228" t="s">
        <v>164</v>
      </c>
      <c r="AK19" s="228" t="s">
        <v>165</v>
      </c>
      <c r="AL19" s="228" t="s">
        <v>166</v>
      </c>
      <c r="AM19" s="228"/>
      <c r="AN19" s="228" t="s">
        <v>167</v>
      </c>
      <c r="AO19" s="228" t="s">
        <v>168</v>
      </c>
      <c r="AP19" s="228" t="s">
        <v>169</v>
      </c>
      <c r="AQ19" s="228" t="s">
        <v>170</v>
      </c>
      <c r="AR19" s="228"/>
      <c r="AS19" s="228"/>
      <c r="AT19" s="228" t="s">
        <v>171</v>
      </c>
      <c r="AU19" s="228" t="s">
        <v>172</v>
      </c>
      <c r="AV19" s="228" t="s">
        <v>173</v>
      </c>
      <c r="AW19" s="228" t="s">
        <v>174</v>
      </c>
      <c r="AX19" s="228"/>
      <c r="AY19" s="228"/>
      <c r="AZ19" s="228"/>
      <c r="BA19" s="228"/>
      <c r="BB19" s="228"/>
    </row>
    <row r="20" hidden="1">
      <c r="A20" s="229" t="s">
        <v>175</v>
      </c>
      <c r="C20" s="229" t="s">
        <v>176</v>
      </c>
      <c r="D20" s="229" t="s">
        <v>177</v>
      </c>
      <c r="E20" s="229" t="s">
        <v>178</v>
      </c>
      <c r="G20" s="229" t="s">
        <v>179</v>
      </c>
      <c r="H20" s="229" t="s">
        <v>180</v>
      </c>
      <c r="I20" s="229" t="s">
        <v>181</v>
      </c>
      <c r="J20" s="229" t="s">
        <v>182</v>
      </c>
      <c r="K20" s="229" t="s">
        <v>183</v>
      </c>
      <c r="L20" s="229" t="s">
        <v>184</v>
      </c>
      <c r="M20" s="229" t="s">
        <v>185</v>
      </c>
      <c r="N20" s="229" t="s">
        <v>186</v>
      </c>
      <c r="O20" s="229" t="s">
        <v>187</v>
      </c>
      <c r="Q20" s="229" t="s">
        <v>188</v>
      </c>
      <c r="R20" s="229" t="s">
        <v>189</v>
      </c>
      <c r="S20" s="229" t="s">
        <v>190</v>
      </c>
      <c r="T20" s="229" t="s">
        <v>191</v>
      </c>
      <c r="U20" s="229" t="s">
        <v>192</v>
      </c>
      <c r="W20" s="229" t="s">
        <v>193</v>
      </c>
      <c r="X20" s="229" t="s">
        <v>194</v>
      </c>
      <c r="Y20" s="229" t="s">
        <v>195</v>
      </c>
      <c r="Z20" s="229" t="s">
        <v>196</v>
      </c>
      <c r="AA20" s="229" t="s">
        <v>197</v>
      </c>
      <c r="AB20" s="229" t="s">
        <v>198</v>
      </c>
      <c r="AC20" s="229" t="s">
        <v>199</v>
      </c>
      <c r="AD20" s="229" t="s">
        <v>200</v>
      </c>
      <c r="AE20" s="229" t="s">
        <v>201</v>
      </c>
      <c r="AF20" s="229" t="s">
        <v>202</v>
      </c>
      <c r="AG20" s="229" t="s">
        <v>203</v>
      </c>
      <c r="AJ20" s="229" t="s">
        <v>204</v>
      </c>
      <c r="AK20" s="229" t="s">
        <v>205</v>
      </c>
      <c r="AL20" s="229" t="s">
        <v>206</v>
      </c>
      <c r="AN20" s="229" t="s">
        <v>207</v>
      </c>
      <c r="AO20" s="229" t="s">
        <v>208</v>
      </c>
      <c r="AP20" s="229" t="s">
        <v>209</v>
      </c>
      <c r="AQ20" s="229" t="s">
        <v>210</v>
      </c>
      <c r="AR20" s="229" t="s">
        <v>211</v>
      </c>
      <c r="AS20" s="229" t="s">
        <v>212</v>
      </c>
      <c r="AT20" s="229" t="s">
        <v>213</v>
      </c>
      <c r="AU20" s="229" t="s">
        <v>214</v>
      </c>
      <c r="AV20" s="229" t="s">
        <v>215</v>
      </c>
      <c r="AW20" s="229" t="s">
        <v>216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31.0"/>
    <col customWidth="1" min="2" max="2" width="4.29"/>
    <col customWidth="1" min="3" max="3" width="50.43"/>
    <col customWidth="1" min="4" max="4" width="27.0"/>
    <col customWidth="1" min="5" max="5" width="17.43"/>
    <col customWidth="1" min="6" max="6" width="25.71"/>
    <col customWidth="1" min="7" max="7" width="20.71"/>
    <col customWidth="1" min="8" max="9" width="17.0"/>
    <col customWidth="1" min="10" max="10" width="15.0"/>
    <col customWidth="1" min="11" max="11" width="16.29"/>
    <col customWidth="1" min="12" max="12" width="20.43"/>
    <col customWidth="1" min="13" max="20" width="8.71"/>
    <col customWidth="1" min="21" max="21" width="9.29"/>
    <col customWidth="1" hidden="1" min="22" max="50" width="9.29"/>
  </cols>
  <sheetData>
    <row r="1" ht="33.75" customHeight="1">
      <c r="A1" s="30"/>
      <c r="B1" s="30"/>
      <c r="C1" s="100"/>
      <c r="D1" s="30"/>
      <c r="E1" s="32"/>
      <c r="F1" s="32"/>
      <c r="G1" s="32"/>
      <c r="H1" s="32"/>
      <c r="I1" s="32"/>
      <c r="J1" s="32"/>
      <c r="K1" s="32"/>
      <c r="L1" s="32"/>
      <c r="M1" s="33"/>
      <c r="N1" s="32"/>
      <c r="O1" s="32"/>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row>
    <row r="2" ht="37.5" customHeight="1">
      <c r="A2" s="36"/>
      <c r="B2" s="30"/>
      <c r="C2" s="103"/>
      <c r="D2" s="38"/>
      <c r="E2" s="38"/>
      <c r="F2" s="38"/>
      <c r="G2" s="38"/>
      <c r="H2" s="38"/>
      <c r="I2" s="38"/>
      <c r="J2" s="38"/>
      <c r="K2" s="38"/>
      <c r="L2" s="38"/>
      <c r="M2" s="39"/>
      <c r="N2" s="39"/>
      <c r="O2" s="39"/>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row>
    <row r="3" ht="42.0" customHeight="1">
      <c r="A3" s="30"/>
      <c r="B3" s="30"/>
      <c r="C3" s="30"/>
      <c r="D3" s="30"/>
      <c r="E3" s="30"/>
      <c r="F3" s="30"/>
      <c r="G3" s="30"/>
      <c r="H3" s="30"/>
      <c r="I3" s="30"/>
      <c r="J3" s="30"/>
      <c r="K3" s="30"/>
      <c r="L3" s="30"/>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row>
    <row r="4" ht="27.75" customHeight="1">
      <c r="A4" s="30"/>
      <c r="B4" s="30"/>
      <c r="C4" s="230" t="s">
        <v>217</v>
      </c>
      <c r="L4" s="231"/>
      <c r="M4" s="231"/>
      <c r="N4" s="231"/>
      <c r="O4" s="231"/>
      <c r="P4" s="231"/>
      <c r="Q4" s="231"/>
      <c r="R4" s="231"/>
      <c r="S4" s="231"/>
      <c r="T4" s="231"/>
      <c r="U4" s="231"/>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row>
    <row r="5" ht="18.75" customHeight="1">
      <c r="A5" s="30"/>
      <c r="B5" s="30"/>
      <c r="L5" s="231"/>
      <c r="M5" s="231"/>
      <c r="N5" s="231"/>
      <c r="O5" s="231"/>
      <c r="P5" s="231"/>
      <c r="Q5" s="231"/>
      <c r="R5" s="231"/>
      <c r="S5" s="231"/>
      <c r="T5" s="231"/>
      <c r="U5" s="231"/>
      <c r="V5" s="90" t="s">
        <v>218</v>
      </c>
      <c r="W5" s="90" t="s">
        <v>219</v>
      </c>
      <c r="X5" s="90" t="s">
        <v>220</v>
      </c>
      <c r="Y5" s="90" t="s">
        <v>221</v>
      </c>
      <c r="Z5" s="90" t="s">
        <v>222</v>
      </c>
      <c r="AA5" s="90" t="s">
        <v>223</v>
      </c>
      <c r="AB5" s="90" t="s">
        <v>224</v>
      </c>
      <c r="AC5" s="90" t="s">
        <v>225</v>
      </c>
      <c r="AD5" s="90" t="s">
        <v>226</v>
      </c>
      <c r="AE5" s="90" t="s">
        <v>227</v>
      </c>
      <c r="AF5" s="90" t="s">
        <v>228</v>
      </c>
      <c r="AG5" s="90" t="s">
        <v>229</v>
      </c>
      <c r="AH5" s="90" t="s">
        <v>218</v>
      </c>
      <c r="AI5" s="90" t="s">
        <v>219</v>
      </c>
      <c r="AJ5" s="90" t="s">
        <v>220</v>
      </c>
      <c r="AK5" s="90" t="s">
        <v>221</v>
      </c>
      <c r="AL5" s="90" t="s">
        <v>222</v>
      </c>
      <c r="AM5" s="90" t="s">
        <v>223</v>
      </c>
      <c r="AN5" s="90" t="s">
        <v>224</v>
      </c>
      <c r="AO5" s="90" t="s">
        <v>225</v>
      </c>
      <c r="AP5" s="90" t="s">
        <v>226</v>
      </c>
      <c r="AQ5" s="90" t="s">
        <v>227</v>
      </c>
      <c r="AR5" s="90" t="s">
        <v>228</v>
      </c>
      <c r="AS5" s="90" t="s">
        <v>229</v>
      </c>
      <c r="AT5" s="90" t="s">
        <v>218</v>
      </c>
      <c r="AU5" s="90" t="s">
        <v>219</v>
      </c>
      <c r="AV5" s="90" t="s">
        <v>220</v>
      </c>
      <c r="AW5" s="90" t="s">
        <v>221</v>
      </c>
      <c r="AX5" s="90"/>
    </row>
    <row r="6" ht="30.0" customHeight="1">
      <c r="A6" s="30"/>
      <c r="B6" s="41"/>
      <c r="C6" s="68" t="s">
        <v>230</v>
      </c>
      <c r="D6" s="68" t="s">
        <v>231</v>
      </c>
      <c r="E6" s="68"/>
      <c r="F6" s="68" t="s">
        <v>232</v>
      </c>
      <c r="G6" s="68" t="s">
        <v>233</v>
      </c>
      <c r="H6" s="68" t="s">
        <v>234</v>
      </c>
      <c r="I6" s="68" t="s">
        <v>235</v>
      </c>
      <c r="J6" s="68" t="s">
        <v>236</v>
      </c>
      <c r="K6" s="68" t="s">
        <v>237</v>
      </c>
      <c r="L6" s="232"/>
      <c r="M6" s="232"/>
      <c r="N6" s="232"/>
      <c r="O6" s="232"/>
      <c r="P6" s="232"/>
      <c r="Q6" s="232"/>
      <c r="R6" s="232"/>
      <c r="S6" s="232"/>
      <c r="T6" s="232"/>
      <c r="U6" s="232"/>
      <c r="V6" s="89">
        <v>1.0</v>
      </c>
      <c r="W6" s="89">
        <v>1.0</v>
      </c>
      <c r="X6" s="89">
        <v>1.0</v>
      </c>
      <c r="Y6" s="89">
        <v>1.0</v>
      </c>
      <c r="Z6" s="89">
        <v>2.0</v>
      </c>
      <c r="AA6" s="89">
        <v>2.0</v>
      </c>
      <c r="AB6" s="89">
        <v>2.0</v>
      </c>
      <c r="AC6" s="89">
        <v>2.0</v>
      </c>
      <c r="AD6" s="89">
        <v>2.0</v>
      </c>
      <c r="AE6" s="89">
        <v>2.0</v>
      </c>
      <c r="AF6" s="89">
        <v>2.0</v>
      </c>
      <c r="AG6" s="89">
        <v>2.0</v>
      </c>
      <c r="AH6" s="89">
        <v>2.0</v>
      </c>
      <c r="AI6" s="89">
        <v>2.0</v>
      </c>
      <c r="AJ6" s="89">
        <v>2.0</v>
      </c>
      <c r="AK6" s="89">
        <v>2.0</v>
      </c>
      <c r="AL6" s="89">
        <v>3.0</v>
      </c>
      <c r="AM6" s="89">
        <v>3.0</v>
      </c>
      <c r="AN6" s="89">
        <v>3.0</v>
      </c>
      <c r="AO6" s="89">
        <v>3.0</v>
      </c>
      <c r="AP6" s="89">
        <v>3.0</v>
      </c>
      <c r="AQ6" s="89">
        <v>3.0</v>
      </c>
      <c r="AR6" s="89">
        <v>3.0</v>
      </c>
      <c r="AS6" s="89">
        <v>3.0</v>
      </c>
      <c r="AT6" s="89">
        <v>3.0</v>
      </c>
      <c r="AU6" s="89">
        <v>3.0</v>
      </c>
      <c r="AV6" s="89">
        <v>3.0</v>
      </c>
      <c r="AW6" s="89">
        <v>3.0</v>
      </c>
      <c r="AX6" s="89"/>
    </row>
    <row r="7" ht="30.0" customHeight="1">
      <c r="A7" s="30"/>
      <c r="B7" s="30"/>
      <c r="C7" s="233" t="s">
        <v>238</v>
      </c>
      <c r="D7" s="69" t="s">
        <v>239</v>
      </c>
      <c r="E7" s="69" t="s">
        <v>240</v>
      </c>
      <c r="F7" s="69" t="s">
        <v>241</v>
      </c>
      <c r="G7" s="69" t="s">
        <v>242</v>
      </c>
      <c r="H7" s="49" t="s">
        <v>243</v>
      </c>
      <c r="I7" s="49" t="s">
        <v>244</v>
      </c>
      <c r="J7" s="49" t="s">
        <v>245</v>
      </c>
      <c r="K7" s="69" t="s">
        <v>246</v>
      </c>
      <c r="L7" s="231"/>
      <c r="M7" s="231"/>
      <c r="N7" s="231"/>
      <c r="O7" s="231"/>
      <c r="P7" s="231"/>
      <c r="Q7" s="231"/>
      <c r="R7" s="231"/>
      <c r="S7" s="231"/>
      <c r="T7" s="231"/>
      <c r="U7" s="231"/>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row>
    <row r="8" ht="34.5" customHeight="1">
      <c r="A8" s="30"/>
      <c r="B8" s="30"/>
      <c r="C8" s="234"/>
      <c r="D8" s="235"/>
      <c r="E8" s="236" t="str">
        <f>IF(ISERROR(VLOOKUP(D8,'Matriz SWOT'!$J$5:$K$24,2,FALSE)),"",VLOOKUP(D8,'Matriz SWOT'!$J$5:$K$24,2,FALSE))</f>
        <v/>
      </c>
      <c r="F8" s="237"/>
      <c r="G8" s="238" t="str">
        <f t="shared" ref="G8:G107" si="1">IF(F8=0,"",VLOOKUP(F8,#REF!,2,FALSE))</f>
        <v/>
      </c>
      <c r="H8" s="239">
        <v>44571.0</v>
      </c>
      <c r="I8" s="240"/>
      <c r="J8" s="241"/>
      <c r="K8" s="236"/>
      <c r="L8" s="231"/>
      <c r="M8" s="90" t="str">
        <f t="shared" ref="M8:M57" si="2">#REF!</f>
        <v>#REF!</v>
      </c>
      <c r="N8" s="231"/>
      <c r="O8" s="90">
        <v>1.0</v>
      </c>
      <c r="P8" s="92" t="str">
        <f>VLOOKUP(LARGE('Matriz SWOT'!$I$5:$I$24,$O8),'Matriz SWOT'!$I$5:$J$24,2,FALSE)</f>
        <v/>
      </c>
      <c r="Q8" s="231"/>
      <c r="R8" s="242"/>
      <c r="S8" s="242"/>
      <c r="T8" s="231"/>
      <c r="U8" s="231"/>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row>
    <row r="9" ht="34.5" customHeight="1">
      <c r="A9" s="30"/>
      <c r="B9" s="30"/>
      <c r="C9" s="243"/>
      <c r="D9" s="235"/>
      <c r="E9" s="236" t="str">
        <f>IF(ISERROR(VLOOKUP(D9,'Matriz SWOT'!$J$5:$K$24,2,FALSE)),"",VLOOKUP(D9,'Matriz SWOT'!$J$5:$K$24,2,FALSE))</f>
        <v/>
      </c>
      <c r="F9" s="237"/>
      <c r="G9" s="238" t="str">
        <f t="shared" si="1"/>
        <v/>
      </c>
      <c r="H9" s="239"/>
      <c r="I9" s="240"/>
      <c r="J9" s="241"/>
      <c r="K9" s="236"/>
      <c r="L9" s="231"/>
      <c r="M9" s="90" t="str">
        <f t="shared" si="2"/>
        <v>#REF!</v>
      </c>
      <c r="N9" s="231"/>
      <c r="O9" s="90">
        <v>2.0</v>
      </c>
      <c r="P9" s="92" t="str">
        <f>VLOOKUP(LARGE('Matriz SWOT'!$I$5:$I$24,$O9),'Matriz SWOT'!$I$5:$J$24,2,FALSE)</f>
        <v/>
      </c>
      <c r="Q9" s="231"/>
      <c r="R9" s="231"/>
      <c r="S9" s="231"/>
      <c r="T9" s="231"/>
      <c r="U9" s="231"/>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row>
    <row r="10" ht="34.5" customHeight="1">
      <c r="A10" s="30"/>
      <c r="B10" s="30"/>
      <c r="C10" s="243"/>
      <c r="D10" s="244"/>
      <c r="E10" s="236" t="str">
        <f>IF(ISERROR(VLOOKUP(D10,'Matriz SWOT'!$J$5:$K$24,2,FALSE)),"",VLOOKUP(D10,'Matriz SWOT'!$J$5:$K$24,2,FALSE))</f>
        <v/>
      </c>
      <c r="F10" s="237"/>
      <c r="G10" s="238" t="str">
        <f t="shared" si="1"/>
        <v/>
      </c>
      <c r="H10" s="239"/>
      <c r="I10" s="240"/>
      <c r="J10" s="241"/>
      <c r="K10" s="236"/>
      <c r="L10" s="231"/>
      <c r="M10" s="90" t="str">
        <f t="shared" si="2"/>
        <v>#REF!</v>
      </c>
      <c r="N10" s="231"/>
      <c r="O10" s="90">
        <v>3.0</v>
      </c>
      <c r="P10" s="92" t="str">
        <f>VLOOKUP(LARGE('Matriz SWOT'!$I$5:$I$24,$O10),'Matriz SWOT'!$I$5:$J$24,2,FALSE)</f>
        <v/>
      </c>
      <c r="Q10" s="231"/>
      <c r="R10" s="231"/>
      <c r="S10" s="231"/>
      <c r="T10" s="231"/>
      <c r="U10" s="231"/>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row>
    <row r="11" ht="34.5" customHeight="1">
      <c r="A11" s="30"/>
      <c r="B11" s="30"/>
      <c r="C11" s="243"/>
      <c r="D11" s="244"/>
      <c r="E11" s="236" t="str">
        <f>IF(ISERROR(VLOOKUP(D11,'Matriz SWOT'!$J$5:$K$24,2,FALSE)),"",VLOOKUP(D11,'Matriz SWOT'!$J$5:$K$24,2,FALSE))</f>
        <v/>
      </c>
      <c r="F11" s="237"/>
      <c r="G11" s="238" t="str">
        <f t="shared" si="1"/>
        <v/>
      </c>
      <c r="H11" s="239"/>
      <c r="I11" s="240"/>
      <c r="J11" s="241"/>
      <c r="K11" s="236"/>
      <c r="L11" s="231"/>
      <c r="M11" s="90" t="str">
        <f t="shared" si="2"/>
        <v>#REF!</v>
      </c>
      <c r="N11" s="231"/>
      <c r="O11" s="90">
        <v>4.0</v>
      </c>
      <c r="P11" s="92" t="str">
        <f>VLOOKUP(LARGE('Matriz SWOT'!$I$5:$I$24,$O11),'Matriz SWOT'!$I$5:$J$24,2,FALSE)</f>
        <v/>
      </c>
      <c r="Q11" s="231"/>
      <c r="R11" s="231"/>
      <c r="S11" s="231"/>
      <c r="T11" s="231"/>
      <c r="U11" s="231"/>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row>
    <row r="12" ht="34.5" customHeight="1">
      <c r="A12" s="30"/>
      <c r="B12" s="30"/>
      <c r="C12" s="243"/>
      <c r="D12" s="244"/>
      <c r="E12" s="236" t="str">
        <f>IF(ISERROR(VLOOKUP(D12,'Matriz SWOT'!$J$5:$K$24,2,FALSE)),"",VLOOKUP(D12,'Matriz SWOT'!$J$5:$K$24,2,FALSE))</f>
        <v/>
      </c>
      <c r="F12" s="237"/>
      <c r="G12" s="238" t="str">
        <f t="shared" si="1"/>
        <v/>
      </c>
      <c r="H12" s="239"/>
      <c r="I12" s="240"/>
      <c r="J12" s="241"/>
      <c r="K12" s="236"/>
      <c r="L12" s="231"/>
      <c r="M12" s="90" t="str">
        <f t="shared" si="2"/>
        <v>#REF!</v>
      </c>
      <c r="N12" s="231"/>
      <c r="O12" s="90">
        <v>5.0</v>
      </c>
      <c r="P12" s="92" t="str">
        <f>VLOOKUP(LARGE('Matriz SWOT'!$I$5:$I$24,$O12),'Matriz SWOT'!$I$5:$J$24,2,FALSE)</f>
        <v/>
      </c>
      <c r="Q12" s="231"/>
      <c r="R12" s="231"/>
      <c r="S12" s="231"/>
      <c r="T12" s="231"/>
      <c r="U12" s="231"/>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row>
    <row r="13" ht="34.5" customHeight="1">
      <c r="A13" s="30"/>
      <c r="B13" s="30"/>
      <c r="C13" s="243"/>
      <c r="D13" s="244"/>
      <c r="E13" s="236" t="str">
        <f>IF(ISERROR(VLOOKUP(D13,'Matriz SWOT'!$J$5:$K$24,2,FALSE)),"",VLOOKUP(D13,'Matriz SWOT'!$J$5:$K$24,2,FALSE))</f>
        <v/>
      </c>
      <c r="F13" s="237"/>
      <c r="G13" s="238" t="str">
        <f t="shared" si="1"/>
        <v/>
      </c>
      <c r="H13" s="239"/>
      <c r="I13" s="240"/>
      <c r="J13" s="241"/>
      <c r="K13" s="236"/>
      <c r="L13" s="231"/>
      <c r="M13" s="90" t="str">
        <f t="shared" si="2"/>
        <v>#REF!</v>
      </c>
      <c r="N13" s="231"/>
      <c r="O13" s="90">
        <v>6.0</v>
      </c>
      <c r="P13" s="92" t="str">
        <f>VLOOKUP(LARGE('Matriz SWOT'!$I$5:$I$24,$O13),'Matriz SWOT'!$I$5:$J$24,2,FALSE)</f>
        <v/>
      </c>
      <c r="Q13" s="231"/>
      <c r="R13" s="231"/>
      <c r="S13" s="231"/>
      <c r="T13" s="231"/>
      <c r="U13" s="231"/>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row>
    <row r="14" ht="34.5" customHeight="1">
      <c r="A14" s="59"/>
      <c r="B14" s="30"/>
      <c r="C14" s="243"/>
      <c r="D14" s="244"/>
      <c r="E14" s="236" t="str">
        <f>IF(ISERROR(VLOOKUP(D14,'Matriz SWOT'!$J$5:$K$24,2,FALSE)),"",VLOOKUP(D14,'Matriz SWOT'!$J$5:$K$24,2,FALSE))</f>
        <v/>
      </c>
      <c r="F14" s="237"/>
      <c r="G14" s="238" t="str">
        <f t="shared" si="1"/>
        <v/>
      </c>
      <c r="H14" s="239"/>
      <c r="I14" s="240"/>
      <c r="J14" s="241"/>
      <c r="K14" s="236"/>
      <c r="L14" s="231"/>
      <c r="M14" s="90" t="str">
        <f t="shared" si="2"/>
        <v>#REF!</v>
      </c>
      <c r="N14" s="231"/>
      <c r="O14" s="90">
        <v>7.0</v>
      </c>
      <c r="P14" s="92" t="str">
        <f>VLOOKUP(LARGE('Matriz SWOT'!$I$5:$I$24,$O14),'Matriz SWOT'!$I$5:$J$24,2,FALSE)</f>
        <v/>
      </c>
      <c r="Q14" s="231"/>
      <c r="R14" s="231"/>
      <c r="S14" s="231"/>
      <c r="T14" s="231"/>
      <c r="U14" s="231"/>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row>
    <row r="15" ht="34.5" customHeight="1">
      <c r="A15" s="59"/>
      <c r="B15" s="30"/>
      <c r="C15" s="243"/>
      <c r="D15" s="244"/>
      <c r="E15" s="236" t="str">
        <f>IF(ISERROR(VLOOKUP(D15,'Matriz SWOT'!$J$5:$K$24,2,FALSE)),"",VLOOKUP(D15,'Matriz SWOT'!$J$5:$K$24,2,FALSE))</f>
        <v/>
      </c>
      <c r="F15" s="237"/>
      <c r="G15" s="238" t="str">
        <f t="shared" si="1"/>
        <v/>
      </c>
      <c r="H15" s="239"/>
      <c r="I15" s="240"/>
      <c r="J15" s="241"/>
      <c r="K15" s="236"/>
      <c r="L15" s="231"/>
      <c r="M15" s="90" t="str">
        <f t="shared" si="2"/>
        <v>#REF!</v>
      </c>
      <c r="N15" s="231"/>
      <c r="O15" s="90">
        <v>8.0</v>
      </c>
      <c r="P15" s="92" t="str">
        <f>VLOOKUP(LARGE('Matriz SWOT'!$I$5:$I$24,$O15),'Matriz SWOT'!$I$5:$J$24,2,FALSE)</f>
        <v/>
      </c>
      <c r="Q15" s="231"/>
      <c r="R15" s="231"/>
      <c r="S15" s="231"/>
      <c r="T15" s="231"/>
      <c r="U15" s="231"/>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row>
    <row r="16" ht="34.5" customHeight="1">
      <c r="A16" s="30"/>
      <c r="B16" s="30"/>
      <c r="C16" s="243"/>
      <c r="D16" s="244"/>
      <c r="E16" s="236" t="str">
        <f>IF(ISERROR(VLOOKUP(D16,'Matriz SWOT'!$J$5:$K$24,2,FALSE)),"",VLOOKUP(D16,'Matriz SWOT'!$J$5:$K$24,2,FALSE))</f>
        <v/>
      </c>
      <c r="F16" s="237"/>
      <c r="G16" s="238" t="str">
        <f t="shared" si="1"/>
        <v/>
      </c>
      <c r="H16" s="239"/>
      <c r="I16" s="240"/>
      <c r="J16" s="241"/>
      <c r="K16" s="236"/>
      <c r="L16" s="231"/>
      <c r="M16" s="90" t="str">
        <f t="shared" si="2"/>
        <v>#REF!</v>
      </c>
      <c r="N16" s="231"/>
      <c r="O16" s="90">
        <v>9.0</v>
      </c>
      <c r="P16" s="92" t="str">
        <f>VLOOKUP(LARGE('Matriz SWOT'!$I$5:$I$24,$O16),'Matriz SWOT'!$I$5:$J$24,2,FALSE)</f>
        <v/>
      </c>
      <c r="Q16" s="231"/>
      <c r="R16" s="231"/>
      <c r="S16" s="231"/>
      <c r="T16" s="231"/>
      <c r="U16" s="231"/>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row>
    <row r="17" ht="34.5" customHeight="1">
      <c r="A17" s="30"/>
      <c r="B17" s="30"/>
      <c r="C17" s="243"/>
      <c r="D17" s="244"/>
      <c r="E17" s="236" t="str">
        <f>IF(ISERROR(VLOOKUP(D17,'Matriz SWOT'!$J$5:$K$24,2,FALSE)),"",VLOOKUP(D17,'Matriz SWOT'!$J$5:$K$24,2,FALSE))</f>
        <v/>
      </c>
      <c r="F17" s="237"/>
      <c r="G17" s="238" t="str">
        <f t="shared" si="1"/>
        <v/>
      </c>
      <c r="H17" s="239"/>
      <c r="I17" s="240"/>
      <c r="J17" s="241"/>
      <c r="K17" s="236"/>
      <c r="L17" s="231"/>
      <c r="M17" s="90" t="str">
        <f t="shared" si="2"/>
        <v>#REF!</v>
      </c>
      <c r="N17" s="231"/>
      <c r="O17" s="90">
        <v>10.0</v>
      </c>
      <c r="P17" s="92" t="str">
        <f>VLOOKUP(LARGE('Matriz SWOT'!$I$5:$I$24,$O17),'Matriz SWOT'!$I$5:$J$24,2,FALSE)</f>
        <v/>
      </c>
      <c r="Q17" s="231"/>
      <c r="R17" s="231"/>
      <c r="S17" s="231"/>
      <c r="T17" s="231"/>
      <c r="U17" s="231"/>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row>
    <row r="18" ht="34.5" customHeight="1">
      <c r="A18" s="30"/>
      <c r="B18" s="30"/>
      <c r="C18" s="243"/>
      <c r="D18" s="244"/>
      <c r="E18" s="236" t="str">
        <f>IF(ISERROR(VLOOKUP(D18,'Matriz SWOT'!$J$5:$K$24,2,FALSE)),"",VLOOKUP(D18,'Matriz SWOT'!$J$5:$K$24,2,FALSE))</f>
        <v/>
      </c>
      <c r="F18" s="237"/>
      <c r="G18" s="238" t="str">
        <f t="shared" si="1"/>
        <v/>
      </c>
      <c r="H18" s="239"/>
      <c r="I18" s="240"/>
      <c r="J18" s="241"/>
      <c r="K18" s="236"/>
      <c r="L18" s="231"/>
      <c r="M18" s="90" t="str">
        <f t="shared" si="2"/>
        <v>#REF!</v>
      </c>
      <c r="N18" s="231"/>
      <c r="O18" s="90">
        <v>11.0</v>
      </c>
      <c r="P18" s="92" t="str">
        <f>VLOOKUP(LARGE('Matriz SWOT'!$I$5:$I$24,$O18),'Matriz SWOT'!$I$5:$J$24,2,FALSE)</f>
        <v/>
      </c>
      <c r="Q18" s="231"/>
      <c r="R18" s="231"/>
      <c r="S18" s="231"/>
      <c r="T18" s="231"/>
      <c r="U18" s="231"/>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row>
    <row r="19" ht="34.5" customHeight="1">
      <c r="A19" s="30"/>
      <c r="B19" s="30"/>
      <c r="C19" s="243"/>
      <c r="D19" s="244"/>
      <c r="E19" s="236" t="str">
        <f>IF(ISERROR(VLOOKUP(D19,'Matriz SWOT'!$J$5:$K$24,2,FALSE)),"",VLOOKUP(D19,'Matriz SWOT'!$J$5:$K$24,2,FALSE))</f>
        <v/>
      </c>
      <c r="F19" s="237"/>
      <c r="G19" s="238" t="str">
        <f t="shared" si="1"/>
        <v/>
      </c>
      <c r="H19" s="239"/>
      <c r="I19" s="240"/>
      <c r="J19" s="241"/>
      <c r="K19" s="236"/>
      <c r="L19" s="231"/>
      <c r="M19" s="90" t="str">
        <f t="shared" si="2"/>
        <v>#REF!</v>
      </c>
      <c r="N19" s="231"/>
      <c r="O19" s="90">
        <v>12.0</v>
      </c>
      <c r="P19" s="92" t="str">
        <f>VLOOKUP(LARGE('Matriz SWOT'!$I$5:$I$24,$O19),'Matriz SWOT'!$I$5:$J$24,2,FALSE)</f>
        <v/>
      </c>
      <c r="Q19" s="231"/>
      <c r="R19" s="231"/>
      <c r="S19" s="231"/>
      <c r="T19" s="231"/>
      <c r="U19" s="231"/>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row>
    <row r="20" ht="34.5" customHeight="1">
      <c r="A20" s="30"/>
      <c r="B20" s="30"/>
      <c r="C20" s="243"/>
      <c r="D20" s="244"/>
      <c r="E20" s="236" t="str">
        <f>IF(ISERROR(VLOOKUP(D20,'Matriz SWOT'!$J$5:$K$24,2,FALSE)),"",VLOOKUP(D20,'Matriz SWOT'!$J$5:$K$24,2,FALSE))</f>
        <v/>
      </c>
      <c r="F20" s="237"/>
      <c r="G20" s="238" t="str">
        <f t="shared" si="1"/>
        <v/>
      </c>
      <c r="H20" s="239"/>
      <c r="I20" s="240"/>
      <c r="J20" s="241"/>
      <c r="K20" s="236"/>
      <c r="L20" s="231"/>
      <c r="M20" s="90" t="str">
        <f t="shared" si="2"/>
        <v>#REF!</v>
      </c>
      <c r="N20" s="231"/>
      <c r="O20" s="90">
        <v>13.0</v>
      </c>
      <c r="P20" s="92" t="str">
        <f>VLOOKUP(LARGE('Matriz SWOT'!$I$5:$I$24,$O20),'Matriz SWOT'!$I$5:$J$24,2,FALSE)</f>
        <v/>
      </c>
      <c r="Q20" s="231"/>
      <c r="R20" s="231"/>
      <c r="S20" s="231"/>
      <c r="T20" s="231"/>
      <c r="U20" s="231"/>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row>
    <row r="21" ht="34.5" customHeight="1">
      <c r="A21" s="30"/>
      <c r="B21" s="30"/>
      <c r="C21" s="243"/>
      <c r="D21" s="244"/>
      <c r="E21" s="236" t="str">
        <f>IF(ISERROR(VLOOKUP(D21,'Matriz SWOT'!$J$5:$K$24,2,FALSE)),"",VLOOKUP(D21,'Matriz SWOT'!$J$5:$K$24,2,FALSE))</f>
        <v/>
      </c>
      <c r="F21" s="237"/>
      <c r="G21" s="238" t="str">
        <f t="shared" si="1"/>
        <v/>
      </c>
      <c r="H21" s="239"/>
      <c r="I21" s="240"/>
      <c r="J21" s="241"/>
      <c r="K21" s="236"/>
      <c r="L21" s="231"/>
      <c r="M21" s="90" t="str">
        <f t="shared" si="2"/>
        <v>#REF!</v>
      </c>
      <c r="N21" s="231"/>
      <c r="O21" s="90">
        <v>14.0</v>
      </c>
      <c r="P21" s="92" t="str">
        <f>VLOOKUP(LARGE('Matriz SWOT'!$I$5:$I$24,$O21),'Matriz SWOT'!$I$5:$J$24,2,FALSE)</f>
        <v/>
      </c>
      <c r="Q21" s="231"/>
      <c r="R21" s="231"/>
      <c r="S21" s="231"/>
      <c r="T21" s="231"/>
      <c r="U21" s="231"/>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row>
    <row r="22" ht="34.5" customHeight="1">
      <c r="A22" s="30"/>
      <c r="B22" s="30"/>
      <c r="C22" s="243"/>
      <c r="D22" s="244"/>
      <c r="E22" s="236" t="str">
        <f>IF(ISERROR(VLOOKUP(D22,'Matriz SWOT'!$J$5:$K$24,2,FALSE)),"",VLOOKUP(D22,'Matriz SWOT'!$J$5:$K$24,2,FALSE))</f>
        <v/>
      </c>
      <c r="F22" s="237"/>
      <c r="G22" s="238" t="str">
        <f t="shared" si="1"/>
        <v/>
      </c>
      <c r="H22" s="239"/>
      <c r="I22" s="240"/>
      <c r="J22" s="241"/>
      <c r="K22" s="236"/>
      <c r="L22" s="231"/>
      <c r="M22" s="90" t="str">
        <f t="shared" si="2"/>
        <v>#REF!</v>
      </c>
      <c r="N22" s="231"/>
      <c r="O22" s="90">
        <v>15.0</v>
      </c>
      <c r="P22" s="92" t="str">
        <f>VLOOKUP(LARGE('Matriz SWOT'!$I$5:$I$24,$O22),'Matriz SWOT'!$I$5:$J$24,2,FALSE)</f>
        <v/>
      </c>
      <c r="Q22" s="231"/>
      <c r="R22" s="231"/>
      <c r="S22" s="231"/>
      <c r="T22" s="231"/>
      <c r="U22" s="231"/>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row>
    <row r="23" ht="34.5" customHeight="1">
      <c r="A23" s="59"/>
      <c r="B23" s="30"/>
      <c r="C23" s="243"/>
      <c r="D23" s="244"/>
      <c r="E23" s="236" t="str">
        <f>IF(ISERROR(VLOOKUP(D23,'Matriz SWOT'!$J$5:$K$24,2,FALSE)),"",VLOOKUP(D23,'Matriz SWOT'!$J$5:$K$24,2,FALSE))</f>
        <v/>
      </c>
      <c r="F23" s="237"/>
      <c r="G23" s="238" t="str">
        <f t="shared" si="1"/>
        <v/>
      </c>
      <c r="H23" s="239"/>
      <c r="I23" s="240"/>
      <c r="J23" s="241"/>
      <c r="K23" s="236"/>
      <c r="L23" s="231"/>
      <c r="M23" s="90" t="str">
        <f t="shared" si="2"/>
        <v>#REF!</v>
      </c>
      <c r="N23" s="231"/>
      <c r="O23" s="90">
        <v>16.0</v>
      </c>
      <c r="P23" s="92" t="str">
        <f>VLOOKUP(LARGE('Matriz SWOT'!$I$5:$I$24,$O23),'Matriz SWOT'!$I$5:$J$24,2,FALSE)</f>
        <v/>
      </c>
      <c r="Q23" s="231"/>
      <c r="R23" s="231"/>
      <c r="S23" s="231"/>
      <c r="T23" s="231"/>
      <c r="U23" s="231"/>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row>
    <row r="24" ht="34.5" customHeight="1">
      <c r="A24" s="59"/>
      <c r="B24" s="30"/>
      <c r="C24" s="243"/>
      <c r="D24" s="244"/>
      <c r="E24" s="236" t="str">
        <f>IF(ISERROR(VLOOKUP(D24,'Matriz SWOT'!$J$5:$K$24,2,FALSE)),"",VLOOKUP(D24,'Matriz SWOT'!$J$5:$K$24,2,FALSE))</f>
        <v/>
      </c>
      <c r="F24" s="237"/>
      <c r="G24" s="238" t="str">
        <f t="shared" si="1"/>
        <v/>
      </c>
      <c r="H24" s="239"/>
      <c r="I24" s="240"/>
      <c r="J24" s="241"/>
      <c r="K24" s="236"/>
      <c r="L24" s="231"/>
      <c r="M24" s="90" t="str">
        <f t="shared" si="2"/>
        <v>#REF!</v>
      </c>
      <c r="N24" s="231"/>
      <c r="O24" s="90">
        <v>17.0</v>
      </c>
      <c r="P24" s="92" t="str">
        <f>VLOOKUP(LARGE('Matriz SWOT'!$I$5:$I$24,$O24),'Matriz SWOT'!$I$5:$J$24,2,FALSE)</f>
        <v/>
      </c>
      <c r="Q24" s="231"/>
      <c r="R24" s="231"/>
      <c r="S24" s="231"/>
      <c r="T24" s="231"/>
      <c r="U24" s="231"/>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row>
    <row r="25" ht="34.5" customHeight="1">
      <c r="A25" s="30"/>
      <c r="B25" s="30"/>
      <c r="C25" s="243"/>
      <c r="D25" s="244"/>
      <c r="E25" s="236" t="str">
        <f>IF(ISERROR(VLOOKUP(D25,'Matriz SWOT'!$J$5:$K$24,2,FALSE)),"",VLOOKUP(D25,'Matriz SWOT'!$J$5:$K$24,2,FALSE))</f>
        <v/>
      </c>
      <c r="F25" s="237"/>
      <c r="G25" s="238" t="str">
        <f t="shared" si="1"/>
        <v/>
      </c>
      <c r="H25" s="239"/>
      <c r="I25" s="240"/>
      <c r="J25" s="241"/>
      <c r="K25" s="236"/>
      <c r="L25" s="231"/>
      <c r="M25" s="90" t="str">
        <f t="shared" si="2"/>
        <v>#REF!</v>
      </c>
      <c r="N25" s="231"/>
      <c r="O25" s="90">
        <v>18.0</v>
      </c>
      <c r="P25" s="92" t="str">
        <f>VLOOKUP(LARGE('Matriz SWOT'!$I$5:$I$24,$O25),'Matriz SWOT'!$I$5:$J$24,2,FALSE)</f>
        <v/>
      </c>
      <c r="Q25" s="231"/>
      <c r="R25" s="231"/>
      <c r="S25" s="231"/>
      <c r="T25" s="231"/>
      <c r="U25" s="231"/>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row>
    <row r="26" ht="34.5" customHeight="1">
      <c r="A26" s="30"/>
      <c r="B26" s="30"/>
      <c r="C26" s="243"/>
      <c r="D26" s="244"/>
      <c r="E26" s="236" t="str">
        <f>IF(ISERROR(VLOOKUP(D26,'Matriz SWOT'!$J$5:$K$24,2,FALSE)),"",VLOOKUP(D26,'Matriz SWOT'!$J$5:$K$24,2,FALSE))</f>
        <v/>
      </c>
      <c r="F26" s="237"/>
      <c r="G26" s="238" t="str">
        <f t="shared" si="1"/>
        <v/>
      </c>
      <c r="H26" s="239"/>
      <c r="I26" s="240"/>
      <c r="J26" s="241"/>
      <c r="K26" s="236"/>
      <c r="L26" s="231"/>
      <c r="M26" s="90" t="str">
        <f t="shared" si="2"/>
        <v>#REF!</v>
      </c>
      <c r="N26" s="231"/>
      <c r="O26" s="90">
        <v>19.0</v>
      </c>
      <c r="P26" s="92" t="str">
        <f>VLOOKUP(LARGE('Matriz SWOT'!$I$5:$I$24,$O26),'Matriz SWOT'!$I$5:$J$24,2,FALSE)</f>
        <v/>
      </c>
      <c r="Q26" s="231"/>
      <c r="R26" s="231"/>
      <c r="S26" s="231"/>
      <c r="T26" s="231"/>
      <c r="U26" s="231"/>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row>
    <row r="27" ht="34.5" customHeight="1">
      <c r="A27" s="30"/>
      <c r="B27" s="30"/>
      <c r="C27" s="243"/>
      <c r="D27" s="244"/>
      <c r="E27" s="236" t="str">
        <f>IF(ISERROR(VLOOKUP(D27,'Matriz SWOT'!$J$5:$K$24,2,FALSE)),"",VLOOKUP(D27,'Matriz SWOT'!$J$5:$K$24,2,FALSE))</f>
        <v/>
      </c>
      <c r="F27" s="237"/>
      <c r="G27" s="238" t="str">
        <f t="shared" si="1"/>
        <v/>
      </c>
      <c r="H27" s="239"/>
      <c r="I27" s="240"/>
      <c r="J27" s="241"/>
      <c r="K27" s="236"/>
      <c r="L27" s="231"/>
      <c r="M27" s="90" t="str">
        <f t="shared" si="2"/>
        <v>#REF!</v>
      </c>
      <c r="N27" s="231"/>
      <c r="O27" s="90">
        <v>20.0</v>
      </c>
      <c r="P27" s="92" t="str">
        <f>VLOOKUP(LARGE('Matriz SWOT'!$I$5:$I$24,$O27),'Matriz SWOT'!$I$5:$J$24,2,FALSE)</f>
        <v/>
      </c>
      <c r="Q27" s="231"/>
      <c r="R27" s="231"/>
      <c r="S27" s="231"/>
      <c r="T27" s="231"/>
      <c r="U27" s="231"/>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row>
    <row r="28" ht="34.5" customHeight="1">
      <c r="A28" s="30"/>
      <c r="B28" s="30"/>
      <c r="C28" s="243"/>
      <c r="D28" s="244"/>
      <c r="E28" s="236" t="str">
        <f>IF(ISERROR(VLOOKUP(D28,'Matriz SWOT'!$J$5:$K$24,2,FALSE)),"",VLOOKUP(D28,'Matriz SWOT'!$J$5:$K$24,2,FALSE))</f>
        <v/>
      </c>
      <c r="F28" s="237"/>
      <c r="G28" s="238" t="str">
        <f t="shared" si="1"/>
        <v/>
      </c>
      <c r="H28" s="239"/>
      <c r="I28" s="240"/>
      <c r="J28" s="241"/>
      <c r="K28" s="236"/>
      <c r="L28" s="231"/>
      <c r="M28" s="90" t="str">
        <f t="shared" si="2"/>
        <v>#REF!</v>
      </c>
      <c r="N28" s="231"/>
      <c r="O28" s="231"/>
      <c r="P28" s="242"/>
      <c r="Q28" s="231"/>
      <c r="R28" s="231"/>
      <c r="S28" s="231"/>
      <c r="T28" s="231"/>
      <c r="U28" s="231"/>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row>
    <row r="29" ht="34.5" customHeight="1">
      <c r="A29" s="30"/>
      <c r="B29" s="30"/>
      <c r="C29" s="243"/>
      <c r="D29" s="244"/>
      <c r="E29" s="236" t="str">
        <f>IF(ISERROR(VLOOKUP(D29,'Matriz SWOT'!$J$5:$K$24,2,FALSE)),"",VLOOKUP(D29,'Matriz SWOT'!$J$5:$K$24,2,FALSE))</f>
        <v/>
      </c>
      <c r="F29" s="237"/>
      <c r="G29" s="238" t="str">
        <f t="shared" si="1"/>
        <v/>
      </c>
      <c r="H29" s="239"/>
      <c r="I29" s="240"/>
      <c r="J29" s="241"/>
      <c r="K29" s="236"/>
      <c r="L29" s="231"/>
      <c r="M29" s="90" t="str">
        <f t="shared" si="2"/>
        <v>#REF!</v>
      </c>
      <c r="N29" s="231"/>
      <c r="O29" s="231"/>
      <c r="P29" s="242"/>
      <c r="Q29" s="231"/>
      <c r="R29" s="231"/>
      <c r="S29" s="231"/>
      <c r="T29" s="231"/>
      <c r="U29" s="231"/>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row>
    <row r="30" ht="34.5" customHeight="1">
      <c r="A30" s="30"/>
      <c r="B30" s="30"/>
      <c r="C30" s="243"/>
      <c r="D30" s="244"/>
      <c r="E30" s="236" t="str">
        <f>IF(ISERROR(VLOOKUP(D30,'Matriz SWOT'!$J$5:$K$24,2,FALSE)),"",VLOOKUP(D30,'Matriz SWOT'!$J$5:$K$24,2,FALSE))</f>
        <v/>
      </c>
      <c r="F30" s="237"/>
      <c r="G30" s="238" t="str">
        <f t="shared" si="1"/>
        <v/>
      </c>
      <c r="H30" s="239"/>
      <c r="I30" s="240"/>
      <c r="J30" s="241"/>
      <c r="K30" s="236"/>
      <c r="L30" s="231"/>
      <c r="M30" s="90" t="str">
        <f t="shared" si="2"/>
        <v>#REF!</v>
      </c>
      <c r="N30" s="231"/>
      <c r="O30" s="231"/>
      <c r="P30" s="242"/>
      <c r="Q30" s="231"/>
      <c r="R30" s="231"/>
      <c r="S30" s="231"/>
      <c r="T30" s="231"/>
      <c r="U30" s="231"/>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row>
    <row r="31" ht="34.5" customHeight="1">
      <c r="A31" s="30"/>
      <c r="B31" s="30"/>
      <c r="C31" s="243"/>
      <c r="D31" s="244"/>
      <c r="E31" s="236" t="str">
        <f>IF(ISERROR(VLOOKUP(D31,'Matriz SWOT'!$J$5:$K$24,2,FALSE)),"",VLOOKUP(D31,'Matriz SWOT'!$J$5:$K$24,2,FALSE))</f>
        <v/>
      </c>
      <c r="F31" s="237"/>
      <c r="G31" s="238" t="str">
        <f t="shared" si="1"/>
        <v/>
      </c>
      <c r="H31" s="239"/>
      <c r="I31" s="240"/>
      <c r="J31" s="241"/>
      <c r="K31" s="236"/>
      <c r="L31" s="231"/>
      <c r="M31" s="90" t="str">
        <f t="shared" si="2"/>
        <v>#REF!</v>
      </c>
      <c r="N31" s="231"/>
      <c r="O31" s="231"/>
      <c r="P31" s="242"/>
      <c r="Q31" s="231"/>
      <c r="R31" s="231"/>
      <c r="S31" s="231"/>
      <c r="T31" s="231"/>
      <c r="U31" s="231"/>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row>
    <row r="32" ht="34.5" customHeight="1">
      <c r="A32" s="30"/>
      <c r="B32" s="30"/>
      <c r="C32" s="243"/>
      <c r="D32" s="244"/>
      <c r="E32" s="236" t="str">
        <f>IF(ISERROR(VLOOKUP(D32,'Matriz SWOT'!$J$5:$K$24,2,FALSE)),"",VLOOKUP(D32,'Matriz SWOT'!$J$5:$K$24,2,FALSE))</f>
        <v/>
      </c>
      <c r="F32" s="237"/>
      <c r="G32" s="238" t="str">
        <f t="shared" si="1"/>
        <v/>
      </c>
      <c r="H32" s="239"/>
      <c r="I32" s="240"/>
      <c r="J32" s="241"/>
      <c r="K32" s="236"/>
      <c r="L32" s="231"/>
      <c r="M32" s="90" t="str">
        <f t="shared" si="2"/>
        <v>#REF!</v>
      </c>
      <c r="N32" s="231"/>
      <c r="O32" s="231"/>
      <c r="P32" s="242"/>
      <c r="Q32" s="231"/>
      <c r="R32" s="231"/>
      <c r="S32" s="231"/>
      <c r="T32" s="231"/>
      <c r="U32" s="231"/>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row>
    <row r="33" ht="34.5" customHeight="1">
      <c r="A33" s="30"/>
      <c r="B33" s="30"/>
      <c r="C33" s="243"/>
      <c r="D33" s="244"/>
      <c r="E33" s="236" t="str">
        <f>IF(ISERROR(VLOOKUP(D33,'Matriz SWOT'!$J$5:$K$24,2,FALSE)),"",VLOOKUP(D33,'Matriz SWOT'!$J$5:$K$24,2,FALSE))</f>
        <v/>
      </c>
      <c r="F33" s="237"/>
      <c r="G33" s="238" t="str">
        <f t="shared" si="1"/>
        <v/>
      </c>
      <c r="H33" s="239"/>
      <c r="I33" s="240"/>
      <c r="J33" s="241"/>
      <c r="K33" s="236"/>
      <c r="L33" s="231"/>
      <c r="M33" s="90" t="str">
        <f t="shared" si="2"/>
        <v>#REF!</v>
      </c>
      <c r="N33" s="231"/>
      <c r="O33" s="231"/>
      <c r="P33" s="242"/>
      <c r="Q33" s="231"/>
      <c r="R33" s="231"/>
      <c r="S33" s="231"/>
      <c r="T33" s="231"/>
      <c r="U33" s="231"/>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row>
    <row r="34" ht="34.5" customHeight="1">
      <c r="A34" s="30"/>
      <c r="B34" s="30"/>
      <c r="C34" s="243"/>
      <c r="D34" s="244"/>
      <c r="E34" s="236" t="str">
        <f>IF(ISERROR(VLOOKUP(D34,'Matriz SWOT'!$J$5:$K$24,2,FALSE)),"",VLOOKUP(D34,'Matriz SWOT'!$J$5:$K$24,2,FALSE))</f>
        <v/>
      </c>
      <c r="F34" s="237"/>
      <c r="G34" s="238" t="str">
        <f t="shared" si="1"/>
        <v/>
      </c>
      <c r="H34" s="239"/>
      <c r="I34" s="240"/>
      <c r="J34" s="241"/>
      <c r="K34" s="236"/>
      <c r="L34" s="231"/>
      <c r="M34" s="90" t="str">
        <f t="shared" si="2"/>
        <v>#REF!</v>
      </c>
      <c r="N34" s="231"/>
      <c r="O34" s="231"/>
      <c r="P34" s="242"/>
      <c r="Q34" s="231"/>
      <c r="R34" s="231"/>
      <c r="S34" s="231"/>
      <c r="T34" s="231"/>
      <c r="U34" s="231"/>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row>
    <row r="35" ht="34.5" customHeight="1">
      <c r="A35" s="30"/>
      <c r="B35" s="30"/>
      <c r="C35" s="243"/>
      <c r="D35" s="244"/>
      <c r="E35" s="236" t="str">
        <f>IF(ISERROR(VLOOKUP(D35,'Matriz SWOT'!$J$5:$K$24,2,FALSE)),"",VLOOKUP(D35,'Matriz SWOT'!$J$5:$K$24,2,FALSE))</f>
        <v/>
      </c>
      <c r="F35" s="237"/>
      <c r="G35" s="238" t="str">
        <f t="shared" si="1"/>
        <v/>
      </c>
      <c r="H35" s="239"/>
      <c r="I35" s="240"/>
      <c r="J35" s="241"/>
      <c r="K35" s="236"/>
      <c r="L35" s="231"/>
      <c r="M35" s="90" t="str">
        <f t="shared" si="2"/>
        <v>#REF!</v>
      </c>
      <c r="N35" s="231"/>
      <c r="O35" s="231"/>
      <c r="P35" s="242"/>
      <c r="Q35" s="231"/>
      <c r="R35" s="231"/>
      <c r="S35" s="231"/>
      <c r="T35" s="231"/>
      <c r="U35" s="231"/>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row>
    <row r="36" ht="34.5" customHeight="1">
      <c r="A36" s="30"/>
      <c r="B36" s="30"/>
      <c r="C36" s="243"/>
      <c r="D36" s="244"/>
      <c r="E36" s="236" t="str">
        <f>IF(ISERROR(VLOOKUP(D36,'Matriz SWOT'!$J$5:$K$24,2,FALSE)),"",VLOOKUP(D36,'Matriz SWOT'!$J$5:$K$24,2,FALSE))</f>
        <v/>
      </c>
      <c r="F36" s="237"/>
      <c r="G36" s="238" t="str">
        <f t="shared" si="1"/>
        <v/>
      </c>
      <c r="H36" s="239"/>
      <c r="I36" s="240"/>
      <c r="J36" s="241"/>
      <c r="K36" s="236"/>
      <c r="L36" s="231"/>
      <c r="M36" s="90" t="str">
        <f t="shared" si="2"/>
        <v>#REF!</v>
      </c>
      <c r="N36" s="231"/>
      <c r="O36" s="231"/>
      <c r="P36" s="242"/>
      <c r="Q36" s="231"/>
      <c r="R36" s="231"/>
      <c r="S36" s="231"/>
      <c r="T36" s="231"/>
      <c r="U36" s="231"/>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row>
    <row r="37" ht="34.5" customHeight="1">
      <c r="A37" s="30"/>
      <c r="B37" s="30"/>
      <c r="C37" s="243"/>
      <c r="D37" s="244"/>
      <c r="E37" s="236" t="str">
        <f>IF(ISERROR(VLOOKUP(D37,'Matriz SWOT'!$J$5:$K$24,2,FALSE)),"",VLOOKUP(D37,'Matriz SWOT'!$J$5:$K$24,2,FALSE))</f>
        <v/>
      </c>
      <c r="F37" s="237"/>
      <c r="G37" s="238" t="str">
        <f t="shared" si="1"/>
        <v/>
      </c>
      <c r="H37" s="239"/>
      <c r="I37" s="240"/>
      <c r="J37" s="241"/>
      <c r="K37" s="236"/>
      <c r="L37" s="231"/>
      <c r="M37" s="90" t="str">
        <f t="shared" si="2"/>
        <v>#REF!</v>
      </c>
      <c r="N37" s="231"/>
      <c r="O37" s="231"/>
      <c r="P37" s="242"/>
      <c r="Q37" s="231"/>
      <c r="R37" s="231"/>
      <c r="S37" s="231"/>
      <c r="T37" s="231"/>
      <c r="U37" s="231"/>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row>
    <row r="38" ht="34.5" customHeight="1">
      <c r="A38" s="30"/>
      <c r="B38" s="30"/>
      <c r="C38" s="243"/>
      <c r="D38" s="244"/>
      <c r="E38" s="236" t="str">
        <f>IF(ISERROR(VLOOKUP(D38,'Matriz SWOT'!$J$5:$K$24,2,FALSE)),"",VLOOKUP(D38,'Matriz SWOT'!$J$5:$K$24,2,FALSE))</f>
        <v/>
      </c>
      <c r="F38" s="237"/>
      <c r="G38" s="238" t="str">
        <f t="shared" si="1"/>
        <v/>
      </c>
      <c r="H38" s="239"/>
      <c r="I38" s="240"/>
      <c r="J38" s="241"/>
      <c r="K38" s="236"/>
      <c r="L38" s="231"/>
      <c r="M38" s="90" t="str">
        <f t="shared" si="2"/>
        <v>#REF!</v>
      </c>
      <c r="N38" s="231"/>
      <c r="O38" s="231"/>
      <c r="P38" s="242"/>
      <c r="Q38" s="231"/>
      <c r="R38" s="231"/>
      <c r="S38" s="231"/>
      <c r="T38" s="231"/>
      <c r="U38" s="231"/>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row>
    <row r="39" ht="34.5" customHeight="1">
      <c r="A39" s="30"/>
      <c r="B39" s="30"/>
      <c r="C39" s="243"/>
      <c r="D39" s="244"/>
      <c r="E39" s="236" t="str">
        <f>IF(ISERROR(VLOOKUP(D39,'Matriz SWOT'!$J$5:$K$24,2,FALSE)),"",VLOOKUP(D39,'Matriz SWOT'!$J$5:$K$24,2,FALSE))</f>
        <v/>
      </c>
      <c r="F39" s="237"/>
      <c r="G39" s="238" t="str">
        <f t="shared" si="1"/>
        <v/>
      </c>
      <c r="H39" s="239"/>
      <c r="I39" s="240"/>
      <c r="J39" s="241"/>
      <c r="K39" s="236"/>
      <c r="L39" s="231"/>
      <c r="M39" s="90" t="str">
        <f t="shared" si="2"/>
        <v>#REF!</v>
      </c>
      <c r="N39" s="231"/>
      <c r="O39" s="231"/>
      <c r="P39" s="242"/>
      <c r="Q39" s="231"/>
      <c r="R39" s="231"/>
      <c r="S39" s="231"/>
      <c r="T39" s="231"/>
      <c r="U39" s="231"/>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row>
    <row r="40" ht="34.5" customHeight="1">
      <c r="A40" s="30"/>
      <c r="B40" s="30"/>
      <c r="C40" s="243"/>
      <c r="D40" s="244"/>
      <c r="E40" s="236" t="str">
        <f>IF(ISERROR(VLOOKUP(D40,'Matriz SWOT'!$J$5:$K$24,2,FALSE)),"",VLOOKUP(D40,'Matriz SWOT'!$J$5:$K$24,2,FALSE))</f>
        <v/>
      </c>
      <c r="F40" s="237"/>
      <c r="G40" s="238" t="str">
        <f t="shared" si="1"/>
        <v/>
      </c>
      <c r="H40" s="239"/>
      <c r="I40" s="240"/>
      <c r="J40" s="241"/>
      <c r="K40" s="236"/>
      <c r="L40" s="231"/>
      <c r="M40" s="90" t="str">
        <f t="shared" si="2"/>
        <v>#REF!</v>
      </c>
      <c r="N40" s="231"/>
      <c r="O40" s="231"/>
      <c r="P40" s="242"/>
      <c r="Q40" s="231"/>
      <c r="R40" s="231"/>
      <c r="S40" s="231"/>
      <c r="T40" s="231"/>
      <c r="U40" s="231"/>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row>
    <row r="41" ht="34.5" customHeight="1">
      <c r="A41" s="30"/>
      <c r="B41" s="30"/>
      <c r="C41" s="243"/>
      <c r="D41" s="244"/>
      <c r="E41" s="236" t="str">
        <f>IF(ISERROR(VLOOKUP(D41,'Matriz SWOT'!$J$5:$K$24,2,FALSE)),"",VLOOKUP(D41,'Matriz SWOT'!$J$5:$K$24,2,FALSE))</f>
        <v/>
      </c>
      <c r="F41" s="237"/>
      <c r="G41" s="238" t="str">
        <f t="shared" si="1"/>
        <v/>
      </c>
      <c r="H41" s="239"/>
      <c r="I41" s="240"/>
      <c r="J41" s="241"/>
      <c r="K41" s="236"/>
      <c r="L41" s="231"/>
      <c r="M41" s="90" t="str">
        <f t="shared" si="2"/>
        <v>#REF!</v>
      </c>
      <c r="N41" s="231"/>
      <c r="O41" s="231"/>
      <c r="P41" s="242"/>
      <c r="Q41" s="231"/>
      <c r="R41" s="231"/>
      <c r="S41" s="231"/>
      <c r="T41" s="231"/>
      <c r="U41" s="231"/>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row>
    <row r="42" ht="34.5" customHeight="1">
      <c r="A42" s="30"/>
      <c r="B42" s="30"/>
      <c r="C42" s="243"/>
      <c r="D42" s="244"/>
      <c r="E42" s="236" t="str">
        <f>IF(ISERROR(VLOOKUP(D42,'Matriz SWOT'!$J$5:$K$24,2,FALSE)),"",VLOOKUP(D42,'Matriz SWOT'!$J$5:$K$24,2,FALSE))</f>
        <v/>
      </c>
      <c r="F42" s="237"/>
      <c r="G42" s="238" t="str">
        <f t="shared" si="1"/>
        <v/>
      </c>
      <c r="H42" s="239"/>
      <c r="I42" s="240"/>
      <c r="J42" s="241"/>
      <c r="K42" s="236"/>
      <c r="L42" s="231"/>
      <c r="M42" s="90" t="str">
        <f t="shared" si="2"/>
        <v>#REF!</v>
      </c>
      <c r="N42" s="231"/>
      <c r="O42" s="231"/>
      <c r="P42" s="242"/>
      <c r="Q42" s="231"/>
      <c r="R42" s="231"/>
      <c r="S42" s="231"/>
      <c r="T42" s="231"/>
      <c r="U42" s="231"/>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row>
    <row r="43" ht="34.5" customHeight="1">
      <c r="A43" s="30"/>
      <c r="B43" s="30"/>
      <c r="C43" s="243"/>
      <c r="D43" s="244"/>
      <c r="E43" s="236" t="str">
        <f>IF(ISERROR(VLOOKUP(D43,'Matriz SWOT'!$J$5:$K$24,2,FALSE)),"",VLOOKUP(D43,'Matriz SWOT'!$J$5:$K$24,2,FALSE))</f>
        <v/>
      </c>
      <c r="F43" s="237"/>
      <c r="G43" s="238" t="str">
        <f t="shared" si="1"/>
        <v/>
      </c>
      <c r="H43" s="239"/>
      <c r="I43" s="240"/>
      <c r="J43" s="241"/>
      <c r="K43" s="236"/>
      <c r="L43" s="231"/>
      <c r="M43" s="90" t="str">
        <f t="shared" si="2"/>
        <v>#REF!</v>
      </c>
      <c r="N43" s="231"/>
      <c r="O43" s="231"/>
      <c r="P43" s="242"/>
      <c r="Q43" s="231"/>
      <c r="R43" s="231"/>
      <c r="S43" s="231"/>
      <c r="T43" s="231"/>
      <c r="U43" s="231"/>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row>
    <row r="44" ht="34.5" customHeight="1">
      <c r="A44" s="30"/>
      <c r="B44" s="30"/>
      <c r="C44" s="243"/>
      <c r="D44" s="244"/>
      <c r="E44" s="236" t="str">
        <f>IF(ISERROR(VLOOKUP(D44,'Matriz SWOT'!$J$5:$K$24,2,FALSE)),"",VLOOKUP(D44,'Matriz SWOT'!$J$5:$K$24,2,FALSE))</f>
        <v/>
      </c>
      <c r="F44" s="237"/>
      <c r="G44" s="238" t="str">
        <f t="shared" si="1"/>
        <v/>
      </c>
      <c r="H44" s="239"/>
      <c r="I44" s="240"/>
      <c r="J44" s="241"/>
      <c r="K44" s="236"/>
      <c r="L44" s="231"/>
      <c r="M44" s="90" t="str">
        <f t="shared" si="2"/>
        <v>#REF!</v>
      </c>
      <c r="N44" s="231"/>
      <c r="O44" s="231"/>
      <c r="P44" s="242"/>
      <c r="Q44" s="231"/>
      <c r="R44" s="231"/>
      <c r="S44" s="231"/>
      <c r="T44" s="231"/>
      <c r="U44" s="231"/>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row>
    <row r="45" ht="34.5" customHeight="1">
      <c r="A45" s="30"/>
      <c r="B45" s="30"/>
      <c r="C45" s="243"/>
      <c r="D45" s="244"/>
      <c r="E45" s="236" t="str">
        <f>IF(ISERROR(VLOOKUP(D45,'Matriz SWOT'!$J$5:$K$24,2,FALSE)),"",VLOOKUP(D45,'Matriz SWOT'!$J$5:$K$24,2,FALSE))</f>
        <v/>
      </c>
      <c r="F45" s="237"/>
      <c r="G45" s="238" t="str">
        <f t="shared" si="1"/>
        <v/>
      </c>
      <c r="H45" s="239"/>
      <c r="I45" s="240"/>
      <c r="J45" s="241"/>
      <c r="K45" s="236"/>
      <c r="L45" s="231"/>
      <c r="M45" s="90" t="str">
        <f t="shared" si="2"/>
        <v>#REF!</v>
      </c>
      <c r="N45" s="231"/>
      <c r="O45" s="231"/>
      <c r="P45" s="242"/>
      <c r="Q45" s="231"/>
      <c r="R45" s="231"/>
      <c r="S45" s="231"/>
      <c r="T45" s="231"/>
      <c r="U45" s="231"/>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row>
    <row r="46" ht="34.5" customHeight="1">
      <c r="A46" s="30"/>
      <c r="B46" s="30"/>
      <c r="C46" s="243"/>
      <c r="D46" s="244"/>
      <c r="E46" s="236" t="str">
        <f>IF(ISERROR(VLOOKUP(D46,'Matriz SWOT'!$J$5:$K$24,2,FALSE)),"",VLOOKUP(D46,'Matriz SWOT'!$J$5:$K$24,2,FALSE))</f>
        <v/>
      </c>
      <c r="F46" s="237"/>
      <c r="G46" s="238" t="str">
        <f t="shared" si="1"/>
        <v/>
      </c>
      <c r="H46" s="239"/>
      <c r="I46" s="240"/>
      <c r="J46" s="241"/>
      <c r="K46" s="236"/>
      <c r="L46" s="231"/>
      <c r="M46" s="90" t="str">
        <f t="shared" si="2"/>
        <v>#REF!</v>
      </c>
      <c r="N46" s="231"/>
      <c r="O46" s="231"/>
      <c r="P46" s="242"/>
      <c r="Q46" s="231"/>
      <c r="R46" s="231"/>
      <c r="S46" s="231"/>
      <c r="T46" s="231"/>
      <c r="U46" s="231"/>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row>
    <row r="47" ht="34.5" customHeight="1">
      <c r="A47" s="30"/>
      <c r="B47" s="30"/>
      <c r="C47" s="243"/>
      <c r="D47" s="244"/>
      <c r="E47" s="236" t="str">
        <f>IF(ISERROR(VLOOKUP(D47,'Matriz SWOT'!$J$5:$K$24,2,FALSE)),"",VLOOKUP(D47,'Matriz SWOT'!$J$5:$K$24,2,FALSE))</f>
        <v/>
      </c>
      <c r="F47" s="237"/>
      <c r="G47" s="238" t="str">
        <f t="shared" si="1"/>
        <v/>
      </c>
      <c r="H47" s="239"/>
      <c r="I47" s="240"/>
      <c r="J47" s="241"/>
      <c r="K47" s="236"/>
      <c r="L47" s="231"/>
      <c r="M47" s="90" t="str">
        <f t="shared" si="2"/>
        <v>#REF!</v>
      </c>
      <c r="N47" s="231"/>
      <c r="O47" s="231"/>
      <c r="P47" s="242"/>
      <c r="Q47" s="231"/>
      <c r="R47" s="231"/>
      <c r="S47" s="231"/>
      <c r="T47" s="231"/>
      <c r="U47" s="231"/>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row>
    <row r="48" ht="34.5" customHeight="1">
      <c r="A48" s="30"/>
      <c r="B48" s="30"/>
      <c r="C48" s="243"/>
      <c r="D48" s="244"/>
      <c r="E48" s="236" t="str">
        <f>IF(ISERROR(VLOOKUP(D48,'Matriz SWOT'!$J$5:$K$24,2,FALSE)),"",VLOOKUP(D48,'Matriz SWOT'!$J$5:$K$24,2,FALSE))</f>
        <v/>
      </c>
      <c r="F48" s="237"/>
      <c r="G48" s="238" t="str">
        <f t="shared" si="1"/>
        <v/>
      </c>
      <c r="H48" s="239"/>
      <c r="I48" s="240"/>
      <c r="J48" s="241"/>
      <c r="K48" s="236"/>
      <c r="L48" s="231"/>
      <c r="M48" s="90" t="str">
        <f t="shared" si="2"/>
        <v>#REF!</v>
      </c>
      <c r="N48" s="231"/>
      <c r="O48" s="231"/>
      <c r="P48" s="242"/>
      <c r="Q48" s="231"/>
      <c r="R48" s="231"/>
      <c r="S48" s="231"/>
      <c r="T48" s="231"/>
      <c r="U48" s="231"/>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row>
    <row r="49" ht="34.5" customHeight="1">
      <c r="A49" s="30"/>
      <c r="B49" s="30"/>
      <c r="C49" s="243"/>
      <c r="D49" s="244"/>
      <c r="E49" s="236" t="str">
        <f>IF(ISERROR(VLOOKUP(D49,'Matriz SWOT'!$J$5:$K$24,2,FALSE)),"",VLOOKUP(D49,'Matriz SWOT'!$J$5:$K$24,2,FALSE))</f>
        <v/>
      </c>
      <c r="F49" s="237"/>
      <c r="G49" s="238" t="str">
        <f t="shared" si="1"/>
        <v/>
      </c>
      <c r="H49" s="239"/>
      <c r="I49" s="240"/>
      <c r="J49" s="241"/>
      <c r="K49" s="236"/>
      <c r="L49" s="231"/>
      <c r="M49" s="90" t="str">
        <f t="shared" si="2"/>
        <v>#REF!</v>
      </c>
      <c r="N49" s="231"/>
      <c r="O49" s="231"/>
      <c r="P49" s="242"/>
      <c r="Q49" s="231"/>
      <c r="R49" s="231"/>
      <c r="S49" s="231"/>
      <c r="T49" s="231"/>
      <c r="U49" s="231"/>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row>
    <row r="50" ht="34.5" customHeight="1">
      <c r="A50" s="30"/>
      <c r="B50" s="30"/>
      <c r="C50" s="243"/>
      <c r="D50" s="244"/>
      <c r="E50" s="236" t="str">
        <f>IF(ISERROR(VLOOKUP(D50,'Matriz SWOT'!$J$5:$K$24,2,FALSE)),"",VLOOKUP(D50,'Matriz SWOT'!$J$5:$K$24,2,FALSE))</f>
        <v/>
      </c>
      <c r="F50" s="237"/>
      <c r="G50" s="238" t="str">
        <f t="shared" si="1"/>
        <v/>
      </c>
      <c r="H50" s="239"/>
      <c r="I50" s="240"/>
      <c r="J50" s="241"/>
      <c r="K50" s="236"/>
      <c r="L50" s="231"/>
      <c r="M50" s="90" t="str">
        <f t="shared" si="2"/>
        <v>#REF!</v>
      </c>
      <c r="N50" s="231"/>
      <c r="O50" s="231"/>
      <c r="P50" s="242"/>
      <c r="Q50" s="231"/>
      <c r="R50" s="231"/>
      <c r="S50" s="231"/>
      <c r="T50" s="231"/>
      <c r="U50" s="231"/>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row>
    <row r="51" ht="34.5" customHeight="1">
      <c r="A51" s="30"/>
      <c r="B51" s="30"/>
      <c r="C51" s="243"/>
      <c r="D51" s="244"/>
      <c r="E51" s="236" t="str">
        <f>IF(ISERROR(VLOOKUP(D51,'Matriz SWOT'!$J$5:$K$24,2,FALSE)),"",VLOOKUP(D51,'Matriz SWOT'!$J$5:$K$24,2,FALSE))</f>
        <v/>
      </c>
      <c r="F51" s="237"/>
      <c r="G51" s="238" t="str">
        <f t="shared" si="1"/>
        <v/>
      </c>
      <c r="H51" s="239"/>
      <c r="I51" s="240"/>
      <c r="J51" s="241"/>
      <c r="K51" s="236"/>
      <c r="L51" s="231"/>
      <c r="M51" s="90" t="str">
        <f t="shared" si="2"/>
        <v>#REF!</v>
      </c>
      <c r="N51" s="231"/>
      <c r="O51" s="231"/>
      <c r="P51" s="242"/>
      <c r="Q51" s="231"/>
      <c r="R51" s="231"/>
      <c r="S51" s="231"/>
      <c r="T51" s="231"/>
      <c r="U51" s="231"/>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row>
    <row r="52" ht="34.5" customHeight="1">
      <c r="A52" s="30"/>
      <c r="B52" s="30"/>
      <c r="C52" s="243"/>
      <c r="D52" s="244"/>
      <c r="E52" s="236" t="str">
        <f>IF(ISERROR(VLOOKUP(D52,'Matriz SWOT'!$J$5:$K$24,2,FALSE)),"",VLOOKUP(D52,'Matriz SWOT'!$J$5:$K$24,2,FALSE))</f>
        <v/>
      </c>
      <c r="F52" s="237"/>
      <c r="G52" s="238" t="str">
        <f t="shared" si="1"/>
        <v/>
      </c>
      <c r="H52" s="239"/>
      <c r="I52" s="240"/>
      <c r="J52" s="241"/>
      <c r="K52" s="236"/>
      <c r="L52" s="231"/>
      <c r="M52" s="90" t="str">
        <f t="shared" si="2"/>
        <v>#REF!</v>
      </c>
      <c r="N52" s="231"/>
      <c r="O52" s="231"/>
      <c r="P52" s="242"/>
      <c r="Q52" s="231"/>
      <c r="R52" s="231"/>
      <c r="S52" s="231"/>
      <c r="T52" s="231"/>
      <c r="U52" s="231"/>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row>
    <row r="53" ht="34.5" customHeight="1">
      <c r="A53" s="30"/>
      <c r="B53" s="30"/>
      <c r="C53" s="243"/>
      <c r="D53" s="244"/>
      <c r="E53" s="236" t="str">
        <f>IF(ISERROR(VLOOKUP(D53,'Matriz SWOT'!$J$5:$K$24,2,FALSE)),"",VLOOKUP(D53,'Matriz SWOT'!$J$5:$K$24,2,FALSE))</f>
        <v/>
      </c>
      <c r="F53" s="237"/>
      <c r="G53" s="238" t="str">
        <f t="shared" si="1"/>
        <v/>
      </c>
      <c r="H53" s="239"/>
      <c r="I53" s="240"/>
      <c r="J53" s="241"/>
      <c r="K53" s="236"/>
      <c r="L53" s="231"/>
      <c r="M53" s="90" t="str">
        <f t="shared" si="2"/>
        <v>#REF!</v>
      </c>
      <c r="N53" s="231"/>
      <c r="O53" s="231"/>
      <c r="P53" s="242"/>
      <c r="Q53" s="231"/>
      <c r="R53" s="231"/>
      <c r="S53" s="231"/>
      <c r="T53" s="231"/>
      <c r="U53" s="231"/>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row>
    <row r="54" ht="34.5" customHeight="1">
      <c r="A54" s="30"/>
      <c r="B54" s="30"/>
      <c r="C54" s="243"/>
      <c r="D54" s="244"/>
      <c r="E54" s="236" t="str">
        <f>IF(ISERROR(VLOOKUP(D54,'Matriz SWOT'!$J$5:$K$24,2,FALSE)),"",VLOOKUP(D54,'Matriz SWOT'!$J$5:$K$24,2,FALSE))</f>
        <v/>
      </c>
      <c r="F54" s="237"/>
      <c r="G54" s="238" t="str">
        <f t="shared" si="1"/>
        <v/>
      </c>
      <c r="H54" s="239"/>
      <c r="I54" s="240"/>
      <c r="J54" s="241"/>
      <c r="K54" s="236"/>
      <c r="L54" s="231"/>
      <c r="M54" s="90" t="str">
        <f t="shared" si="2"/>
        <v>#REF!</v>
      </c>
      <c r="N54" s="231"/>
      <c r="O54" s="231"/>
      <c r="P54" s="242"/>
      <c r="Q54" s="231"/>
      <c r="R54" s="231"/>
      <c r="S54" s="231"/>
      <c r="T54" s="231"/>
      <c r="U54" s="231"/>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row>
    <row r="55" ht="34.5" customHeight="1">
      <c r="A55" s="59"/>
      <c r="B55" s="30"/>
      <c r="C55" s="243"/>
      <c r="D55" s="244"/>
      <c r="E55" s="236" t="str">
        <f>IF(ISERROR(VLOOKUP(D55,'Matriz SWOT'!$J$5:$K$24,2,FALSE)),"",VLOOKUP(D55,'Matriz SWOT'!$J$5:$K$24,2,FALSE))</f>
        <v/>
      </c>
      <c r="F55" s="237"/>
      <c r="G55" s="238" t="str">
        <f t="shared" si="1"/>
        <v/>
      </c>
      <c r="H55" s="239"/>
      <c r="I55" s="240"/>
      <c r="J55" s="241"/>
      <c r="K55" s="236"/>
      <c r="L55" s="231"/>
      <c r="M55" s="90" t="str">
        <f t="shared" si="2"/>
        <v>#REF!</v>
      </c>
      <c r="N55" s="231"/>
      <c r="O55" s="231"/>
      <c r="P55" s="242"/>
      <c r="Q55" s="231"/>
      <c r="R55" s="231"/>
      <c r="S55" s="231"/>
      <c r="T55" s="231"/>
      <c r="U55" s="231"/>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row>
    <row r="56" ht="34.5" customHeight="1">
      <c r="A56" s="59"/>
      <c r="B56" s="30"/>
      <c r="C56" s="243"/>
      <c r="D56" s="244"/>
      <c r="E56" s="236" t="str">
        <f>IF(ISERROR(VLOOKUP(D56,'Matriz SWOT'!$J$5:$K$24,2,FALSE)),"",VLOOKUP(D56,'Matriz SWOT'!$J$5:$K$24,2,FALSE))</f>
        <v/>
      </c>
      <c r="F56" s="237"/>
      <c r="G56" s="238" t="str">
        <f t="shared" si="1"/>
        <v/>
      </c>
      <c r="H56" s="239"/>
      <c r="I56" s="240"/>
      <c r="J56" s="241"/>
      <c r="K56" s="236"/>
      <c r="L56" s="231"/>
      <c r="M56" s="90" t="str">
        <f t="shared" si="2"/>
        <v>#REF!</v>
      </c>
      <c r="N56" s="231"/>
      <c r="O56" s="231"/>
      <c r="P56" s="242"/>
      <c r="Q56" s="231"/>
      <c r="R56" s="231"/>
      <c r="S56" s="231"/>
      <c r="T56" s="231"/>
      <c r="U56" s="231"/>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row>
    <row r="57" ht="34.5" customHeight="1">
      <c r="A57" s="59"/>
      <c r="B57" s="30"/>
      <c r="C57" s="243"/>
      <c r="D57" s="244"/>
      <c r="E57" s="236" t="str">
        <f>IF(ISERROR(VLOOKUP(D57,'Matriz SWOT'!$J$5:$K$24,2,FALSE)),"",VLOOKUP(D57,'Matriz SWOT'!$J$5:$K$24,2,FALSE))</f>
        <v/>
      </c>
      <c r="F57" s="237"/>
      <c r="G57" s="238" t="str">
        <f t="shared" si="1"/>
        <v/>
      </c>
      <c r="H57" s="239"/>
      <c r="I57" s="240"/>
      <c r="J57" s="241"/>
      <c r="K57" s="236"/>
      <c r="L57" s="231"/>
      <c r="M57" s="90" t="str">
        <f t="shared" si="2"/>
        <v>#REF!</v>
      </c>
      <c r="N57" s="231"/>
      <c r="O57" s="231"/>
      <c r="P57" s="242"/>
      <c r="Q57" s="231"/>
      <c r="R57" s="231"/>
      <c r="S57" s="231"/>
      <c r="T57" s="231"/>
      <c r="U57" s="231"/>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row>
    <row r="58" ht="34.5" customHeight="1">
      <c r="A58" s="30"/>
      <c r="B58" s="30"/>
      <c r="C58" s="243"/>
      <c r="D58" s="244"/>
      <c r="E58" s="236" t="str">
        <f>IF(ISERROR(VLOOKUP(D58,'Matriz SWOT'!$J$5:$K$24,2,FALSE)),"",VLOOKUP(D58,'Matriz SWOT'!$J$5:$K$24,2,FALSE))</f>
        <v/>
      </c>
      <c r="F58" s="237"/>
      <c r="G58" s="238" t="str">
        <f t="shared" si="1"/>
        <v/>
      </c>
      <c r="H58" s="239"/>
      <c r="I58" s="240"/>
      <c r="J58" s="241"/>
      <c r="K58" s="236"/>
      <c r="L58" s="231"/>
      <c r="M58" s="231"/>
      <c r="N58" s="231"/>
      <c r="O58" s="231"/>
      <c r="P58" s="242"/>
      <c r="Q58" s="231"/>
      <c r="R58" s="231"/>
      <c r="S58" s="231"/>
      <c r="T58" s="231"/>
      <c r="U58" s="231"/>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row>
    <row r="59" ht="34.5" customHeight="1">
      <c r="A59" s="30"/>
      <c r="B59" s="30"/>
      <c r="C59" s="243"/>
      <c r="D59" s="244"/>
      <c r="E59" s="236" t="str">
        <f>IF(ISERROR(VLOOKUP(D59,'Matriz SWOT'!$J$5:$K$24,2,FALSE)),"",VLOOKUP(D59,'Matriz SWOT'!$J$5:$K$24,2,FALSE))</f>
        <v/>
      </c>
      <c r="F59" s="237"/>
      <c r="G59" s="238" t="str">
        <f t="shared" si="1"/>
        <v/>
      </c>
      <c r="H59" s="239"/>
      <c r="I59" s="240"/>
      <c r="J59" s="241"/>
      <c r="K59" s="236"/>
      <c r="L59" s="231"/>
      <c r="M59" s="231"/>
      <c r="N59" s="231"/>
      <c r="O59" s="231"/>
      <c r="P59" s="242"/>
      <c r="Q59" s="231"/>
      <c r="R59" s="231"/>
      <c r="S59" s="231"/>
      <c r="T59" s="231"/>
      <c r="U59" s="231"/>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row>
    <row r="60" ht="34.5" customHeight="1">
      <c r="A60" s="30"/>
      <c r="B60" s="30"/>
      <c r="C60" s="243"/>
      <c r="D60" s="244"/>
      <c r="E60" s="236" t="str">
        <f>IF(ISERROR(VLOOKUP(D60,'Matriz SWOT'!$J$5:$K$24,2,FALSE)),"",VLOOKUP(D60,'Matriz SWOT'!$J$5:$K$24,2,FALSE))</f>
        <v/>
      </c>
      <c r="F60" s="237"/>
      <c r="G60" s="238" t="str">
        <f t="shared" si="1"/>
        <v/>
      </c>
      <c r="H60" s="239"/>
      <c r="I60" s="240"/>
      <c r="J60" s="241"/>
      <c r="K60" s="236"/>
      <c r="L60" s="231"/>
      <c r="M60" s="231"/>
      <c r="N60" s="231"/>
      <c r="O60" s="231"/>
      <c r="P60" s="242"/>
      <c r="Q60" s="231"/>
      <c r="R60" s="231"/>
      <c r="S60" s="231"/>
      <c r="T60" s="231"/>
      <c r="U60" s="231"/>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row>
    <row r="61" ht="34.5" customHeight="1">
      <c r="A61" s="30"/>
      <c r="B61" s="30"/>
      <c r="C61" s="243"/>
      <c r="D61" s="244"/>
      <c r="E61" s="236" t="str">
        <f>IF(ISERROR(VLOOKUP(D61,'Matriz SWOT'!$J$5:$K$24,2,FALSE)),"",VLOOKUP(D61,'Matriz SWOT'!$J$5:$K$24,2,FALSE))</f>
        <v/>
      </c>
      <c r="F61" s="237"/>
      <c r="G61" s="238" t="str">
        <f t="shared" si="1"/>
        <v/>
      </c>
      <c r="H61" s="239"/>
      <c r="I61" s="240"/>
      <c r="J61" s="241"/>
      <c r="K61" s="236"/>
      <c r="L61" s="231"/>
      <c r="M61" s="231"/>
      <c r="N61" s="231"/>
      <c r="O61" s="231"/>
      <c r="P61" s="242"/>
      <c r="Q61" s="231"/>
      <c r="R61" s="231"/>
      <c r="S61" s="231"/>
      <c r="T61" s="231"/>
      <c r="U61" s="231"/>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row>
    <row r="62" ht="34.5" customHeight="1">
      <c r="A62" s="30"/>
      <c r="B62" s="30"/>
      <c r="C62" s="243"/>
      <c r="D62" s="244"/>
      <c r="E62" s="236" t="str">
        <f>IF(ISERROR(VLOOKUP(D62,'Matriz SWOT'!$J$5:$K$24,2,FALSE)),"",VLOOKUP(D62,'Matriz SWOT'!$J$5:$K$24,2,FALSE))</f>
        <v/>
      </c>
      <c r="F62" s="237"/>
      <c r="G62" s="238" t="str">
        <f t="shared" si="1"/>
        <v/>
      </c>
      <c r="H62" s="239"/>
      <c r="I62" s="240"/>
      <c r="J62" s="241"/>
      <c r="K62" s="236"/>
      <c r="L62" s="231"/>
      <c r="M62" s="231"/>
      <c r="N62" s="231"/>
      <c r="O62" s="231"/>
      <c r="P62" s="242"/>
      <c r="Q62" s="231"/>
      <c r="R62" s="231"/>
      <c r="S62" s="231"/>
      <c r="T62" s="231"/>
      <c r="U62" s="231"/>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row>
    <row r="63" ht="34.5" customHeight="1">
      <c r="A63" s="30"/>
      <c r="B63" s="30"/>
      <c r="C63" s="243"/>
      <c r="D63" s="244"/>
      <c r="E63" s="236" t="str">
        <f>IF(ISERROR(VLOOKUP(D63,'Matriz SWOT'!$J$5:$K$24,2,FALSE)),"",VLOOKUP(D63,'Matriz SWOT'!$J$5:$K$24,2,FALSE))</f>
        <v/>
      </c>
      <c r="F63" s="237"/>
      <c r="G63" s="238" t="str">
        <f t="shared" si="1"/>
        <v/>
      </c>
      <c r="H63" s="239"/>
      <c r="I63" s="240"/>
      <c r="J63" s="241"/>
      <c r="K63" s="236"/>
      <c r="L63" s="231"/>
      <c r="M63" s="231"/>
      <c r="N63" s="231"/>
      <c r="O63" s="231"/>
      <c r="P63" s="242"/>
      <c r="Q63" s="231"/>
      <c r="R63" s="231"/>
      <c r="S63" s="231"/>
      <c r="T63" s="231"/>
      <c r="U63" s="231"/>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row>
    <row r="64" ht="34.5" customHeight="1">
      <c r="A64" s="30"/>
      <c r="B64" s="30"/>
      <c r="C64" s="243"/>
      <c r="D64" s="244"/>
      <c r="E64" s="236" t="str">
        <f>IF(ISERROR(VLOOKUP(D64,'Matriz SWOT'!$J$5:$K$24,2,FALSE)),"",VLOOKUP(D64,'Matriz SWOT'!$J$5:$K$24,2,FALSE))</f>
        <v/>
      </c>
      <c r="F64" s="237"/>
      <c r="G64" s="238" t="str">
        <f t="shared" si="1"/>
        <v/>
      </c>
      <c r="H64" s="239"/>
      <c r="I64" s="240"/>
      <c r="J64" s="241"/>
      <c r="K64" s="236"/>
      <c r="L64" s="231"/>
      <c r="M64" s="231"/>
      <c r="N64" s="231"/>
      <c r="O64" s="231"/>
      <c r="P64" s="242"/>
      <c r="Q64" s="231"/>
      <c r="R64" s="231"/>
      <c r="S64" s="231"/>
      <c r="T64" s="231"/>
      <c r="U64" s="231"/>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row>
    <row r="65" ht="34.5" customHeight="1">
      <c r="A65" s="30"/>
      <c r="B65" s="30"/>
      <c r="C65" s="243"/>
      <c r="D65" s="244"/>
      <c r="E65" s="236" t="str">
        <f>IF(ISERROR(VLOOKUP(D65,'Matriz SWOT'!$J$5:$K$24,2,FALSE)),"",VLOOKUP(D65,'Matriz SWOT'!$J$5:$K$24,2,FALSE))</f>
        <v/>
      </c>
      <c r="F65" s="237"/>
      <c r="G65" s="238" t="str">
        <f t="shared" si="1"/>
        <v/>
      </c>
      <c r="H65" s="239"/>
      <c r="I65" s="240"/>
      <c r="J65" s="241"/>
      <c r="K65" s="236"/>
      <c r="L65" s="231"/>
      <c r="M65" s="231"/>
      <c r="N65" s="231"/>
      <c r="O65" s="231"/>
      <c r="P65" s="242"/>
      <c r="Q65" s="231"/>
      <c r="R65" s="231"/>
      <c r="S65" s="231"/>
      <c r="T65" s="231"/>
      <c r="U65" s="231"/>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row>
    <row r="66" ht="34.5" customHeight="1">
      <c r="A66" s="30"/>
      <c r="B66" s="30"/>
      <c r="C66" s="243"/>
      <c r="D66" s="244"/>
      <c r="E66" s="236" t="str">
        <f>IF(ISERROR(VLOOKUP(D66,'Matriz SWOT'!$J$5:$K$24,2,FALSE)),"",VLOOKUP(D66,'Matriz SWOT'!$J$5:$K$24,2,FALSE))</f>
        <v/>
      </c>
      <c r="F66" s="237"/>
      <c r="G66" s="238" t="str">
        <f t="shared" si="1"/>
        <v/>
      </c>
      <c r="H66" s="239"/>
      <c r="I66" s="240"/>
      <c r="J66" s="241"/>
      <c r="K66" s="236"/>
      <c r="L66" s="231"/>
      <c r="M66" s="231"/>
      <c r="N66" s="231"/>
      <c r="O66" s="231"/>
      <c r="P66" s="242"/>
      <c r="Q66" s="231"/>
      <c r="R66" s="231"/>
      <c r="S66" s="231"/>
      <c r="T66" s="231"/>
      <c r="U66" s="231"/>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row>
    <row r="67" ht="34.5" customHeight="1">
      <c r="A67" s="30"/>
      <c r="B67" s="30"/>
      <c r="C67" s="243"/>
      <c r="D67" s="244"/>
      <c r="E67" s="236" t="str">
        <f>IF(ISERROR(VLOOKUP(D67,'Matriz SWOT'!$J$5:$K$24,2,FALSE)),"",VLOOKUP(D67,'Matriz SWOT'!$J$5:$K$24,2,FALSE))</f>
        <v/>
      </c>
      <c r="F67" s="237"/>
      <c r="G67" s="238" t="str">
        <f t="shared" si="1"/>
        <v/>
      </c>
      <c r="H67" s="239"/>
      <c r="I67" s="240"/>
      <c r="J67" s="241"/>
      <c r="K67" s="236"/>
      <c r="L67" s="231"/>
      <c r="M67" s="231"/>
      <c r="N67" s="231"/>
      <c r="O67" s="231"/>
      <c r="P67" s="242"/>
      <c r="Q67" s="231"/>
      <c r="R67" s="231"/>
      <c r="S67" s="231"/>
      <c r="T67" s="231"/>
      <c r="U67" s="231"/>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row>
    <row r="68" ht="34.5" customHeight="1">
      <c r="A68" s="30"/>
      <c r="B68" s="30"/>
      <c r="C68" s="243"/>
      <c r="D68" s="244"/>
      <c r="E68" s="236" t="str">
        <f>IF(ISERROR(VLOOKUP(D68,'Matriz SWOT'!$J$5:$K$24,2,FALSE)),"",VLOOKUP(D68,'Matriz SWOT'!$J$5:$K$24,2,FALSE))</f>
        <v/>
      </c>
      <c r="F68" s="237"/>
      <c r="G68" s="238" t="str">
        <f t="shared" si="1"/>
        <v/>
      </c>
      <c r="H68" s="239"/>
      <c r="I68" s="240"/>
      <c r="J68" s="241"/>
      <c r="K68" s="236"/>
      <c r="L68" s="231"/>
      <c r="M68" s="231"/>
      <c r="N68" s="231"/>
      <c r="O68" s="231"/>
      <c r="P68" s="242"/>
      <c r="Q68" s="231"/>
      <c r="R68" s="231"/>
      <c r="S68" s="231"/>
      <c r="T68" s="231"/>
      <c r="U68" s="231"/>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row>
    <row r="69" ht="34.5" customHeight="1">
      <c r="A69" s="30"/>
      <c r="B69" s="30"/>
      <c r="C69" s="243"/>
      <c r="D69" s="244"/>
      <c r="E69" s="236" t="str">
        <f>IF(ISERROR(VLOOKUP(D69,'Matriz SWOT'!$J$5:$K$24,2,FALSE)),"",VLOOKUP(D69,'Matriz SWOT'!$J$5:$K$24,2,FALSE))</f>
        <v/>
      </c>
      <c r="F69" s="237"/>
      <c r="G69" s="238" t="str">
        <f t="shared" si="1"/>
        <v/>
      </c>
      <c r="H69" s="239"/>
      <c r="I69" s="240"/>
      <c r="J69" s="241"/>
      <c r="K69" s="236"/>
      <c r="L69" s="231"/>
      <c r="M69" s="231"/>
      <c r="N69" s="231"/>
      <c r="O69" s="231"/>
      <c r="P69" s="242"/>
      <c r="Q69" s="231"/>
      <c r="R69" s="231"/>
      <c r="S69" s="231"/>
      <c r="T69" s="231"/>
      <c r="U69" s="231"/>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row>
    <row r="70" ht="34.5" customHeight="1">
      <c r="A70" s="30"/>
      <c r="B70" s="30"/>
      <c r="C70" s="243"/>
      <c r="D70" s="244"/>
      <c r="E70" s="236" t="str">
        <f>IF(ISERROR(VLOOKUP(D70,'Matriz SWOT'!$J$5:$K$24,2,FALSE)),"",VLOOKUP(D70,'Matriz SWOT'!$J$5:$K$24,2,FALSE))</f>
        <v/>
      </c>
      <c r="F70" s="237"/>
      <c r="G70" s="238" t="str">
        <f t="shared" si="1"/>
        <v/>
      </c>
      <c r="H70" s="239"/>
      <c r="I70" s="240"/>
      <c r="J70" s="241"/>
      <c r="K70" s="236"/>
      <c r="L70" s="231"/>
      <c r="M70" s="231"/>
      <c r="N70" s="231"/>
      <c r="O70" s="231"/>
      <c r="P70" s="242"/>
      <c r="Q70" s="231"/>
      <c r="R70" s="231"/>
      <c r="S70" s="231"/>
      <c r="T70" s="231"/>
      <c r="U70" s="231"/>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row>
    <row r="71" ht="34.5" customHeight="1">
      <c r="A71" s="30"/>
      <c r="B71" s="30"/>
      <c r="C71" s="243"/>
      <c r="D71" s="244"/>
      <c r="E71" s="236" t="str">
        <f>IF(ISERROR(VLOOKUP(D71,'Matriz SWOT'!$J$5:$K$24,2,FALSE)),"",VLOOKUP(D71,'Matriz SWOT'!$J$5:$K$24,2,FALSE))</f>
        <v/>
      </c>
      <c r="F71" s="237"/>
      <c r="G71" s="238" t="str">
        <f t="shared" si="1"/>
        <v/>
      </c>
      <c r="H71" s="239"/>
      <c r="I71" s="240"/>
      <c r="J71" s="241"/>
      <c r="K71" s="236"/>
      <c r="L71" s="231"/>
      <c r="M71" s="231"/>
      <c r="N71" s="231"/>
      <c r="O71" s="231"/>
      <c r="P71" s="242"/>
      <c r="Q71" s="231"/>
      <c r="R71" s="231"/>
      <c r="S71" s="231"/>
      <c r="T71" s="231"/>
      <c r="U71" s="231"/>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row>
    <row r="72" ht="34.5" customHeight="1">
      <c r="A72" s="30"/>
      <c r="B72" s="30"/>
      <c r="C72" s="243"/>
      <c r="D72" s="244"/>
      <c r="E72" s="236" t="str">
        <f>IF(ISERROR(VLOOKUP(D72,'Matriz SWOT'!$J$5:$K$24,2,FALSE)),"",VLOOKUP(D72,'Matriz SWOT'!$J$5:$K$24,2,FALSE))</f>
        <v/>
      </c>
      <c r="F72" s="237"/>
      <c r="G72" s="238" t="str">
        <f t="shared" si="1"/>
        <v/>
      </c>
      <c r="H72" s="239"/>
      <c r="I72" s="240"/>
      <c r="J72" s="241"/>
      <c r="K72" s="236"/>
      <c r="L72" s="231"/>
      <c r="M72" s="231"/>
      <c r="N72" s="231"/>
      <c r="O72" s="231"/>
      <c r="P72" s="242"/>
      <c r="Q72" s="231"/>
      <c r="R72" s="231"/>
      <c r="S72" s="231"/>
      <c r="T72" s="231"/>
      <c r="U72" s="231"/>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row>
    <row r="73" ht="34.5" customHeight="1">
      <c r="A73" s="30"/>
      <c r="B73" s="30"/>
      <c r="C73" s="243"/>
      <c r="D73" s="244"/>
      <c r="E73" s="236" t="str">
        <f>IF(ISERROR(VLOOKUP(D73,'Matriz SWOT'!$J$5:$K$24,2,FALSE)),"",VLOOKUP(D73,'Matriz SWOT'!$J$5:$K$24,2,FALSE))</f>
        <v/>
      </c>
      <c r="F73" s="237"/>
      <c r="G73" s="238" t="str">
        <f t="shared" si="1"/>
        <v/>
      </c>
      <c r="H73" s="239"/>
      <c r="I73" s="240"/>
      <c r="J73" s="241"/>
      <c r="K73" s="236"/>
      <c r="L73" s="231"/>
      <c r="M73" s="231"/>
      <c r="N73" s="231"/>
      <c r="O73" s="231"/>
      <c r="P73" s="242"/>
      <c r="Q73" s="231"/>
      <c r="R73" s="231"/>
      <c r="S73" s="231"/>
      <c r="T73" s="231"/>
      <c r="U73" s="231"/>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row>
    <row r="74" ht="34.5" customHeight="1">
      <c r="A74" s="30"/>
      <c r="B74" s="30"/>
      <c r="C74" s="243"/>
      <c r="D74" s="244"/>
      <c r="E74" s="236" t="str">
        <f>IF(ISERROR(VLOOKUP(D74,'Matriz SWOT'!$J$5:$K$24,2,FALSE)),"",VLOOKUP(D74,'Matriz SWOT'!$J$5:$K$24,2,FALSE))</f>
        <v/>
      </c>
      <c r="F74" s="237"/>
      <c r="G74" s="238" t="str">
        <f t="shared" si="1"/>
        <v/>
      </c>
      <c r="H74" s="239"/>
      <c r="I74" s="240"/>
      <c r="J74" s="241"/>
      <c r="K74" s="236"/>
      <c r="L74" s="231"/>
      <c r="M74" s="231"/>
      <c r="N74" s="231"/>
      <c r="O74" s="231"/>
      <c r="P74" s="242"/>
      <c r="Q74" s="231"/>
      <c r="R74" s="231"/>
      <c r="S74" s="231"/>
      <c r="T74" s="231"/>
      <c r="U74" s="231"/>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row>
    <row r="75" ht="34.5" customHeight="1">
      <c r="A75" s="30"/>
      <c r="B75" s="30"/>
      <c r="C75" s="243"/>
      <c r="D75" s="244"/>
      <c r="E75" s="236" t="str">
        <f>IF(ISERROR(VLOOKUP(D75,'Matriz SWOT'!$J$5:$K$24,2,FALSE)),"",VLOOKUP(D75,'Matriz SWOT'!$J$5:$K$24,2,FALSE))</f>
        <v/>
      </c>
      <c r="F75" s="237"/>
      <c r="G75" s="238" t="str">
        <f t="shared" si="1"/>
        <v/>
      </c>
      <c r="H75" s="239"/>
      <c r="I75" s="240"/>
      <c r="J75" s="241"/>
      <c r="K75" s="236"/>
      <c r="L75" s="231"/>
      <c r="M75" s="231"/>
      <c r="N75" s="231"/>
      <c r="O75" s="231"/>
      <c r="P75" s="242"/>
      <c r="Q75" s="231"/>
      <c r="R75" s="231"/>
      <c r="S75" s="231"/>
      <c r="T75" s="231"/>
      <c r="U75" s="231"/>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row>
    <row r="76" ht="34.5" customHeight="1">
      <c r="A76" s="30"/>
      <c r="B76" s="30"/>
      <c r="C76" s="243"/>
      <c r="D76" s="244"/>
      <c r="E76" s="236" t="str">
        <f>IF(ISERROR(VLOOKUP(D76,'Matriz SWOT'!$J$5:$K$24,2,FALSE)),"",VLOOKUP(D76,'Matriz SWOT'!$J$5:$K$24,2,FALSE))</f>
        <v/>
      </c>
      <c r="F76" s="237"/>
      <c r="G76" s="238" t="str">
        <f t="shared" si="1"/>
        <v/>
      </c>
      <c r="H76" s="239"/>
      <c r="I76" s="240"/>
      <c r="J76" s="241"/>
      <c r="K76" s="236"/>
      <c r="L76" s="231"/>
      <c r="M76" s="231"/>
      <c r="N76" s="231"/>
      <c r="O76" s="231"/>
      <c r="P76" s="242"/>
      <c r="Q76" s="231"/>
      <c r="R76" s="231"/>
      <c r="S76" s="231"/>
      <c r="T76" s="231"/>
      <c r="U76" s="231"/>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row>
    <row r="77" ht="34.5" customHeight="1">
      <c r="A77" s="30"/>
      <c r="B77" s="30"/>
      <c r="C77" s="243"/>
      <c r="D77" s="244"/>
      <c r="E77" s="236" t="str">
        <f>IF(ISERROR(VLOOKUP(D77,'Matriz SWOT'!$J$5:$K$24,2,FALSE)),"",VLOOKUP(D77,'Matriz SWOT'!$J$5:$K$24,2,FALSE))</f>
        <v/>
      </c>
      <c r="F77" s="237"/>
      <c r="G77" s="238" t="str">
        <f t="shared" si="1"/>
        <v/>
      </c>
      <c r="H77" s="239"/>
      <c r="I77" s="240"/>
      <c r="J77" s="241"/>
      <c r="K77" s="236"/>
      <c r="L77" s="231"/>
      <c r="M77" s="231"/>
      <c r="N77" s="231"/>
      <c r="O77" s="231"/>
      <c r="P77" s="242"/>
      <c r="Q77" s="231"/>
      <c r="R77" s="231"/>
      <c r="S77" s="231"/>
      <c r="T77" s="231"/>
      <c r="U77" s="231"/>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row>
    <row r="78" ht="34.5" customHeight="1">
      <c r="A78" s="30"/>
      <c r="B78" s="30"/>
      <c r="C78" s="243"/>
      <c r="D78" s="244"/>
      <c r="E78" s="236" t="str">
        <f>IF(ISERROR(VLOOKUP(D78,'Matriz SWOT'!$J$5:$K$24,2,FALSE)),"",VLOOKUP(D78,'Matriz SWOT'!$J$5:$K$24,2,FALSE))</f>
        <v/>
      </c>
      <c r="F78" s="237"/>
      <c r="G78" s="238" t="str">
        <f t="shared" si="1"/>
        <v/>
      </c>
      <c r="H78" s="239"/>
      <c r="I78" s="240"/>
      <c r="J78" s="241"/>
      <c r="K78" s="236"/>
      <c r="L78" s="231"/>
      <c r="M78" s="231"/>
      <c r="N78" s="231"/>
      <c r="O78" s="231"/>
      <c r="P78" s="242"/>
      <c r="Q78" s="231"/>
      <c r="R78" s="231"/>
      <c r="S78" s="231"/>
      <c r="T78" s="231"/>
      <c r="U78" s="231"/>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row>
    <row r="79" ht="34.5" customHeight="1">
      <c r="A79" s="30"/>
      <c r="B79" s="30"/>
      <c r="C79" s="243"/>
      <c r="D79" s="244"/>
      <c r="E79" s="236" t="str">
        <f>IF(ISERROR(VLOOKUP(D79,'Matriz SWOT'!$J$5:$K$24,2,FALSE)),"",VLOOKUP(D79,'Matriz SWOT'!$J$5:$K$24,2,FALSE))</f>
        <v/>
      </c>
      <c r="F79" s="237"/>
      <c r="G79" s="238" t="str">
        <f t="shared" si="1"/>
        <v/>
      </c>
      <c r="H79" s="239"/>
      <c r="I79" s="240"/>
      <c r="J79" s="241"/>
      <c r="K79" s="236"/>
      <c r="L79" s="231"/>
      <c r="M79" s="231"/>
      <c r="N79" s="231"/>
      <c r="O79" s="231"/>
      <c r="P79" s="242"/>
      <c r="Q79" s="231"/>
      <c r="R79" s="231"/>
      <c r="S79" s="231"/>
      <c r="T79" s="231"/>
      <c r="U79" s="231"/>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row>
    <row r="80" ht="34.5" customHeight="1">
      <c r="A80" s="30"/>
      <c r="B80" s="30"/>
      <c r="C80" s="243"/>
      <c r="D80" s="244"/>
      <c r="E80" s="236" t="str">
        <f>IF(ISERROR(VLOOKUP(D80,'Matriz SWOT'!$J$5:$K$24,2,FALSE)),"",VLOOKUP(D80,'Matriz SWOT'!$J$5:$K$24,2,FALSE))</f>
        <v/>
      </c>
      <c r="F80" s="237"/>
      <c r="G80" s="238" t="str">
        <f t="shared" si="1"/>
        <v/>
      </c>
      <c r="H80" s="239"/>
      <c r="I80" s="240"/>
      <c r="J80" s="241"/>
      <c r="K80" s="236"/>
      <c r="L80" s="231"/>
      <c r="M80" s="231"/>
      <c r="N80" s="231"/>
      <c r="O80" s="231"/>
      <c r="P80" s="242"/>
      <c r="Q80" s="231"/>
      <c r="R80" s="231"/>
      <c r="S80" s="231"/>
      <c r="T80" s="231"/>
      <c r="U80" s="231"/>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row>
    <row r="81" ht="34.5" customHeight="1">
      <c r="A81" s="30"/>
      <c r="B81" s="30"/>
      <c r="C81" s="243"/>
      <c r="D81" s="244"/>
      <c r="E81" s="236" t="str">
        <f>IF(ISERROR(VLOOKUP(D81,'Matriz SWOT'!$J$5:$K$24,2,FALSE)),"",VLOOKUP(D81,'Matriz SWOT'!$J$5:$K$24,2,FALSE))</f>
        <v/>
      </c>
      <c r="F81" s="237"/>
      <c r="G81" s="238" t="str">
        <f t="shared" si="1"/>
        <v/>
      </c>
      <c r="H81" s="239"/>
      <c r="I81" s="240"/>
      <c r="J81" s="241"/>
      <c r="K81" s="236"/>
      <c r="L81" s="231"/>
      <c r="M81" s="231"/>
      <c r="N81" s="231"/>
      <c r="O81" s="231"/>
      <c r="P81" s="242"/>
      <c r="Q81" s="231"/>
      <c r="R81" s="231"/>
      <c r="S81" s="231"/>
      <c r="T81" s="231"/>
      <c r="U81" s="231"/>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row>
    <row r="82" ht="34.5" customHeight="1">
      <c r="A82" s="30"/>
      <c r="B82" s="30"/>
      <c r="C82" s="243"/>
      <c r="D82" s="244"/>
      <c r="E82" s="236" t="str">
        <f>IF(ISERROR(VLOOKUP(D82,'Matriz SWOT'!$J$5:$K$24,2,FALSE)),"",VLOOKUP(D82,'Matriz SWOT'!$J$5:$K$24,2,FALSE))</f>
        <v/>
      </c>
      <c r="F82" s="237"/>
      <c r="G82" s="238" t="str">
        <f t="shared" si="1"/>
        <v/>
      </c>
      <c r="H82" s="239"/>
      <c r="I82" s="240"/>
      <c r="J82" s="241"/>
      <c r="K82" s="236"/>
      <c r="L82" s="231"/>
      <c r="M82" s="231"/>
      <c r="N82" s="231"/>
      <c r="O82" s="231"/>
      <c r="P82" s="242"/>
      <c r="Q82" s="231"/>
      <c r="R82" s="231"/>
      <c r="S82" s="231"/>
      <c r="T82" s="231"/>
      <c r="U82" s="231"/>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row>
    <row r="83" ht="34.5" customHeight="1">
      <c r="A83" s="30"/>
      <c r="B83" s="30"/>
      <c r="C83" s="243"/>
      <c r="D83" s="244"/>
      <c r="E83" s="236" t="str">
        <f>IF(ISERROR(VLOOKUP(D83,'Matriz SWOT'!$J$5:$K$24,2,FALSE)),"",VLOOKUP(D83,'Matriz SWOT'!$J$5:$K$24,2,FALSE))</f>
        <v/>
      </c>
      <c r="F83" s="237"/>
      <c r="G83" s="238" t="str">
        <f t="shared" si="1"/>
        <v/>
      </c>
      <c r="H83" s="239"/>
      <c r="I83" s="240"/>
      <c r="J83" s="241"/>
      <c r="K83" s="236"/>
      <c r="L83" s="231"/>
      <c r="M83" s="231"/>
      <c r="N83" s="231"/>
      <c r="O83" s="231"/>
      <c r="P83" s="242"/>
      <c r="Q83" s="231"/>
      <c r="R83" s="231"/>
      <c r="S83" s="231"/>
      <c r="T83" s="231"/>
      <c r="U83" s="231"/>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row>
    <row r="84" ht="34.5" customHeight="1">
      <c r="A84" s="30"/>
      <c r="B84" s="30"/>
      <c r="C84" s="243"/>
      <c r="D84" s="244"/>
      <c r="E84" s="236" t="str">
        <f>IF(ISERROR(VLOOKUP(D84,'Matriz SWOT'!$J$5:$K$24,2,FALSE)),"",VLOOKUP(D84,'Matriz SWOT'!$J$5:$K$24,2,FALSE))</f>
        <v/>
      </c>
      <c r="F84" s="237"/>
      <c r="G84" s="238" t="str">
        <f t="shared" si="1"/>
        <v/>
      </c>
      <c r="H84" s="239"/>
      <c r="I84" s="240"/>
      <c r="J84" s="241"/>
      <c r="K84" s="236"/>
      <c r="L84" s="231"/>
      <c r="M84" s="231"/>
      <c r="N84" s="231"/>
      <c r="O84" s="231"/>
      <c r="P84" s="242"/>
      <c r="Q84" s="231"/>
      <c r="R84" s="231"/>
      <c r="S84" s="231"/>
      <c r="T84" s="231"/>
      <c r="U84" s="231"/>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row>
    <row r="85" ht="34.5" customHeight="1">
      <c r="A85" s="30"/>
      <c r="B85" s="30"/>
      <c r="C85" s="243"/>
      <c r="D85" s="244"/>
      <c r="E85" s="236" t="str">
        <f>IF(ISERROR(VLOOKUP(D85,'Matriz SWOT'!$J$5:$K$24,2,FALSE)),"",VLOOKUP(D85,'Matriz SWOT'!$J$5:$K$24,2,FALSE))</f>
        <v/>
      </c>
      <c r="F85" s="237"/>
      <c r="G85" s="238" t="str">
        <f t="shared" si="1"/>
        <v/>
      </c>
      <c r="H85" s="239"/>
      <c r="I85" s="240"/>
      <c r="J85" s="241"/>
      <c r="K85" s="236"/>
      <c r="L85" s="231"/>
      <c r="M85" s="231"/>
      <c r="N85" s="231"/>
      <c r="O85" s="231"/>
      <c r="P85" s="242"/>
      <c r="Q85" s="231"/>
      <c r="R85" s="231"/>
      <c r="S85" s="231"/>
      <c r="T85" s="231"/>
      <c r="U85" s="231"/>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row>
    <row r="86" ht="34.5" customHeight="1">
      <c r="A86" s="30"/>
      <c r="B86" s="30"/>
      <c r="C86" s="243"/>
      <c r="D86" s="244"/>
      <c r="E86" s="236" t="str">
        <f>IF(ISERROR(VLOOKUP(D86,'Matriz SWOT'!$J$5:$K$24,2,FALSE)),"",VLOOKUP(D86,'Matriz SWOT'!$J$5:$K$24,2,FALSE))</f>
        <v/>
      </c>
      <c r="F86" s="237"/>
      <c r="G86" s="238" t="str">
        <f t="shared" si="1"/>
        <v/>
      </c>
      <c r="H86" s="239"/>
      <c r="I86" s="240"/>
      <c r="J86" s="241"/>
      <c r="K86" s="236"/>
      <c r="L86" s="231"/>
      <c r="M86" s="231"/>
      <c r="N86" s="231"/>
      <c r="O86" s="231"/>
      <c r="P86" s="242"/>
      <c r="Q86" s="231"/>
      <c r="R86" s="231"/>
      <c r="S86" s="231"/>
      <c r="T86" s="231"/>
      <c r="U86" s="231"/>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row>
    <row r="87" ht="34.5" customHeight="1">
      <c r="A87" s="30"/>
      <c r="B87" s="30"/>
      <c r="C87" s="243"/>
      <c r="D87" s="244"/>
      <c r="E87" s="236" t="str">
        <f>IF(ISERROR(VLOOKUP(D87,'Matriz SWOT'!$J$5:$K$24,2,FALSE)),"",VLOOKUP(D87,'Matriz SWOT'!$J$5:$K$24,2,FALSE))</f>
        <v/>
      </c>
      <c r="F87" s="237"/>
      <c r="G87" s="238" t="str">
        <f t="shared" si="1"/>
        <v/>
      </c>
      <c r="H87" s="239"/>
      <c r="I87" s="240"/>
      <c r="J87" s="241"/>
      <c r="K87" s="236"/>
      <c r="L87" s="231"/>
      <c r="M87" s="231"/>
      <c r="N87" s="231"/>
      <c r="O87" s="231"/>
      <c r="P87" s="242"/>
      <c r="Q87" s="231"/>
      <c r="R87" s="231"/>
      <c r="S87" s="231"/>
      <c r="T87" s="231"/>
      <c r="U87" s="231"/>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row>
    <row r="88" ht="34.5" customHeight="1">
      <c r="A88" s="30"/>
      <c r="B88" s="30"/>
      <c r="C88" s="243"/>
      <c r="D88" s="244"/>
      <c r="E88" s="236" t="str">
        <f>IF(ISERROR(VLOOKUP(D88,'Matriz SWOT'!$J$5:$K$24,2,FALSE)),"",VLOOKUP(D88,'Matriz SWOT'!$J$5:$K$24,2,FALSE))</f>
        <v/>
      </c>
      <c r="F88" s="237"/>
      <c r="G88" s="238" t="str">
        <f t="shared" si="1"/>
        <v/>
      </c>
      <c r="H88" s="239"/>
      <c r="I88" s="240"/>
      <c r="J88" s="241"/>
      <c r="K88" s="236"/>
      <c r="L88" s="231"/>
      <c r="M88" s="231"/>
      <c r="N88" s="231"/>
      <c r="O88" s="231"/>
      <c r="P88" s="242"/>
      <c r="Q88" s="231"/>
      <c r="R88" s="231"/>
      <c r="S88" s="231"/>
      <c r="T88" s="231"/>
      <c r="U88" s="231"/>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row>
    <row r="89" ht="34.5" customHeight="1">
      <c r="A89" s="30"/>
      <c r="B89" s="30"/>
      <c r="C89" s="243"/>
      <c r="D89" s="244"/>
      <c r="E89" s="236" t="str">
        <f>IF(ISERROR(VLOOKUP(D89,'Matriz SWOT'!$J$5:$K$24,2,FALSE)),"",VLOOKUP(D89,'Matriz SWOT'!$J$5:$K$24,2,FALSE))</f>
        <v/>
      </c>
      <c r="F89" s="237"/>
      <c r="G89" s="238" t="str">
        <f t="shared" si="1"/>
        <v/>
      </c>
      <c r="H89" s="239"/>
      <c r="I89" s="240"/>
      <c r="J89" s="241"/>
      <c r="K89" s="236"/>
      <c r="L89" s="231"/>
      <c r="M89" s="231"/>
      <c r="N89" s="231"/>
      <c r="O89" s="231"/>
      <c r="P89" s="242"/>
      <c r="Q89" s="231"/>
      <c r="R89" s="231"/>
      <c r="S89" s="231"/>
      <c r="T89" s="231"/>
      <c r="U89" s="231"/>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row>
    <row r="90" ht="34.5" customHeight="1">
      <c r="A90" s="30"/>
      <c r="B90" s="30"/>
      <c r="C90" s="243"/>
      <c r="D90" s="244"/>
      <c r="E90" s="236" t="str">
        <f>IF(ISERROR(VLOOKUP(D90,'Matriz SWOT'!$J$5:$K$24,2,FALSE)),"",VLOOKUP(D90,'Matriz SWOT'!$J$5:$K$24,2,FALSE))</f>
        <v/>
      </c>
      <c r="F90" s="237"/>
      <c r="G90" s="238" t="str">
        <f t="shared" si="1"/>
        <v/>
      </c>
      <c r="H90" s="239"/>
      <c r="I90" s="240"/>
      <c r="J90" s="241"/>
      <c r="K90" s="236"/>
      <c r="L90" s="231"/>
      <c r="M90" s="231"/>
      <c r="N90" s="231"/>
      <c r="O90" s="231"/>
      <c r="P90" s="242"/>
      <c r="Q90" s="231"/>
      <c r="R90" s="231"/>
      <c r="S90" s="231"/>
      <c r="T90" s="231"/>
      <c r="U90" s="231"/>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row>
    <row r="91" ht="34.5" customHeight="1">
      <c r="A91" s="30"/>
      <c r="B91" s="30"/>
      <c r="C91" s="243"/>
      <c r="D91" s="244"/>
      <c r="E91" s="236" t="str">
        <f>IF(ISERROR(VLOOKUP(D91,'Matriz SWOT'!$J$5:$K$24,2,FALSE)),"",VLOOKUP(D91,'Matriz SWOT'!$J$5:$K$24,2,FALSE))</f>
        <v/>
      </c>
      <c r="F91" s="237"/>
      <c r="G91" s="238" t="str">
        <f t="shared" si="1"/>
        <v/>
      </c>
      <c r="H91" s="239"/>
      <c r="I91" s="240"/>
      <c r="J91" s="241"/>
      <c r="K91" s="236"/>
      <c r="L91" s="231"/>
      <c r="M91" s="231"/>
      <c r="N91" s="231"/>
      <c r="O91" s="231"/>
      <c r="P91" s="242"/>
      <c r="Q91" s="231"/>
      <c r="R91" s="231"/>
      <c r="S91" s="231"/>
      <c r="T91" s="231"/>
      <c r="U91" s="231"/>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row>
    <row r="92" ht="34.5" customHeight="1">
      <c r="A92" s="30"/>
      <c r="B92" s="30"/>
      <c r="C92" s="243"/>
      <c r="D92" s="244"/>
      <c r="E92" s="236" t="str">
        <f>IF(ISERROR(VLOOKUP(D92,'Matriz SWOT'!$J$5:$K$24,2,FALSE)),"",VLOOKUP(D92,'Matriz SWOT'!$J$5:$K$24,2,FALSE))</f>
        <v/>
      </c>
      <c r="F92" s="237"/>
      <c r="G92" s="238" t="str">
        <f t="shared" si="1"/>
        <v/>
      </c>
      <c r="H92" s="239"/>
      <c r="I92" s="240"/>
      <c r="J92" s="241"/>
      <c r="K92" s="236"/>
      <c r="L92" s="231"/>
      <c r="M92" s="231"/>
      <c r="N92" s="231"/>
      <c r="O92" s="231"/>
      <c r="P92" s="242"/>
      <c r="Q92" s="231"/>
      <c r="R92" s="231"/>
      <c r="S92" s="231"/>
      <c r="T92" s="231"/>
      <c r="U92" s="231"/>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row>
    <row r="93" ht="34.5" customHeight="1">
      <c r="A93" s="30"/>
      <c r="B93" s="30"/>
      <c r="C93" s="243"/>
      <c r="D93" s="244"/>
      <c r="E93" s="236" t="str">
        <f>IF(ISERROR(VLOOKUP(D93,'Matriz SWOT'!$J$5:$K$24,2,FALSE)),"",VLOOKUP(D93,'Matriz SWOT'!$J$5:$K$24,2,FALSE))</f>
        <v/>
      </c>
      <c r="F93" s="237"/>
      <c r="G93" s="238" t="str">
        <f t="shared" si="1"/>
        <v/>
      </c>
      <c r="H93" s="239"/>
      <c r="I93" s="240"/>
      <c r="J93" s="241"/>
      <c r="K93" s="236"/>
      <c r="L93" s="231"/>
      <c r="M93" s="231"/>
      <c r="N93" s="231"/>
      <c r="O93" s="231"/>
      <c r="P93" s="242"/>
      <c r="Q93" s="231"/>
      <c r="R93" s="231"/>
      <c r="S93" s="231"/>
      <c r="T93" s="231"/>
      <c r="U93" s="231"/>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row>
    <row r="94" ht="34.5" customHeight="1">
      <c r="A94" s="30"/>
      <c r="B94" s="30"/>
      <c r="C94" s="243"/>
      <c r="D94" s="244"/>
      <c r="E94" s="236" t="str">
        <f>IF(ISERROR(VLOOKUP(D94,'Matriz SWOT'!$J$5:$K$24,2,FALSE)),"",VLOOKUP(D94,'Matriz SWOT'!$J$5:$K$24,2,FALSE))</f>
        <v/>
      </c>
      <c r="F94" s="237"/>
      <c r="G94" s="238" t="str">
        <f t="shared" si="1"/>
        <v/>
      </c>
      <c r="H94" s="239"/>
      <c r="I94" s="240"/>
      <c r="J94" s="241"/>
      <c r="K94" s="236"/>
      <c r="L94" s="231"/>
      <c r="M94" s="231"/>
      <c r="N94" s="231"/>
      <c r="O94" s="231"/>
      <c r="P94" s="242"/>
      <c r="Q94" s="231"/>
      <c r="R94" s="231"/>
      <c r="S94" s="231"/>
      <c r="T94" s="231"/>
      <c r="U94" s="231"/>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row>
    <row r="95" ht="34.5" customHeight="1">
      <c r="A95" s="30"/>
      <c r="B95" s="30"/>
      <c r="C95" s="243"/>
      <c r="D95" s="244"/>
      <c r="E95" s="236" t="str">
        <f>IF(ISERROR(VLOOKUP(D95,'Matriz SWOT'!$J$5:$K$24,2,FALSE)),"",VLOOKUP(D95,'Matriz SWOT'!$J$5:$K$24,2,FALSE))</f>
        <v/>
      </c>
      <c r="F95" s="237"/>
      <c r="G95" s="238" t="str">
        <f t="shared" si="1"/>
        <v/>
      </c>
      <c r="H95" s="239"/>
      <c r="I95" s="240"/>
      <c r="J95" s="241"/>
      <c r="K95" s="236"/>
      <c r="L95" s="231"/>
      <c r="M95" s="231"/>
      <c r="N95" s="231"/>
      <c r="O95" s="231"/>
      <c r="P95" s="242"/>
      <c r="Q95" s="231"/>
      <c r="R95" s="231"/>
      <c r="S95" s="231"/>
      <c r="T95" s="231"/>
      <c r="U95" s="231"/>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row>
    <row r="96" ht="34.5" customHeight="1">
      <c r="A96" s="30"/>
      <c r="B96" s="30"/>
      <c r="C96" s="243"/>
      <c r="D96" s="244"/>
      <c r="E96" s="236" t="str">
        <f>IF(ISERROR(VLOOKUP(D96,'Matriz SWOT'!$J$5:$K$24,2,FALSE)),"",VLOOKUP(D96,'Matriz SWOT'!$J$5:$K$24,2,FALSE))</f>
        <v/>
      </c>
      <c r="F96" s="237"/>
      <c r="G96" s="238" t="str">
        <f t="shared" si="1"/>
        <v/>
      </c>
      <c r="H96" s="239"/>
      <c r="I96" s="240"/>
      <c r="J96" s="241"/>
      <c r="K96" s="236"/>
      <c r="L96" s="231"/>
      <c r="M96" s="231"/>
      <c r="N96" s="231"/>
      <c r="O96" s="231"/>
      <c r="P96" s="242"/>
      <c r="Q96" s="231"/>
      <c r="R96" s="231"/>
      <c r="S96" s="231"/>
      <c r="T96" s="231"/>
      <c r="U96" s="231"/>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row>
    <row r="97" ht="34.5" customHeight="1">
      <c r="A97" s="30"/>
      <c r="B97" s="30"/>
      <c r="C97" s="243"/>
      <c r="D97" s="244"/>
      <c r="E97" s="236" t="str">
        <f>IF(ISERROR(VLOOKUP(D97,'Matriz SWOT'!$J$5:$K$24,2,FALSE)),"",VLOOKUP(D97,'Matriz SWOT'!$J$5:$K$24,2,FALSE))</f>
        <v/>
      </c>
      <c r="F97" s="237"/>
      <c r="G97" s="238" t="str">
        <f t="shared" si="1"/>
        <v/>
      </c>
      <c r="H97" s="239"/>
      <c r="I97" s="240"/>
      <c r="J97" s="241"/>
      <c r="K97" s="236"/>
      <c r="L97" s="231"/>
      <c r="M97" s="231"/>
      <c r="N97" s="231"/>
      <c r="O97" s="231"/>
      <c r="P97" s="242"/>
      <c r="Q97" s="231"/>
      <c r="R97" s="231"/>
      <c r="S97" s="231"/>
      <c r="T97" s="231"/>
      <c r="U97" s="231"/>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row>
    <row r="98" ht="34.5" customHeight="1">
      <c r="A98" s="30"/>
      <c r="B98" s="30"/>
      <c r="C98" s="243"/>
      <c r="D98" s="244"/>
      <c r="E98" s="236" t="str">
        <f>IF(ISERROR(VLOOKUP(D98,'Matriz SWOT'!$J$5:$K$24,2,FALSE)),"",VLOOKUP(D98,'Matriz SWOT'!$J$5:$K$24,2,FALSE))</f>
        <v/>
      </c>
      <c r="F98" s="237"/>
      <c r="G98" s="238" t="str">
        <f t="shared" si="1"/>
        <v/>
      </c>
      <c r="H98" s="239"/>
      <c r="I98" s="240"/>
      <c r="J98" s="241"/>
      <c r="K98" s="236"/>
      <c r="L98" s="231"/>
      <c r="M98" s="231"/>
      <c r="N98" s="231"/>
      <c r="O98" s="231"/>
      <c r="P98" s="242"/>
      <c r="Q98" s="231"/>
      <c r="R98" s="231"/>
      <c r="S98" s="231"/>
      <c r="T98" s="231"/>
      <c r="U98" s="231"/>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row>
    <row r="99" ht="34.5" customHeight="1">
      <c r="A99" s="30"/>
      <c r="B99" s="30"/>
      <c r="C99" s="243"/>
      <c r="D99" s="244"/>
      <c r="E99" s="236" t="str">
        <f>IF(ISERROR(VLOOKUP(D99,'Matriz SWOT'!$J$5:$K$24,2,FALSE)),"",VLOOKUP(D99,'Matriz SWOT'!$J$5:$K$24,2,FALSE))</f>
        <v/>
      </c>
      <c r="F99" s="237"/>
      <c r="G99" s="238" t="str">
        <f t="shared" si="1"/>
        <v/>
      </c>
      <c r="H99" s="239"/>
      <c r="I99" s="240"/>
      <c r="J99" s="241"/>
      <c r="K99" s="236"/>
      <c r="L99" s="231"/>
      <c r="M99" s="231"/>
      <c r="N99" s="231"/>
      <c r="O99" s="231"/>
      <c r="P99" s="242"/>
      <c r="Q99" s="231"/>
      <c r="R99" s="231"/>
      <c r="S99" s="231"/>
      <c r="T99" s="231"/>
      <c r="U99" s="231"/>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row>
    <row r="100" ht="34.5" customHeight="1">
      <c r="A100" s="30"/>
      <c r="B100" s="30"/>
      <c r="C100" s="243"/>
      <c r="D100" s="244"/>
      <c r="E100" s="236" t="str">
        <f>IF(ISERROR(VLOOKUP(D100,'Matriz SWOT'!$J$5:$K$24,2,FALSE)),"",VLOOKUP(D100,'Matriz SWOT'!$J$5:$K$24,2,FALSE))</f>
        <v/>
      </c>
      <c r="F100" s="237"/>
      <c r="G100" s="238" t="str">
        <f t="shared" si="1"/>
        <v/>
      </c>
      <c r="H100" s="239"/>
      <c r="I100" s="240"/>
      <c r="J100" s="241"/>
      <c r="K100" s="236"/>
      <c r="L100" s="231"/>
      <c r="M100" s="231"/>
      <c r="N100" s="231"/>
      <c r="O100" s="231"/>
      <c r="P100" s="242"/>
      <c r="Q100" s="231"/>
      <c r="R100" s="231"/>
      <c r="S100" s="231"/>
      <c r="T100" s="231"/>
      <c r="U100" s="231"/>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row>
    <row r="101" ht="34.5" customHeight="1">
      <c r="A101" s="30"/>
      <c r="B101" s="30"/>
      <c r="C101" s="243"/>
      <c r="D101" s="244"/>
      <c r="E101" s="236" t="str">
        <f>IF(ISERROR(VLOOKUP(D101,'Matriz SWOT'!$J$5:$K$24,2,FALSE)),"",VLOOKUP(D101,'Matriz SWOT'!$J$5:$K$24,2,FALSE))</f>
        <v/>
      </c>
      <c r="F101" s="237"/>
      <c r="G101" s="238" t="str">
        <f t="shared" si="1"/>
        <v/>
      </c>
      <c r="H101" s="239"/>
      <c r="I101" s="240"/>
      <c r="J101" s="241"/>
      <c r="K101" s="236"/>
      <c r="L101" s="231"/>
      <c r="M101" s="231"/>
      <c r="N101" s="231"/>
      <c r="O101" s="231"/>
      <c r="P101" s="242"/>
      <c r="Q101" s="231"/>
      <c r="R101" s="231"/>
      <c r="S101" s="231"/>
      <c r="T101" s="231"/>
      <c r="U101" s="231"/>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row>
    <row r="102" ht="34.5" customHeight="1">
      <c r="A102" s="30"/>
      <c r="B102" s="30"/>
      <c r="C102" s="243"/>
      <c r="D102" s="244"/>
      <c r="E102" s="236" t="str">
        <f>IF(ISERROR(VLOOKUP(D102,'Matriz SWOT'!$J$5:$K$24,2,FALSE)),"",VLOOKUP(D102,'Matriz SWOT'!$J$5:$K$24,2,FALSE))</f>
        <v/>
      </c>
      <c r="F102" s="237"/>
      <c r="G102" s="238" t="str">
        <f t="shared" si="1"/>
        <v/>
      </c>
      <c r="H102" s="239"/>
      <c r="I102" s="240"/>
      <c r="J102" s="241"/>
      <c r="K102" s="236"/>
      <c r="L102" s="231"/>
      <c r="M102" s="231"/>
      <c r="N102" s="231"/>
      <c r="O102" s="231"/>
      <c r="P102" s="242"/>
      <c r="Q102" s="231"/>
      <c r="R102" s="231"/>
      <c r="S102" s="231"/>
      <c r="T102" s="231"/>
      <c r="U102" s="231"/>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row>
    <row r="103" ht="34.5" customHeight="1">
      <c r="A103" s="30"/>
      <c r="B103" s="30"/>
      <c r="C103" s="243"/>
      <c r="D103" s="244"/>
      <c r="E103" s="236" t="str">
        <f>IF(ISERROR(VLOOKUP(D103,'Matriz SWOT'!$J$5:$K$24,2,FALSE)),"",VLOOKUP(D103,'Matriz SWOT'!$J$5:$K$24,2,FALSE))</f>
        <v/>
      </c>
      <c r="F103" s="237"/>
      <c r="G103" s="238" t="str">
        <f t="shared" si="1"/>
        <v/>
      </c>
      <c r="H103" s="239"/>
      <c r="I103" s="240"/>
      <c r="J103" s="241"/>
      <c r="K103" s="236"/>
      <c r="L103" s="231"/>
      <c r="M103" s="231"/>
      <c r="N103" s="231"/>
      <c r="O103" s="231"/>
      <c r="P103" s="242"/>
      <c r="Q103" s="231"/>
      <c r="R103" s="231"/>
      <c r="S103" s="231"/>
      <c r="T103" s="231"/>
      <c r="U103" s="231"/>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row>
    <row r="104" ht="34.5" customHeight="1">
      <c r="A104" s="30"/>
      <c r="B104" s="30"/>
      <c r="C104" s="243"/>
      <c r="D104" s="244"/>
      <c r="E104" s="236" t="str">
        <f>IF(ISERROR(VLOOKUP(D104,'Matriz SWOT'!$J$5:$K$24,2,FALSE)),"",VLOOKUP(D104,'Matriz SWOT'!$J$5:$K$24,2,FALSE))</f>
        <v/>
      </c>
      <c r="F104" s="237"/>
      <c r="G104" s="238" t="str">
        <f t="shared" si="1"/>
        <v/>
      </c>
      <c r="H104" s="239"/>
      <c r="I104" s="240"/>
      <c r="J104" s="241"/>
      <c r="K104" s="236"/>
      <c r="L104" s="231"/>
      <c r="M104" s="231"/>
      <c r="N104" s="231"/>
      <c r="O104" s="231"/>
      <c r="P104" s="242"/>
      <c r="Q104" s="231"/>
      <c r="R104" s="231"/>
      <c r="S104" s="231"/>
      <c r="T104" s="231"/>
      <c r="U104" s="231"/>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row>
    <row r="105" ht="34.5" customHeight="1">
      <c r="A105" s="30"/>
      <c r="B105" s="30"/>
      <c r="C105" s="243"/>
      <c r="D105" s="244"/>
      <c r="E105" s="236" t="str">
        <f>IF(ISERROR(VLOOKUP(D105,'Matriz SWOT'!$J$5:$K$24,2,FALSE)),"",VLOOKUP(D105,'Matriz SWOT'!$J$5:$K$24,2,FALSE))</f>
        <v/>
      </c>
      <c r="F105" s="237"/>
      <c r="G105" s="238" t="str">
        <f t="shared" si="1"/>
        <v/>
      </c>
      <c r="H105" s="239"/>
      <c r="I105" s="240"/>
      <c r="J105" s="241"/>
      <c r="K105" s="236"/>
      <c r="L105" s="231"/>
      <c r="M105" s="231"/>
      <c r="N105" s="231"/>
      <c r="O105" s="231"/>
      <c r="P105" s="242"/>
      <c r="Q105" s="231"/>
      <c r="R105" s="231"/>
      <c r="S105" s="231"/>
      <c r="T105" s="231"/>
      <c r="U105" s="231"/>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row>
    <row r="106" ht="34.5" customHeight="1">
      <c r="A106" s="30"/>
      <c r="B106" s="30"/>
      <c r="C106" s="243"/>
      <c r="D106" s="244"/>
      <c r="E106" s="236" t="str">
        <f>IF(ISERROR(VLOOKUP(D106,'Matriz SWOT'!$J$5:$K$24,2,FALSE)),"",VLOOKUP(D106,'Matriz SWOT'!$J$5:$K$24,2,FALSE))</f>
        <v/>
      </c>
      <c r="F106" s="237"/>
      <c r="G106" s="238" t="str">
        <f t="shared" si="1"/>
        <v/>
      </c>
      <c r="H106" s="239"/>
      <c r="I106" s="240"/>
      <c r="J106" s="241"/>
      <c r="K106" s="236"/>
      <c r="L106" s="231"/>
      <c r="M106" s="231"/>
      <c r="N106" s="231"/>
      <c r="O106" s="231"/>
      <c r="P106" s="242"/>
      <c r="Q106" s="231"/>
      <c r="R106" s="231"/>
      <c r="S106" s="231"/>
      <c r="T106" s="231"/>
      <c r="U106" s="231"/>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row>
    <row r="107" ht="34.5" customHeight="1">
      <c r="A107" s="30"/>
      <c r="B107" s="30"/>
      <c r="C107" s="243"/>
      <c r="D107" s="244"/>
      <c r="E107" s="236" t="str">
        <f>IF(ISERROR(VLOOKUP(D107,'Matriz SWOT'!$J$5:$K$24,2,FALSE)),"",VLOOKUP(D107,'Matriz SWOT'!$J$5:$K$24,2,FALSE))</f>
        <v/>
      </c>
      <c r="F107" s="237"/>
      <c r="G107" s="238" t="str">
        <f t="shared" si="1"/>
        <v/>
      </c>
      <c r="H107" s="239"/>
      <c r="I107" s="240"/>
      <c r="J107" s="241"/>
      <c r="K107" s="236" t="str">
        <f>IF(J107=0,"",IF(J107="Concluído","Concluído",IF(AND(TODAY()&gt;I107,J107&lt;&gt;"Concluído"),"Atrasado",IF(AND(TODAY()&lt;H107,J107="Não iniciado"),"Aguardando",IF(AND(TODAY()&lt;H107,J107="Em andamento"),"Adiantado",IF(AND(TODAY()&gt;=H107,TODAY()&lt;=I107,J107="Em andamento"),"Em andamento","Atrasado"))))))</f>
        <v/>
      </c>
      <c r="L107" s="231"/>
      <c r="N107" s="231"/>
      <c r="O107" s="231"/>
      <c r="P107" s="242"/>
      <c r="Q107" s="231"/>
      <c r="R107" s="231"/>
      <c r="S107" s="231"/>
      <c r="T107" s="231"/>
      <c r="U107" s="231"/>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row>
    <row r="108" ht="30.0" customHeight="1">
      <c r="A108" s="30"/>
      <c r="B108" s="30"/>
      <c r="C108" s="66"/>
      <c r="F108" s="66"/>
      <c r="G108" s="66"/>
      <c r="L108" s="231"/>
      <c r="M108" s="231"/>
      <c r="N108" s="231"/>
      <c r="O108" s="231"/>
      <c r="P108" s="242"/>
      <c r="Q108" s="231"/>
      <c r="R108" s="231"/>
      <c r="S108" s="231"/>
      <c r="T108" s="231"/>
      <c r="U108" s="231"/>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row>
    <row r="109" ht="30.0" customHeight="1">
      <c r="A109" s="30"/>
      <c r="B109" s="30"/>
      <c r="C109" s="66"/>
      <c r="F109" s="66"/>
      <c r="G109" s="66"/>
      <c r="L109" s="231"/>
      <c r="M109" s="231"/>
      <c r="N109" s="231"/>
      <c r="O109" s="231"/>
      <c r="P109" s="242"/>
      <c r="Q109" s="231"/>
      <c r="R109" s="231"/>
      <c r="S109" s="231"/>
      <c r="T109" s="231"/>
      <c r="U109" s="231"/>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row>
    <row r="110" ht="30.0" customHeight="1">
      <c r="A110" s="30"/>
      <c r="B110" s="30"/>
      <c r="C110" s="66"/>
      <c r="F110" s="66"/>
      <c r="G110" s="66"/>
      <c r="L110" s="231"/>
      <c r="M110" s="231"/>
      <c r="N110" s="231"/>
      <c r="O110" s="231"/>
      <c r="P110" s="242"/>
      <c r="Q110" s="231"/>
      <c r="R110" s="231"/>
      <c r="S110" s="231"/>
      <c r="T110" s="231"/>
      <c r="U110" s="231"/>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row>
    <row r="111" ht="30.0" customHeight="1">
      <c r="A111" s="30"/>
      <c r="B111" s="30"/>
      <c r="C111" s="66"/>
      <c r="F111" s="66"/>
      <c r="G111" s="66"/>
      <c r="L111" s="231"/>
      <c r="M111" s="231"/>
      <c r="N111" s="231"/>
      <c r="O111" s="231"/>
      <c r="P111" s="242"/>
      <c r="Q111" s="231"/>
      <c r="R111" s="231"/>
      <c r="S111" s="231"/>
      <c r="T111" s="231"/>
      <c r="U111" s="231"/>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row>
    <row r="112" ht="30.0" customHeight="1">
      <c r="A112" s="30"/>
      <c r="B112" s="30"/>
      <c r="C112" s="66"/>
      <c r="F112" s="66"/>
      <c r="G112" s="66"/>
      <c r="L112" s="231"/>
      <c r="M112" s="231"/>
      <c r="N112" s="231"/>
      <c r="O112" s="231"/>
      <c r="P112" s="242"/>
      <c r="Q112" s="231"/>
      <c r="R112" s="231"/>
      <c r="S112" s="231"/>
      <c r="T112" s="231"/>
      <c r="U112" s="231"/>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row>
    <row r="113" ht="30.0" customHeight="1">
      <c r="A113" s="30"/>
      <c r="B113" s="30"/>
      <c r="L113" s="231"/>
      <c r="M113" s="231"/>
      <c r="N113" s="231"/>
      <c r="O113" s="231"/>
      <c r="P113" s="242"/>
      <c r="Q113" s="231"/>
      <c r="R113" s="231"/>
      <c r="S113" s="231"/>
      <c r="T113" s="231"/>
      <c r="U113" s="231"/>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row>
    <row r="114" ht="30.0" customHeight="1">
      <c r="A114" s="30"/>
      <c r="B114" s="30"/>
      <c r="L114" s="231"/>
      <c r="M114" s="231"/>
      <c r="N114" s="231"/>
      <c r="O114" s="231"/>
      <c r="P114" s="242"/>
      <c r="Q114" s="231"/>
      <c r="R114" s="231"/>
      <c r="S114" s="231"/>
      <c r="T114" s="231"/>
      <c r="U114" s="231"/>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row>
    <row r="115" ht="30.0" customHeight="1">
      <c r="A115" s="30"/>
      <c r="B115" s="30"/>
      <c r="L115" s="231"/>
      <c r="M115" s="231"/>
      <c r="N115" s="231"/>
      <c r="O115" s="231"/>
      <c r="P115" s="242"/>
      <c r="Q115" s="231"/>
      <c r="R115" s="231"/>
      <c r="S115" s="231"/>
      <c r="T115" s="231"/>
      <c r="U115" s="231"/>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row>
    <row r="116" ht="30.0" customHeight="1">
      <c r="A116" s="30"/>
      <c r="B116" s="30"/>
      <c r="L116" s="231"/>
      <c r="M116" s="231"/>
      <c r="N116" s="231"/>
      <c r="O116" s="231"/>
      <c r="P116" s="242"/>
      <c r="Q116" s="231"/>
      <c r="R116" s="231"/>
      <c r="S116" s="231"/>
      <c r="T116" s="231"/>
      <c r="U116" s="231"/>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row>
    <row r="117" ht="30.0" customHeight="1">
      <c r="A117" s="30"/>
      <c r="B117" s="30"/>
      <c r="L117" s="231"/>
      <c r="M117" s="231"/>
      <c r="N117" s="231"/>
      <c r="O117" s="231"/>
      <c r="P117" s="242"/>
      <c r="Q117" s="231"/>
      <c r="R117" s="231"/>
      <c r="S117" s="231"/>
      <c r="T117" s="231"/>
      <c r="U117" s="231"/>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row>
    <row r="118" ht="30.0" customHeight="1">
      <c r="A118" s="30"/>
      <c r="B118" s="30"/>
      <c r="L118" s="231"/>
      <c r="M118" s="231"/>
      <c r="N118" s="231"/>
      <c r="O118" s="231"/>
      <c r="P118" s="242"/>
      <c r="Q118" s="231"/>
      <c r="R118" s="231"/>
      <c r="S118" s="231"/>
      <c r="T118" s="231"/>
      <c r="U118" s="231"/>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row>
    <row r="119" ht="30.0" customHeight="1">
      <c r="A119" s="30"/>
      <c r="B119" s="30"/>
      <c r="J119" s="64"/>
      <c r="K119" s="64"/>
      <c r="L119" s="231"/>
      <c r="M119" s="231"/>
      <c r="N119" s="231"/>
      <c r="O119" s="231"/>
      <c r="P119" s="242"/>
      <c r="Q119" s="231"/>
      <c r="R119" s="231"/>
      <c r="S119" s="231"/>
      <c r="T119" s="231"/>
      <c r="U119" s="231"/>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row>
    <row r="120" ht="52.5" customHeight="1">
      <c r="A120" s="30"/>
      <c r="B120" s="30"/>
      <c r="J120" s="64"/>
      <c r="K120" s="64"/>
      <c r="L120" s="231"/>
      <c r="M120" s="231"/>
      <c r="N120" s="231"/>
      <c r="O120" s="231"/>
      <c r="P120" s="231"/>
      <c r="Q120" s="242"/>
      <c r="R120" s="231"/>
      <c r="S120" s="231"/>
      <c r="T120" s="231"/>
      <c r="U120" s="231"/>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row>
    <row r="121" ht="30.0" customHeight="1">
      <c r="A121" s="30"/>
      <c r="B121" s="30"/>
      <c r="J121" s="64"/>
      <c r="K121" s="64"/>
      <c r="L121" s="231"/>
      <c r="M121" s="231"/>
      <c r="N121" s="231"/>
      <c r="O121" s="231"/>
      <c r="P121" s="231"/>
      <c r="Q121" s="242"/>
      <c r="R121" s="231"/>
      <c r="S121" s="231"/>
      <c r="T121" s="231"/>
      <c r="U121" s="231"/>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row>
    <row r="122" ht="30.0" customHeight="1">
      <c r="A122" s="30"/>
      <c r="B122" s="30"/>
      <c r="J122" s="64"/>
      <c r="K122" s="64"/>
      <c r="L122" s="231"/>
      <c r="M122" s="231"/>
      <c r="N122" s="231"/>
      <c r="O122" s="231"/>
      <c r="P122" s="231"/>
      <c r="Q122" s="242"/>
      <c r="R122" s="231"/>
      <c r="S122" s="231"/>
      <c r="T122" s="231"/>
      <c r="U122" s="231"/>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row>
    <row r="123" ht="30.0" customHeight="1">
      <c r="A123" s="30"/>
      <c r="B123" s="30"/>
      <c r="J123" s="64"/>
      <c r="K123" s="64"/>
      <c r="L123" s="231"/>
      <c r="M123" s="231"/>
      <c r="N123" s="231"/>
      <c r="O123" s="231"/>
      <c r="P123" s="231"/>
      <c r="Q123" s="242"/>
      <c r="R123" s="231"/>
      <c r="S123" s="231"/>
      <c r="T123" s="231"/>
      <c r="U123" s="231"/>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row>
    <row r="124" ht="30.0" customHeight="1">
      <c r="A124" s="30"/>
      <c r="B124" s="30"/>
      <c r="J124" s="64"/>
      <c r="K124" s="64"/>
      <c r="L124" s="231"/>
      <c r="M124" s="231"/>
      <c r="N124" s="231"/>
      <c r="O124" s="231"/>
      <c r="P124" s="231"/>
      <c r="Q124" s="242"/>
      <c r="R124" s="231"/>
      <c r="S124" s="231"/>
      <c r="T124" s="231"/>
      <c r="U124" s="231"/>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row>
    <row r="125" ht="14.25" customHeight="1">
      <c r="A125" s="30"/>
      <c r="B125" s="30"/>
      <c r="C125" s="66"/>
      <c r="F125" s="66"/>
      <c r="G125" s="66"/>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row>
    <row r="126" ht="14.25" customHeight="1">
      <c r="A126" s="30"/>
      <c r="B126" s="30"/>
      <c r="C126" s="66"/>
      <c r="F126" s="66"/>
      <c r="G126" s="66"/>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row>
    <row r="127" ht="14.25" customHeight="1">
      <c r="A127" s="30"/>
      <c r="B127" s="30"/>
      <c r="C127" s="66"/>
      <c r="F127" s="66"/>
      <c r="G127" s="66"/>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row>
    <row r="128" ht="14.25" customHeight="1">
      <c r="A128" s="30"/>
      <c r="B128" s="30"/>
      <c r="C128" s="66"/>
      <c r="F128" s="66"/>
      <c r="G128" s="66"/>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row>
    <row r="129" ht="14.25" customHeight="1">
      <c r="A129" s="30"/>
      <c r="B129" s="30"/>
      <c r="C129" s="66"/>
      <c r="F129" s="66"/>
      <c r="G129" s="66"/>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row>
    <row r="130" ht="14.25" customHeight="1">
      <c r="A130" s="30"/>
      <c r="B130" s="30"/>
      <c r="C130" s="66"/>
      <c r="F130" s="66"/>
      <c r="G130" s="66"/>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row>
    <row r="131" ht="14.25" customHeight="1">
      <c r="A131" s="30"/>
      <c r="B131" s="30"/>
      <c r="C131" s="66"/>
      <c r="F131" s="66"/>
      <c r="G131" s="66"/>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row>
    <row r="132" ht="14.25" customHeight="1">
      <c r="A132" s="30"/>
      <c r="B132" s="30"/>
      <c r="C132" s="66"/>
      <c r="F132" s="66"/>
      <c r="G132" s="66"/>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row>
    <row r="133" ht="14.25" customHeight="1">
      <c r="A133" s="30"/>
      <c r="B133" s="30"/>
      <c r="C133" s="66"/>
      <c r="F133" s="66"/>
      <c r="G133" s="66"/>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row>
    <row r="134" ht="14.25" customHeight="1">
      <c r="A134" s="30"/>
      <c r="B134" s="30"/>
      <c r="C134" s="66"/>
      <c r="F134" s="66"/>
      <c r="G134" s="66"/>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row>
    <row r="135" ht="14.25" customHeight="1">
      <c r="A135" s="30"/>
      <c r="B135" s="30"/>
      <c r="C135" s="66"/>
      <c r="F135" s="66"/>
      <c r="G135" s="66"/>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row>
    <row r="136" ht="14.25" customHeight="1">
      <c r="A136" s="30"/>
      <c r="B136" s="30"/>
      <c r="C136" s="66"/>
      <c r="F136" s="66"/>
      <c r="G136" s="66"/>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row>
    <row r="137" ht="14.25" customHeight="1">
      <c r="A137" s="30"/>
      <c r="B137" s="30"/>
      <c r="C137" s="66"/>
      <c r="F137" s="66"/>
      <c r="G137" s="66"/>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row>
    <row r="138" ht="14.25" customHeight="1">
      <c r="A138" s="30"/>
      <c r="B138" s="30"/>
      <c r="C138" s="66"/>
      <c r="F138" s="66"/>
      <c r="G138" s="66"/>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row>
    <row r="139" ht="14.25" customHeight="1">
      <c r="A139" s="30"/>
      <c r="B139" s="30"/>
      <c r="C139" s="66"/>
      <c r="F139" s="66"/>
      <c r="G139" s="66"/>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row>
    <row r="140" ht="14.25" customHeight="1">
      <c r="A140" s="30"/>
      <c r="B140" s="30"/>
      <c r="C140" s="66"/>
      <c r="F140" s="66"/>
      <c r="G140" s="66"/>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row>
    <row r="141" ht="14.25" customHeight="1">
      <c r="A141" s="30"/>
      <c r="B141" s="30"/>
      <c r="C141" s="66"/>
      <c r="F141" s="66"/>
      <c r="G141" s="66"/>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row>
    <row r="142" ht="14.25" customHeight="1">
      <c r="A142" s="30"/>
      <c r="B142" s="30"/>
      <c r="C142" s="66"/>
      <c r="F142" s="66"/>
      <c r="G142" s="66"/>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row>
    <row r="143" ht="14.25" customHeight="1">
      <c r="A143" s="30"/>
      <c r="B143" s="30"/>
      <c r="C143" s="66"/>
      <c r="F143" s="66"/>
      <c r="G143" s="66"/>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row>
    <row r="144" ht="14.25" customHeight="1">
      <c r="A144" s="30"/>
      <c r="B144" s="30"/>
      <c r="C144" s="66"/>
      <c r="F144" s="66"/>
      <c r="G144" s="66"/>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row>
    <row r="145" ht="14.25" customHeight="1">
      <c r="A145" s="30"/>
      <c r="B145" s="30"/>
      <c r="C145" s="66"/>
      <c r="F145" s="66"/>
      <c r="G145" s="66"/>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row>
    <row r="146" ht="14.25" customHeight="1">
      <c r="A146" s="30"/>
      <c r="B146" s="30"/>
      <c r="C146" s="66"/>
      <c r="F146" s="66"/>
      <c r="G146" s="66"/>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row>
    <row r="147" ht="14.25" customHeight="1">
      <c r="A147" s="30"/>
      <c r="B147" s="30"/>
      <c r="C147" s="66"/>
      <c r="F147" s="66"/>
      <c r="G147" s="66"/>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row>
    <row r="148" ht="14.25" customHeight="1">
      <c r="A148" s="30"/>
      <c r="B148" s="30"/>
      <c r="C148" s="66"/>
      <c r="F148" s="66"/>
      <c r="G148" s="66"/>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row>
    <row r="149" ht="14.25" customHeight="1">
      <c r="A149" s="30"/>
      <c r="B149" s="30"/>
      <c r="C149" s="66"/>
      <c r="F149" s="66"/>
      <c r="G149" s="66"/>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row>
    <row r="150" ht="14.25" customHeight="1">
      <c r="A150" s="30"/>
      <c r="B150" s="30"/>
      <c r="C150" s="66"/>
      <c r="F150" s="66"/>
      <c r="G150" s="66"/>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row>
    <row r="151" ht="14.25" customHeight="1">
      <c r="A151" s="30"/>
      <c r="B151" s="30"/>
      <c r="C151" s="66"/>
      <c r="F151" s="66"/>
      <c r="G151" s="66"/>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row>
    <row r="152" ht="14.25" customHeight="1">
      <c r="A152" s="30"/>
      <c r="B152" s="30"/>
      <c r="C152" s="66"/>
      <c r="F152" s="66"/>
      <c r="G152" s="66"/>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row>
    <row r="153" ht="14.25" customHeight="1">
      <c r="A153" s="30"/>
      <c r="B153" s="30"/>
      <c r="C153" s="66"/>
      <c r="F153" s="66"/>
      <c r="G153" s="66"/>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row>
    <row r="154" ht="14.25" customHeight="1">
      <c r="A154" s="30"/>
      <c r="B154" s="30"/>
      <c r="C154" s="66"/>
      <c r="F154" s="66"/>
      <c r="G154" s="66"/>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row>
    <row r="155" ht="14.25" customHeight="1">
      <c r="A155" s="30"/>
      <c r="B155" s="30"/>
      <c r="C155" s="66"/>
      <c r="F155" s="66"/>
      <c r="G155" s="66"/>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row>
    <row r="156" ht="14.25" customHeight="1">
      <c r="A156" s="30"/>
      <c r="B156" s="30"/>
      <c r="C156" s="66"/>
      <c r="F156" s="66"/>
      <c r="G156" s="66"/>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row>
    <row r="157" ht="14.25" customHeight="1">
      <c r="A157" s="30"/>
      <c r="B157" s="30"/>
      <c r="C157" s="66"/>
      <c r="F157" s="66"/>
      <c r="G157" s="66"/>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row>
    <row r="158" ht="14.25" customHeight="1">
      <c r="A158" s="30"/>
      <c r="B158" s="30"/>
      <c r="C158" s="66"/>
      <c r="F158" s="66"/>
      <c r="G158" s="66"/>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row>
    <row r="159" ht="14.25" customHeight="1">
      <c r="A159" s="30"/>
      <c r="B159" s="30"/>
      <c r="C159" s="66"/>
      <c r="F159" s="66"/>
      <c r="G159" s="66"/>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row>
    <row r="160" ht="14.25" customHeight="1">
      <c r="A160" s="30"/>
      <c r="B160" s="30"/>
      <c r="C160" s="66"/>
      <c r="F160" s="66"/>
      <c r="G160" s="66"/>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row>
    <row r="161" ht="14.25" customHeight="1">
      <c r="A161" s="30"/>
      <c r="B161" s="30"/>
      <c r="C161" s="66"/>
      <c r="F161" s="66"/>
      <c r="G161" s="66"/>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row>
    <row r="162" ht="14.25" customHeight="1">
      <c r="A162" s="30"/>
      <c r="B162" s="30"/>
      <c r="C162" s="66"/>
      <c r="F162" s="66"/>
      <c r="G162" s="66"/>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row>
    <row r="163" ht="14.25" customHeight="1">
      <c r="A163" s="30"/>
      <c r="B163" s="30"/>
      <c r="C163" s="66"/>
      <c r="F163" s="66"/>
      <c r="G163" s="66"/>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row>
    <row r="164" ht="14.25" customHeight="1">
      <c r="A164" s="30"/>
      <c r="B164" s="30"/>
      <c r="C164" s="66"/>
      <c r="F164" s="66"/>
      <c r="G164" s="66"/>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row>
    <row r="165" ht="14.25" customHeight="1">
      <c r="A165" s="30"/>
      <c r="B165" s="30"/>
      <c r="C165" s="66"/>
      <c r="F165" s="66"/>
      <c r="G165" s="66"/>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row>
    <row r="166" ht="14.25" customHeight="1">
      <c r="A166" s="30"/>
      <c r="B166" s="30"/>
      <c r="C166" s="66"/>
      <c r="F166" s="66"/>
      <c r="G166" s="66"/>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row>
    <row r="167" ht="14.25" customHeight="1">
      <c r="A167" s="30"/>
      <c r="B167" s="30"/>
      <c r="C167" s="66"/>
      <c r="F167" s="66"/>
      <c r="G167" s="66"/>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row>
    <row r="168" ht="14.25" customHeight="1">
      <c r="A168" s="30"/>
      <c r="B168" s="30"/>
      <c r="C168" s="66"/>
      <c r="F168" s="66"/>
      <c r="G168" s="66"/>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row>
    <row r="169" ht="14.25" customHeight="1">
      <c r="A169" s="30"/>
      <c r="B169" s="30"/>
      <c r="C169" s="66"/>
      <c r="F169" s="66"/>
      <c r="G169" s="66"/>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row>
    <row r="170" ht="14.25" customHeight="1">
      <c r="A170" s="30"/>
      <c r="B170" s="30"/>
      <c r="C170" s="66"/>
      <c r="F170" s="66"/>
      <c r="G170" s="66"/>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row>
    <row r="171" ht="14.25" customHeight="1">
      <c r="A171" s="30"/>
      <c r="B171" s="30"/>
      <c r="C171" s="66"/>
      <c r="F171" s="66"/>
      <c r="G171" s="66"/>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row>
    <row r="172" ht="14.25" customHeight="1">
      <c r="A172" s="30"/>
      <c r="B172" s="30"/>
      <c r="C172" s="66"/>
      <c r="F172" s="66"/>
      <c r="G172" s="66"/>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row>
    <row r="173" ht="14.25" customHeight="1">
      <c r="A173" s="30"/>
      <c r="B173" s="30"/>
      <c r="C173" s="66"/>
      <c r="F173" s="66"/>
      <c r="G173" s="66"/>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row>
    <row r="174" ht="14.25" customHeight="1">
      <c r="A174" s="30"/>
      <c r="B174" s="30"/>
      <c r="C174" s="66"/>
      <c r="F174" s="66"/>
      <c r="G174" s="66"/>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row>
    <row r="175" ht="14.25" customHeight="1">
      <c r="A175" s="30"/>
      <c r="B175" s="30"/>
      <c r="C175" s="66"/>
      <c r="F175" s="66"/>
      <c r="G175" s="66"/>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row>
    <row r="176" ht="14.25" customHeight="1">
      <c r="A176" s="30"/>
      <c r="B176" s="30"/>
      <c r="C176" s="66"/>
      <c r="F176" s="66"/>
      <c r="G176" s="66"/>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row>
    <row r="177" ht="14.25" customHeight="1">
      <c r="A177" s="30"/>
      <c r="B177" s="30"/>
      <c r="C177" s="66"/>
      <c r="F177" s="66"/>
      <c r="G177" s="66"/>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row>
    <row r="178" ht="14.25" customHeight="1">
      <c r="A178" s="30"/>
      <c r="B178" s="30"/>
      <c r="C178" s="66"/>
      <c r="F178" s="66"/>
      <c r="G178" s="66"/>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row>
    <row r="179" ht="14.25" customHeight="1">
      <c r="A179" s="30"/>
      <c r="B179" s="30"/>
      <c r="C179" s="66"/>
      <c r="F179" s="66"/>
      <c r="G179" s="66"/>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row>
    <row r="180" ht="14.25" customHeight="1">
      <c r="A180" s="30"/>
      <c r="B180" s="30"/>
      <c r="C180" s="66"/>
      <c r="F180" s="66"/>
      <c r="G180" s="66"/>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row>
    <row r="181" ht="14.25" customHeight="1">
      <c r="A181" s="30"/>
      <c r="B181" s="30"/>
      <c r="C181" s="66"/>
      <c r="F181" s="66"/>
      <c r="G181" s="66"/>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row>
    <row r="182" ht="14.25" customHeight="1">
      <c r="A182" s="30"/>
      <c r="B182" s="30"/>
      <c r="C182" s="66"/>
      <c r="F182" s="66"/>
      <c r="G182" s="66"/>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row>
    <row r="183" ht="14.25" customHeight="1">
      <c r="A183" s="30"/>
      <c r="B183" s="30"/>
      <c r="C183" s="66"/>
      <c r="F183" s="66"/>
      <c r="G183" s="66"/>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row>
    <row r="184" ht="14.25" customHeight="1">
      <c r="A184" s="30"/>
      <c r="B184" s="30"/>
      <c r="C184" s="66"/>
      <c r="F184" s="66"/>
      <c r="G184" s="66"/>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row>
    <row r="185" ht="14.25" customHeight="1">
      <c r="A185" s="30"/>
      <c r="B185" s="30"/>
      <c r="C185" s="66"/>
      <c r="F185" s="66"/>
      <c r="G185" s="66"/>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row>
    <row r="186" ht="14.25" customHeight="1">
      <c r="A186" s="30"/>
      <c r="B186" s="30"/>
      <c r="C186" s="66"/>
      <c r="F186" s="66"/>
      <c r="G186" s="66"/>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row>
    <row r="187" ht="14.25" customHeight="1">
      <c r="A187" s="30"/>
      <c r="B187" s="30"/>
      <c r="C187" s="66"/>
      <c r="F187" s="66"/>
      <c r="G187" s="66"/>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row>
    <row r="188" ht="14.25" customHeight="1">
      <c r="A188" s="30"/>
      <c r="B188" s="30"/>
      <c r="C188" s="66"/>
      <c r="F188" s="66"/>
      <c r="G188" s="66"/>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c r="AW188" s="90"/>
      <c r="AX188" s="90"/>
    </row>
    <row r="189" ht="14.25" customHeight="1">
      <c r="A189" s="30"/>
      <c r="B189" s="30"/>
      <c r="C189" s="66"/>
      <c r="F189" s="66"/>
      <c r="G189" s="66"/>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c r="AW189" s="90"/>
      <c r="AX189" s="90"/>
    </row>
    <row r="190" ht="14.25" customHeight="1">
      <c r="A190" s="30"/>
      <c r="B190" s="30"/>
      <c r="C190" s="66"/>
      <c r="F190" s="66"/>
      <c r="G190" s="66"/>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c r="AW190" s="90"/>
      <c r="AX190" s="90"/>
    </row>
    <row r="191" ht="14.25" customHeight="1">
      <c r="A191" s="30"/>
      <c r="B191" s="30"/>
      <c r="C191" s="66"/>
      <c r="F191" s="66"/>
      <c r="G191" s="66"/>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c r="AW191" s="90"/>
      <c r="AX191" s="90"/>
    </row>
    <row r="192" ht="14.25" customHeight="1">
      <c r="A192" s="30"/>
      <c r="B192" s="30"/>
      <c r="C192" s="66"/>
      <c r="F192" s="66"/>
      <c r="G192" s="66"/>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c r="AW192" s="90"/>
      <c r="AX192" s="90"/>
    </row>
    <row r="193" ht="14.25" customHeight="1">
      <c r="A193" s="30"/>
      <c r="B193" s="30"/>
      <c r="C193" s="66"/>
      <c r="F193" s="66"/>
      <c r="G193" s="66"/>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c r="AW193" s="90"/>
      <c r="AX193" s="90"/>
    </row>
    <row r="194" ht="14.25" customHeight="1">
      <c r="A194" s="30"/>
      <c r="B194" s="30"/>
      <c r="C194" s="66"/>
      <c r="F194" s="66"/>
      <c r="G194" s="66"/>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c r="AW194" s="90"/>
      <c r="AX194" s="90"/>
    </row>
    <row r="195" ht="14.25" customHeight="1">
      <c r="A195" s="30"/>
      <c r="B195" s="30"/>
      <c r="C195" s="66"/>
      <c r="F195" s="66"/>
      <c r="G195" s="66"/>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row>
    <row r="196" ht="14.25" customHeight="1">
      <c r="A196" s="30"/>
      <c r="B196" s="30"/>
      <c r="C196" s="66"/>
      <c r="F196" s="66"/>
      <c r="G196" s="66"/>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c r="AW196" s="90"/>
      <c r="AX196" s="90"/>
    </row>
    <row r="197" ht="14.25" customHeight="1">
      <c r="A197" s="30"/>
      <c r="B197" s="30"/>
      <c r="C197" s="66"/>
      <c r="F197" s="66"/>
      <c r="G197" s="66"/>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c r="AW197" s="90"/>
      <c r="AX197" s="90"/>
    </row>
    <row r="198" ht="14.25" customHeight="1">
      <c r="A198" s="30"/>
      <c r="B198" s="30"/>
      <c r="C198" s="66"/>
      <c r="F198" s="66"/>
      <c r="G198" s="66"/>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c r="AW198" s="90"/>
      <c r="AX198" s="90"/>
    </row>
    <row r="199" ht="14.25" customHeight="1">
      <c r="A199" s="30"/>
      <c r="B199" s="30"/>
      <c r="C199" s="66"/>
      <c r="F199" s="66"/>
      <c r="G199" s="66"/>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c r="AW199" s="90"/>
      <c r="AX199" s="90"/>
    </row>
    <row r="200" ht="14.25" customHeight="1">
      <c r="A200" s="30"/>
      <c r="B200" s="30"/>
      <c r="C200" s="66"/>
      <c r="F200" s="66"/>
      <c r="G200" s="66"/>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c r="AW200" s="90"/>
      <c r="AX200" s="90"/>
    </row>
    <row r="201" ht="14.25" customHeight="1">
      <c r="A201" s="30"/>
      <c r="B201" s="30"/>
      <c r="C201" s="66"/>
      <c r="F201" s="66"/>
      <c r="G201" s="66"/>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c r="AW201" s="90"/>
      <c r="AX201" s="90"/>
    </row>
    <row r="202" ht="14.25" customHeight="1">
      <c r="A202" s="30"/>
      <c r="B202" s="30"/>
      <c r="C202" s="66"/>
      <c r="F202" s="66"/>
      <c r="G202" s="66"/>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c r="AW202" s="90"/>
      <c r="AX202" s="90"/>
    </row>
    <row r="203" ht="14.25" customHeight="1">
      <c r="A203" s="30"/>
      <c r="B203" s="30"/>
      <c r="C203" s="66"/>
      <c r="F203" s="66"/>
      <c r="G203" s="66"/>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c r="AW203" s="90"/>
      <c r="AX203" s="90"/>
    </row>
    <row r="204" ht="14.25" customHeight="1">
      <c r="A204" s="30"/>
      <c r="B204" s="30"/>
      <c r="C204" s="66"/>
      <c r="F204" s="66"/>
      <c r="G204" s="66"/>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c r="AW204" s="90"/>
      <c r="AX204" s="90"/>
    </row>
    <row r="205" ht="14.25" customHeight="1">
      <c r="A205" s="30"/>
      <c r="B205" s="30"/>
      <c r="C205" s="66"/>
      <c r="F205" s="66"/>
      <c r="G205" s="66"/>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c r="AW205" s="90"/>
      <c r="AX205" s="90"/>
    </row>
    <row r="206" ht="14.25" customHeight="1">
      <c r="A206" s="30"/>
      <c r="B206" s="30"/>
      <c r="C206" s="66"/>
      <c r="F206" s="66"/>
      <c r="G206" s="66"/>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c r="AW206" s="90"/>
      <c r="AX206" s="90"/>
    </row>
    <row r="207" ht="14.25" customHeight="1">
      <c r="A207" s="30"/>
      <c r="B207" s="30"/>
      <c r="C207" s="66"/>
      <c r="F207" s="66"/>
      <c r="G207" s="66"/>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c r="AW207" s="90"/>
      <c r="AX207" s="90"/>
    </row>
    <row r="208" ht="14.25" customHeight="1">
      <c r="A208" s="30"/>
      <c r="B208" s="30"/>
      <c r="C208" s="66"/>
      <c r="F208" s="66"/>
      <c r="G208" s="66"/>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c r="AW208" s="90"/>
      <c r="AX208" s="90"/>
    </row>
    <row r="209" ht="14.25" customHeight="1">
      <c r="A209" s="30"/>
      <c r="B209" s="30"/>
      <c r="C209" s="66"/>
      <c r="F209" s="66"/>
      <c r="G209" s="66"/>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c r="AW209" s="90"/>
      <c r="AX209" s="90"/>
    </row>
    <row r="210" ht="14.25" customHeight="1">
      <c r="A210" s="30"/>
      <c r="B210" s="30"/>
      <c r="C210" s="66"/>
      <c r="F210" s="66"/>
      <c r="G210" s="66"/>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c r="AW210" s="90"/>
      <c r="AX210" s="90"/>
    </row>
    <row r="211" ht="14.25" customHeight="1">
      <c r="A211" s="30"/>
      <c r="B211" s="30"/>
      <c r="C211" s="66"/>
      <c r="F211" s="66"/>
      <c r="G211" s="66"/>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c r="AW211" s="90"/>
      <c r="AX211" s="90"/>
    </row>
    <row r="212" ht="14.25" customHeight="1">
      <c r="A212" s="30"/>
      <c r="B212" s="30"/>
      <c r="C212" s="66"/>
      <c r="F212" s="66"/>
      <c r="G212" s="66"/>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c r="AW212" s="90"/>
      <c r="AX212" s="90"/>
    </row>
    <row r="213" ht="14.25" customHeight="1">
      <c r="A213" s="30"/>
      <c r="B213" s="30"/>
      <c r="C213" s="66"/>
      <c r="F213" s="66"/>
      <c r="G213" s="66"/>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row>
    <row r="214" ht="14.25" customHeight="1">
      <c r="A214" s="30"/>
      <c r="B214" s="30"/>
      <c r="C214" s="66"/>
      <c r="F214" s="66"/>
      <c r="G214" s="66"/>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c r="AW214" s="90"/>
      <c r="AX214" s="90"/>
    </row>
    <row r="215" ht="14.25" customHeight="1">
      <c r="A215" s="30"/>
      <c r="B215" s="30"/>
      <c r="C215" s="66"/>
      <c r="F215" s="66"/>
      <c r="G215" s="66"/>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c r="AW215" s="90"/>
      <c r="AX215" s="90"/>
    </row>
    <row r="216" ht="14.25" customHeight="1">
      <c r="A216" s="30"/>
      <c r="B216" s="30"/>
      <c r="C216" s="66"/>
      <c r="F216" s="66"/>
      <c r="G216" s="66"/>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c r="AW216" s="90"/>
      <c r="AX216" s="90"/>
    </row>
    <row r="217" ht="14.25" customHeight="1">
      <c r="A217" s="30"/>
      <c r="B217" s="30"/>
      <c r="C217" s="66"/>
      <c r="F217" s="66"/>
      <c r="G217" s="66"/>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c r="AW217" s="90"/>
      <c r="AX217" s="90"/>
    </row>
    <row r="218" ht="14.25" customHeight="1">
      <c r="A218" s="30"/>
      <c r="B218" s="30"/>
      <c r="C218" s="66"/>
      <c r="F218" s="66"/>
      <c r="G218" s="66"/>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c r="AW218" s="90"/>
      <c r="AX218" s="90"/>
    </row>
    <row r="219" ht="14.25" customHeight="1">
      <c r="A219" s="30"/>
      <c r="B219" s="30"/>
      <c r="C219" s="66"/>
      <c r="F219" s="66"/>
      <c r="G219" s="66"/>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c r="AW219" s="90"/>
      <c r="AX219" s="90"/>
    </row>
    <row r="220" ht="14.25" customHeight="1">
      <c r="A220" s="30"/>
      <c r="B220" s="30"/>
      <c r="C220" s="66"/>
      <c r="F220" s="66"/>
      <c r="G220" s="66"/>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c r="AW220" s="90"/>
      <c r="AX220" s="90"/>
    </row>
    <row r="221" ht="14.25" customHeight="1">
      <c r="A221" s="30"/>
      <c r="B221" s="30"/>
      <c r="C221" s="66"/>
      <c r="F221" s="66"/>
      <c r="G221" s="66"/>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c r="AW221" s="90"/>
      <c r="AX221" s="90"/>
    </row>
    <row r="222" ht="14.25" customHeight="1">
      <c r="A222" s="30"/>
      <c r="B222" s="30"/>
      <c r="C222" s="66"/>
      <c r="F222" s="66"/>
      <c r="G222" s="66"/>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c r="AW222" s="90"/>
      <c r="AX222" s="90"/>
    </row>
    <row r="223" ht="14.25" customHeight="1">
      <c r="A223" s="30"/>
      <c r="B223" s="30"/>
      <c r="C223" s="66"/>
      <c r="F223" s="66"/>
      <c r="G223" s="66"/>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c r="AW223" s="90"/>
      <c r="AX223" s="90"/>
    </row>
    <row r="224" ht="14.25" customHeight="1">
      <c r="A224" s="30"/>
      <c r="B224" s="30"/>
      <c r="C224" s="66"/>
      <c r="F224" s="66"/>
      <c r="G224" s="66"/>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c r="AW224" s="90"/>
      <c r="AX224" s="90"/>
    </row>
    <row r="225" ht="14.25" customHeight="1">
      <c r="A225" s="30"/>
      <c r="B225" s="30"/>
      <c r="C225" s="66"/>
      <c r="F225" s="66"/>
      <c r="G225" s="66"/>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c r="AW225" s="90"/>
      <c r="AX225" s="90"/>
    </row>
    <row r="226" ht="14.25" customHeight="1">
      <c r="A226" s="30"/>
      <c r="B226" s="30"/>
      <c r="C226" s="66"/>
      <c r="F226" s="66"/>
      <c r="G226" s="66"/>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c r="AW226" s="90"/>
      <c r="AX226" s="90"/>
    </row>
    <row r="227" ht="14.25" customHeight="1">
      <c r="A227" s="30"/>
      <c r="B227" s="30"/>
      <c r="C227" s="66"/>
      <c r="F227" s="66"/>
      <c r="G227" s="66"/>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c r="AW227" s="90"/>
      <c r="AX227" s="90"/>
    </row>
    <row r="228" ht="14.25" customHeight="1">
      <c r="A228" s="30"/>
      <c r="B228" s="30"/>
      <c r="C228" s="66"/>
      <c r="F228" s="66"/>
      <c r="G228" s="66"/>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c r="AW228" s="90"/>
      <c r="AX228" s="90"/>
    </row>
    <row r="229" ht="14.25" customHeight="1">
      <c r="A229" s="30"/>
      <c r="B229" s="30"/>
      <c r="C229" s="66"/>
      <c r="F229" s="66"/>
      <c r="G229" s="66"/>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c r="AW229" s="90"/>
      <c r="AX229" s="90"/>
    </row>
    <row r="230" ht="14.25" customHeight="1">
      <c r="A230" s="30"/>
      <c r="B230" s="30"/>
      <c r="C230" s="66"/>
      <c r="F230" s="66"/>
      <c r="G230" s="66"/>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c r="AW230" s="90"/>
      <c r="AX230" s="90"/>
    </row>
    <row r="231" ht="14.25" customHeight="1">
      <c r="A231" s="30"/>
      <c r="B231" s="30"/>
      <c r="C231" s="66"/>
      <c r="F231" s="66"/>
      <c r="G231" s="66"/>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c r="AX231" s="90"/>
    </row>
    <row r="232" ht="14.25" customHeight="1">
      <c r="A232" s="30"/>
      <c r="B232" s="30"/>
      <c r="C232" s="66"/>
      <c r="F232" s="66"/>
      <c r="G232" s="66"/>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c r="AW232" s="90"/>
      <c r="AX232" s="90"/>
    </row>
    <row r="233" ht="14.25" customHeight="1">
      <c r="A233" s="30"/>
      <c r="B233" s="30"/>
      <c r="C233" s="66"/>
      <c r="F233" s="66"/>
      <c r="G233" s="66"/>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c r="AW233" s="90"/>
      <c r="AX233" s="90"/>
    </row>
    <row r="234" ht="14.25" customHeight="1">
      <c r="A234" s="30"/>
      <c r="B234" s="30"/>
      <c r="C234" s="66"/>
      <c r="F234" s="66"/>
      <c r="G234" s="66"/>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c r="AW234" s="90"/>
      <c r="AX234" s="90"/>
    </row>
    <row r="235" ht="14.25" customHeight="1">
      <c r="A235" s="30"/>
      <c r="B235" s="30"/>
      <c r="C235" s="66"/>
      <c r="F235" s="66"/>
      <c r="G235" s="66"/>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c r="AW235" s="90"/>
      <c r="AX235" s="90"/>
    </row>
    <row r="236" ht="14.25" customHeight="1">
      <c r="A236" s="30"/>
      <c r="B236" s="30"/>
      <c r="C236" s="66"/>
      <c r="F236" s="66"/>
      <c r="G236" s="66"/>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c r="AW236" s="90"/>
      <c r="AX236" s="90"/>
    </row>
    <row r="237" ht="14.25" customHeight="1">
      <c r="A237" s="30"/>
      <c r="B237" s="30"/>
      <c r="C237" s="66"/>
      <c r="F237" s="66"/>
      <c r="G237" s="66"/>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c r="AW237" s="90"/>
      <c r="AX237" s="90"/>
    </row>
    <row r="238" ht="14.25" customHeight="1">
      <c r="A238" s="30"/>
      <c r="B238" s="30"/>
      <c r="C238" s="66"/>
      <c r="F238" s="66"/>
      <c r="G238" s="66"/>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c r="AW238" s="90"/>
      <c r="AX238" s="90"/>
    </row>
    <row r="239" ht="14.25" customHeight="1">
      <c r="A239" s="30"/>
      <c r="B239" s="30"/>
      <c r="C239" s="66"/>
      <c r="F239" s="66"/>
      <c r="G239" s="66"/>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c r="AX239" s="90"/>
    </row>
    <row r="240" ht="14.25" customHeight="1">
      <c r="A240" s="30"/>
      <c r="B240" s="30"/>
      <c r="C240" s="66"/>
      <c r="F240" s="66"/>
      <c r="G240" s="66"/>
      <c r="M240" s="90"/>
      <c r="N240" s="90"/>
      <c r="O240" s="90"/>
      <c r="P240" s="90"/>
      <c r="Q240" s="90"/>
      <c r="R240" s="90"/>
      <c r="S240" s="90"/>
      <c r="T240" s="90"/>
      <c r="U240" s="90"/>
      <c r="V240" s="90"/>
      <c r="W240" s="90"/>
      <c r="X240" s="90"/>
      <c r="Y240" s="90"/>
      <c r="Z240" s="90"/>
      <c r="AA240" s="90"/>
      <c r="AB240" s="90"/>
      <c r="AC240" s="90"/>
      <c r="AD240" s="90"/>
      <c r="AE240" s="90"/>
      <c r="AF240" s="90"/>
      <c r="AG240" s="90"/>
      <c r="AH240" s="90"/>
      <c r="AI240" s="90"/>
      <c r="AJ240" s="90"/>
      <c r="AK240" s="90"/>
      <c r="AL240" s="90"/>
      <c r="AM240" s="90"/>
      <c r="AN240" s="90"/>
      <c r="AO240" s="90"/>
      <c r="AP240" s="90"/>
      <c r="AQ240" s="90"/>
      <c r="AR240" s="90"/>
      <c r="AS240" s="90"/>
      <c r="AT240" s="90"/>
      <c r="AU240" s="90"/>
      <c r="AV240" s="90"/>
      <c r="AW240" s="90"/>
      <c r="AX240" s="90"/>
    </row>
    <row r="241" ht="14.25" customHeight="1">
      <c r="A241" s="30"/>
      <c r="B241" s="30"/>
      <c r="C241" s="66"/>
      <c r="F241" s="66"/>
      <c r="G241" s="66"/>
      <c r="M241" s="90"/>
      <c r="N241" s="90"/>
      <c r="O241" s="90"/>
      <c r="P241" s="90"/>
      <c r="Q241" s="90"/>
      <c r="R241" s="90"/>
      <c r="S241" s="90"/>
      <c r="T241" s="90"/>
      <c r="U241" s="90"/>
      <c r="V241" s="90"/>
      <c r="W241" s="90"/>
      <c r="X241" s="90"/>
      <c r="Y241" s="90"/>
      <c r="Z241" s="90"/>
      <c r="AA241" s="90"/>
      <c r="AB241" s="90"/>
      <c r="AC241" s="90"/>
      <c r="AD241" s="90"/>
      <c r="AE241" s="90"/>
      <c r="AF241" s="90"/>
      <c r="AG241" s="90"/>
      <c r="AH241" s="90"/>
      <c r="AI241" s="90"/>
      <c r="AJ241" s="90"/>
      <c r="AK241" s="90"/>
      <c r="AL241" s="90"/>
      <c r="AM241" s="90"/>
      <c r="AN241" s="90"/>
      <c r="AO241" s="90"/>
      <c r="AP241" s="90"/>
      <c r="AQ241" s="90"/>
      <c r="AR241" s="90"/>
      <c r="AS241" s="90"/>
      <c r="AT241" s="90"/>
      <c r="AU241" s="90"/>
      <c r="AV241" s="90"/>
      <c r="AW241" s="90"/>
      <c r="AX241" s="90"/>
    </row>
    <row r="242" ht="14.25" customHeight="1">
      <c r="A242" s="30"/>
      <c r="B242" s="30"/>
      <c r="C242" s="66"/>
      <c r="F242" s="66"/>
      <c r="G242" s="66"/>
      <c r="M242" s="90"/>
      <c r="N242" s="90"/>
      <c r="O242" s="90"/>
      <c r="P242" s="90"/>
      <c r="Q242" s="90"/>
      <c r="R242" s="90"/>
      <c r="S242" s="90"/>
      <c r="T242" s="90"/>
      <c r="U242" s="90"/>
      <c r="V242" s="90"/>
      <c r="W242" s="90"/>
      <c r="X242" s="90"/>
      <c r="Y242" s="90"/>
      <c r="Z242" s="90"/>
      <c r="AA242" s="90"/>
      <c r="AB242" s="90"/>
      <c r="AC242" s="90"/>
      <c r="AD242" s="90"/>
      <c r="AE242" s="90"/>
      <c r="AF242" s="90"/>
      <c r="AG242" s="90"/>
      <c r="AH242" s="90"/>
      <c r="AI242" s="90"/>
      <c r="AJ242" s="90"/>
      <c r="AK242" s="90"/>
      <c r="AL242" s="90"/>
      <c r="AM242" s="90"/>
      <c r="AN242" s="90"/>
      <c r="AO242" s="90"/>
      <c r="AP242" s="90"/>
      <c r="AQ242" s="90"/>
      <c r="AR242" s="90"/>
      <c r="AS242" s="90"/>
      <c r="AT242" s="90"/>
      <c r="AU242" s="90"/>
      <c r="AV242" s="90"/>
      <c r="AW242" s="90"/>
      <c r="AX242" s="90"/>
    </row>
    <row r="243" ht="14.25" customHeight="1">
      <c r="A243" s="30"/>
      <c r="B243" s="30"/>
      <c r="C243" s="66"/>
      <c r="F243" s="66"/>
      <c r="G243" s="66"/>
      <c r="M243" s="90"/>
      <c r="N243" s="90"/>
      <c r="O243" s="90"/>
      <c r="P243" s="90"/>
      <c r="Q243" s="90"/>
      <c r="R243" s="90"/>
      <c r="S243" s="90"/>
      <c r="T243" s="90"/>
      <c r="U243" s="90"/>
      <c r="V243" s="90"/>
      <c r="W243" s="90"/>
      <c r="X243" s="90"/>
      <c r="Y243" s="90"/>
      <c r="Z243" s="90"/>
      <c r="AA243" s="90"/>
      <c r="AB243" s="90"/>
      <c r="AC243" s="90"/>
      <c r="AD243" s="90"/>
      <c r="AE243" s="90"/>
      <c r="AF243" s="90"/>
      <c r="AG243" s="90"/>
      <c r="AH243" s="90"/>
      <c r="AI243" s="90"/>
      <c r="AJ243" s="90"/>
      <c r="AK243" s="90"/>
      <c r="AL243" s="90"/>
      <c r="AM243" s="90"/>
      <c r="AN243" s="90"/>
      <c r="AO243" s="90"/>
      <c r="AP243" s="90"/>
      <c r="AQ243" s="90"/>
      <c r="AR243" s="90"/>
      <c r="AS243" s="90"/>
      <c r="AT243" s="90"/>
      <c r="AU243" s="90"/>
      <c r="AV243" s="90"/>
      <c r="AW243" s="90"/>
      <c r="AX243" s="90"/>
    </row>
    <row r="244" ht="14.25" customHeight="1">
      <c r="A244" s="30"/>
      <c r="B244" s="30"/>
      <c r="C244" s="66"/>
      <c r="F244" s="66"/>
      <c r="G244" s="66"/>
      <c r="M244" s="90"/>
      <c r="N244" s="90"/>
      <c r="O244" s="90"/>
      <c r="P244" s="90"/>
      <c r="Q244" s="90"/>
      <c r="R244" s="90"/>
      <c r="S244" s="90"/>
      <c r="T244" s="90"/>
      <c r="U244" s="90"/>
      <c r="V244" s="90"/>
      <c r="W244" s="90"/>
      <c r="X244" s="90"/>
      <c r="Y244" s="90"/>
      <c r="Z244" s="90"/>
      <c r="AA244" s="90"/>
      <c r="AB244" s="90"/>
      <c r="AC244" s="90"/>
      <c r="AD244" s="90"/>
      <c r="AE244" s="90"/>
      <c r="AF244" s="90"/>
      <c r="AG244" s="90"/>
      <c r="AH244" s="90"/>
      <c r="AI244" s="90"/>
      <c r="AJ244" s="90"/>
      <c r="AK244" s="90"/>
      <c r="AL244" s="90"/>
      <c r="AM244" s="90"/>
      <c r="AN244" s="90"/>
      <c r="AO244" s="90"/>
      <c r="AP244" s="90"/>
      <c r="AQ244" s="90"/>
      <c r="AR244" s="90"/>
      <c r="AS244" s="90"/>
      <c r="AT244" s="90"/>
      <c r="AU244" s="90"/>
      <c r="AV244" s="90"/>
      <c r="AW244" s="90"/>
      <c r="AX244" s="90"/>
    </row>
    <row r="245" ht="14.25" customHeight="1">
      <c r="A245" s="30"/>
      <c r="B245" s="30"/>
      <c r="C245" s="66"/>
      <c r="F245" s="66"/>
      <c r="G245" s="66"/>
      <c r="M245" s="90"/>
      <c r="N245" s="90"/>
      <c r="O245" s="90"/>
      <c r="P245" s="90"/>
      <c r="Q245" s="90"/>
      <c r="R245" s="90"/>
      <c r="S245" s="90"/>
      <c r="T245" s="90"/>
      <c r="U245" s="90"/>
      <c r="V245" s="90"/>
      <c r="W245" s="90"/>
      <c r="X245" s="90"/>
      <c r="Y245" s="90"/>
      <c r="Z245" s="90"/>
      <c r="AA245" s="90"/>
      <c r="AB245" s="90"/>
      <c r="AC245" s="90"/>
      <c r="AD245" s="90"/>
      <c r="AE245" s="90"/>
      <c r="AF245" s="90"/>
      <c r="AG245" s="90"/>
      <c r="AH245" s="90"/>
      <c r="AI245" s="90"/>
      <c r="AJ245" s="90"/>
      <c r="AK245" s="90"/>
      <c r="AL245" s="90"/>
      <c r="AM245" s="90"/>
      <c r="AN245" s="90"/>
      <c r="AO245" s="90"/>
      <c r="AP245" s="90"/>
      <c r="AQ245" s="90"/>
      <c r="AR245" s="90"/>
      <c r="AS245" s="90"/>
      <c r="AT245" s="90"/>
      <c r="AU245" s="90"/>
      <c r="AV245" s="90"/>
      <c r="AW245" s="90"/>
      <c r="AX245" s="90"/>
    </row>
    <row r="246" ht="14.25" customHeight="1">
      <c r="A246" s="30"/>
      <c r="B246" s="30"/>
      <c r="C246" s="66"/>
      <c r="F246" s="66"/>
      <c r="G246" s="66"/>
      <c r="M246" s="90"/>
      <c r="N246" s="90"/>
      <c r="O246" s="90"/>
      <c r="P246" s="90"/>
      <c r="Q246" s="90"/>
      <c r="R246" s="90"/>
      <c r="S246" s="90"/>
      <c r="T246" s="90"/>
      <c r="U246" s="90"/>
      <c r="V246" s="90"/>
      <c r="W246" s="90"/>
      <c r="X246" s="90"/>
      <c r="Y246" s="90"/>
      <c r="Z246" s="90"/>
      <c r="AA246" s="90"/>
      <c r="AB246" s="90"/>
      <c r="AC246" s="90"/>
      <c r="AD246" s="90"/>
      <c r="AE246" s="90"/>
      <c r="AF246" s="90"/>
      <c r="AG246" s="90"/>
      <c r="AH246" s="90"/>
      <c r="AI246" s="90"/>
      <c r="AJ246" s="90"/>
      <c r="AK246" s="90"/>
      <c r="AL246" s="90"/>
      <c r="AM246" s="90"/>
      <c r="AN246" s="90"/>
      <c r="AO246" s="90"/>
      <c r="AP246" s="90"/>
      <c r="AQ246" s="90"/>
      <c r="AR246" s="90"/>
      <c r="AS246" s="90"/>
      <c r="AT246" s="90"/>
      <c r="AU246" s="90"/>
      <c r="AV246" s="90"/>
      <c r="AW246" s="90"/>
      <c r="AX246" s="90"/>
    </row>
    <row r="247" ht="14.25" customHeight="1">
      <c r="A247" s="30"/>
      <c r="B247" s="30"/>
      <c r="C247" s="66"/>
      <c r="F247" s="66"/>
      <c r="G247" s="66"/>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row>
    <row r="248" ht="14.25" customHeight="1">
      <c r="A248" s="30"/>
      <c r="B248" s="30"/>
      <c r="C248" s="66"/>
      <c r="F248" s="66"/>
      <c r="G248" s="66"/>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row>
    <row r="249" ht="14.25" customHeight="1">
      <c r="A249" s="30"/>
      <c r="B249" s="30"/>
      <c r="C249" s="66"/>
      <c r="F249" s="66"/>
      <c r="G249" s="66"/>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row>
    <row r="250" ht="14.25" customHeight="1">
      <c r="A250" s="30"/>
      <c r="B250" s="30"/>
      <c r="C250" s="66"/>
      <c r="F250" s="66"/>
      <c r="G250" s="66"/>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row>
    <row r="251" ht="14.25" customHeight="1">
      <c r="A251" s="30"/>
      <c r="B251" s="30"/>
      <c r="C251" s="66"/>
      <c r="F251" s="66"/>
      <c r="G251" s="66"/>
      <c r="M251" s="90"/>
      <c r="N251" s="90"/>
      <c r="O251" s="90"/>
      <c r="P251" s="90"/>
      <c r="Q251" s="90"/>
      <c r="R251" s="90"/>
      <c r="S251" s="90"/>
      <c r="T251" s="90"/>
      <c r="U251" s="90"/>
      <c r="V251" s="90"/>
      <c r="W251" s="90"/>
      <c r="X251" s="90"/>
      <c r="Y251" s="90"/>
      <c r="Z251" s="90"/>
      <c r="AA251" s="90"/>
      <c r="AB251" s="90"/>
      <c r="AC251" s="90"/>
      <c r="AD251" s="90"/>
      <c r="AE251" s="90"/>
      <c r="AF251" s="90"/>
      <c r="AG251" s="90"/>
      <c r="AH251" s="90"/>
      <c r="AI251" s="90"/>
      <c r="AJ251" s="90"/>
      <c r="AK251" s="90"/>
      <c r="AL251" s="90"/>
      <c r="AM251" s="90"/>
      <c r="AN251" s="90"/>
      <c r="AO251" s="90"/>
      <c r="AP251" s="90"/>
      <c r="AQ251" s="90"/>
      <c r="AR251" s="90"/>
      <c r="AS251" s="90"/>
      <c r="AT251" s="90"/>
      <c r="AU251" s="90"/>
      <c r="AV251" s="90"/>
      <c r="AW251" s="90"/>
      <c r="AX251" s="90"/>
    </row>
    <row r="252" ht="14.25" customHeight="1">
      <c r="A252" s="30"/>
      <c r="B252" s="30"/>
      <c r="C252" s="66"/>
      <c r="F252" s="66"/>
      <c r="G252" s="66"/>
      <c r="M252" s="90"/>
      <c r="N252" s="90"/>
      <c r="O252" s="90"/>
      <c r="P252" s="90"/>
      <c r="Q252" s="90"/>
      <c r="R252" s="90"/>
      <c r="S252" s="90"/>
      <c r="T252" s="90"/>
      <c r="U252" s="90"/>
      <c r="V252" s="90"/>
      <c r="W252" s="90"/>
      <c r="X252" s="90"/>
      <c r="Y252" s="90"/>
      <c r="Z252" s="90"/>
      <c r="AA252" s="90"/>
      <c r="AB252" s="90"/>
      <c r="AC252" s="90"/>
      <c r="AD252" s="90"/>
      <c r="AE252" s="90"/>
      <c r="AF252" s="90"/>
      <c r="AG252" s="90"/>
      <c r="AH252" s="90"/>
      <c r="AI252" s="90"/>
      <c r="AJ252" s="90"/>
      <c r="AK252" s="90"/>
      <c r="AL252" s="90"/>
      <c r="AM252" s="90"/>
      <c r="AN252" s="90"/>
      <c r="AO252" s="90"/>
      <c r="AP252" s="90"/>
      <c r="AQ252" s="90"/>
      <c r="AR252" s="90"/>
      <c r="AS252" s="90"/>
      <c r="AT252" s="90"/>
      <c r="AU252" s="90"/>
      <c r="AV252" s="90"/>
      <c r="AW252" s="90"/>
      <c r="AX252" s="90"/>
    </row>
    <row r="253" ht="14.25" customHeight="1">
      <c r="A253" s="30"/>
      <c r="B253" s="30"/>
      <c r="C253" s="66"/>
      <c r="F253" s="66"/>
      <c r="G253" s="66"/>
      <c r="M253" s="90"/>
      <c r="N253" s="90"/>
      <c r="O253" s="90"/>
      <c r="P253" s="90"/>
      <c r="Q253" s="90"/>
      <c r="R253" s="90"/>
      <c r="S253" s="90"/>
      <c r="T253" s="90"/>
      <c r="U253" s="90"/>
      <c r="V253" s="90"/>
      <c r="W253" s="90"/>
      <c r="X253" s="90"/>
      <c r="Y253" s="90"/>
      <c r="Z253" s="90"/>
      <c r="AA253" s="90"/>
      <c r="AB253" s="90"/>
      <c r="AC253" s="90"/>
      <c r="AD253" s="90"/>
      <c r="AE253" s="90"/>
      <c r="AF253" s="90"/>
      <c r="AG253" s="90"/>
      <c r="AH253" s="90"/>
      <c r="AI253" s="90"/>
      <c r="AJ253" s="90"/>
      <c r="AK253" s="90"/>
      <c r="AL253" s="90"/>
      <c r="AM253" s="90"/>
      <c r="AN253" s="90"/>
      <c r="AO253" s="90"/>
      <c r="AP253" s="90"/>
      <c r="AQ253" s="90"/>
      <c r="AR253" s="90"/>
      <c r="AS253" s="90"/>
      <c r="AT253" s="90"/>
      <c r="AU253" s="90"/>
      <c r="AV253" s="90"/>
      <c r="AW253" s="90"/>
      <c r="AX253" s="90"/>
    </row>
    <row r="254" ht="14.25" customHeight="1">
      <c r="A254" s="30"/>
      <c r="B254" s="30"/>
      <c r="C254" s="66"/>
      <c r="F254" s="66"/>
      <c r="G254" s="66"/>
      <c r="M254" s="90"/>
      <c r="N254" s="90"/>
      <c r="O254" s="90"/>
      <c r="P254" s="90"/>
      <c r="Q254" s="90"/>
      <c r="R254" s="90"/>
      <c r="S254" s="90"/>
      <c r="T254" s="90"/>
      <c r="U254" s="90"/>
      <c r="V254" s="90"/>
      <c r="W254" s="90"/>
      <c r="X254" s="90"/>
      <c r="Y254" s="90"/>
      <c r="Z254" s="90"/>
      <c r="AA254" s="90"/>
      <c r="AB254" s="90"/>
      <c r="AC254" s="90"/>
      <c r="AD254" s="90"/>
      <c r="AE254" s="90"/>
      <c r="AF254" s="90"/>
      <c r="AG254" s="90"/>
      <c r="AH254" s="90"/>
      <c r="AI254" s="90"/>
      <c r="AJ254" s="90"/>
      <c r="AK254" s="90"/>
      <c r="AL254" s="90"/>
      <c r="AM254" s="90"/>
      <c r="AN254" s="90"/>
      <c r="AO254" s="90"/>
      <c r="AP254" s="90"/>
      <c r="AQ254" s="90"/>
      <c r="AR254" s="90"/>
      <c r="AS254" s="90"/>
      <c r="AT254" s="90"/>
      <c r="AU254" s="90"/>
      <c r="AV254" s="90"/>
      <c r="AW254" s="90"/>
      <c r="AX254" s="90"/>
    </row>
    <row r="255" ht="14.25" customHeight="1">
      <c r="A255" s="30"/>
      <c r="B255" s="30"/>
      <c r="C255" s="66"/>
      <c r="F255" s="66"/>
      <c r="G255" s="66"/>
      <c r="M255" s="90"/>
      <c r="N255" s="90"/>
      <c r="O255" s="90"/>
      <c r="P255" s="90"/>
      <c r="Q255" s="90"/>
      <c r="R255" s="90"/>
      <c r="S255" s="90"/>
      <c r="T255" s="90"/>
      <c r="U255" s="90"/>
      <c r="V255" s="90"/>
      <c r="W255" s="90"/>
      <c r="X255" s="90"/>
      <c r="Y255" s="90"/>
      <c r="Z255" s="90"/>
      <c r="AA255" s="90"/>
      <c r="AB255" s="90"/>
      <c r="AC255" s="90"/>
      <c r="AD255" s="90"/>
      <c r="AE255" s="90"/>
      <c r="AF255" s="90"/>
      <c r="AG255" s="90"/>
      <c r="AH255" s="90"/>
      <c r="AI255" s="90"/>
      <c r="AJ255" s="90"/>
      <c r="AK255" s="90"/>
      <c r="AL255" s="90"/>
      <c r="AM255" s="90"/>
      <c r="AN255" s="90"/>
      <c r="AO255" s="90"/>
      <c r="AP255" s="90"/>
      <c r="AQ255" s="90"/>
      <c r="AR255" s="90"/>
      <c r="AS255" s="90"/>
      <c r="AT255" s="90"/>
      <c r="AU255" s="90"/>
      <c r="AV255" s="90"/>
      <c r="AW255" s="90"/>
      <c r="AX255" s="90"/>
    </row>
    <row r="256" ht="14.25" customHeight="1">
      <c r="A256" s="30"/>
      <c r="B256" s="30"/>
      <c r="C256" s="66"/>
      <c r="F256" s="66"/>
      <c r="G256" s="66"/>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row>
    <row r="257" ht="14.25" customHeight="1">
      <c r="A257" s="30"/>
      <c r="B257" s="30"/>
      <c r="C257" s="66"/>
      <c r="F257" s="66"/>
      <c r="G257" s="66"/>
      <c r="M257" s="90"/>
      <c r="N257" s="90"/>
      <c r="O257" s="90"/>
      <c r="P257" s="90"/>
      <c r="Q257" s="90"/>
      <c r="R257" s="90"/>
      <c r="S257" s="90"/>
      <c r="T257" s="90"/>
      <c r="U257" s="90"/>
      <c r="V257" s="90"/>
      <c r="W257" s="90"/>
      <c r="X257" s="90"/>
      <c r="Y257" s="90"/>
      <c r="Z257" s="90"/>
      <c r="AA257" s="90"/>
      <c r="AB257" s="90"/>
      <c r="AC257" s="90"/>
      <c r="AD257" s="90"/>
      <c r="AE257" s="90"/>
      <c r="AF257" s="90"/>
      <c r="AG257" s="90"/>
      <c r="AH257" s="90"/>
      <c r="AI257" s="90"/>
      <c r="AJ257" s="90"/>
      <c r="AK257" s="90"/>
      <c r="AL257" s="90"/>
      <c r="AM257" s="90"/>
      <c r="AN257" s="90"/>
      <c r="AO257" s="90"/>
      <c r="AP257" s="90"/>
      <c r="AQ257" s="90"/>
      <c r="AR257" s="90"/>
      <c r="AS257" s="90"/>
      <c r="AT257" s="90"/>
      <c r="AU257" s="90"/>
      <c r="AV257" s="90"/>
      <c r="AW257" s="90"/>
      <c r="AX257" s="90"/>
    </row>
    <row r="258" ht="14.25" customHeight="1">
      <c r="A258" s="30"/>
      <c r="B258" s="30"/>
      <c r="C258" s="66"/>
      <c r="F258" s="66"/>
      <c r="G258" s="66"/>
      <c r="M258" s="90"/>
      <c r="N258" s="90"/>
      <c r="O258" s="90"/>
      <c r="P258" s="90"/>
      <c r="Q258" s="90"/>
      <c r="R258" s="90"/>
      <c r="S258" s="90"/>
      <c r="T258" s="90"/>
      <c r="U258" s="90"/>
      <c r="V258" s="90"/>
      <c r="W258" s="90"/>
      <c r="X258" s="90"/>
      <c r="Y258" s="90"/>
      <c r="Z258" s="90"/>
      <c r="AA258" s="90"/>
      <c r="AB258" s="90"/>
      <c r="AC258" s="90"/>
      <c r="AD258" s="90"/>
      <c r="AE258" s="90"/>
      <c r="AF258" s="90"/>
      <c r="AG258" s="90"/>
      <c r="AH258" s="90"/>
      <c r="AI258" s="90"/>
      <c r="AJ258" s="90"/>
      <c r="AK258" s="90"/>
      <c r="AL258" s="90"/>
      <c r="AM258" s="90"/>
      <c r="AN258" s="90"/>
      <c r="AO258" s="90"/>
      <c r="AP258" s="90"/>
      <c r="AQ258" s="90"/>
      <c r="AR258" s="90"/>
      <c r="AS258" s="90"/>
      <c r="AT258" s="90"/>
      <c r="AU258" s="90"/>
      <c r="AV258" s="90"/>
      <c r="AW258" s="90"/>
      <c r="AX258" s="90"/>
    </row>
    <row r="259" ht="14.25" customHeight="1">
      <c r="A259" s="30"/>
      <c r="B259" s="30"/>
      <c r="C259" s="66"/>
      <c r="F259" s="66"/>
      <c r="G259" s="66"/>
      <c r="M259" s="90"/>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90"/>
      <c r="AM259" s="90"/>
      <c r="AN259" s="90"/>
      <c r="AO259" s="90"/>
      <c r="AP259" s="90"/>
      <c r="AQ259" s="90"/>
      <c r="AR259" s="90"/>
      <c r="AS259" s="90"/>
      <c r="AT259" s="90"/>
      <c r="AU259" s="90"/>
      <c r="AV259" s="90"/>
      <c r="AW259" s="90"/>
      <c r="AX259" s="90"/>
    </row>
    <row r="260" ht="14.25" customHeight="1">
      <c r="A260" s="30"/>
      <c r="B260" s="30"/>
      <c r="C260" s="66"/>
      <c r="F260" s="66"/>
      <c r="G260" s="66"/>
      <c r="M260" s="90"/>
      <c r="N260" s="90"/>
      <c r="O260" s="90"/>
      <c r="P260" s="90"/>
      <c r="Q260" s="90"/>
      <c r="R260" s="90"/>
      <c r="S260" s="90"/>
      <c r="T260" s="90"/>
      <c r="U260" s="90"/>
      <c r="V260" s="90"/>
      <c r="W260" s="90"/>
      <c r="X260" s="90"/>
      <c r="Y260" s="90"/>
      <c r="Z260" s="90"/>
      <c r="AA260" s="90"/>
      <c r="AB260" s="90"/>
      <c r="AC260" s="90"/>
      <c r="AD260" s="90"/>
      <c r="AE260" s="90"/>
      <c r="AF260" s="90"/>
      <c r="AG260" s="90"/>
      <c r="AH260" s="90"/>
      <c r="AI260" s="90"/>
      <c r="AJ260" s="90"/>
      <c r="AK260" s="90"/>
      <c r="AL260" s="90"/>
      <c r="AM260" s="90"/>
      <c r="AN260" s="90"/>
      <c r="AO260" s="90"/>
      <c r="AP260" s="90"/>
      <c r="AQ260" s="90"/>
      <c r="AR260" s="90"/>
      <c r="AS260" s="90"/>
      <c r="AT260" s="90"/>
      <c r="AU260" s="90"/>
      <c r="AV260" s="90"/>
      <c r="AW260" s="90"/>
      <c r="AX260" s="90"/>
    </row>
    <row r="261" ht="14.25" customHeight="1">
      <c r="A261" s="30"/>
      <c r="B261" s="30"/>
      <c r="C261" s="66"/>
      <c r="F261" s="66"/>
      <c r="G261" s="66"/>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row>
    <row r="262" ht="14.25" customHeight="1">
      <c r="A262" s="30"/>
      <c r="B262" s="30"/>
      <c r="C262" s="66"/>
      <c r="F262" s="66"/>
      <c r="G262" s="66"/>
      <c r="M262" s="90"/>
      <c r="N262" s="90"/>
      <c r="O262" s="90"/>
      <c r="P262" s="90"/>
      <c r="Q262" s="90"/>
      <c r="R262" s="90"/>
      <c r="S262" s="90"/>
      <c r="T262" s="90"/>
      <c r="U262" s="90"/>
      <c r="V262" s="90"/>
      <c r="W262" s="90"/>
      <c r="X262" s="90"/>
      <c r="Y262" s="90"/>
      <c r="Z262" s="90"/>
      <c r="AA262" s="90"/>
      <c r="AB262" s="90"/>
      <c r="AC262" s="90"/>
      <c r="AD262" s="90"/>
      <c r="AE262" s="90"/>
      <c r="AF262" s="90"/>
      <c r="AG262" s="90"/>
      <c r="AH262" s="90"/>
      <c r="AI262" s="90"/>
      <c r="AJ262" s="90"/>
      <c r="AK262" s="90"/>
      <c r="AL262" s="90"/>
      <c r="AM262" s="90"/>
      <c r="AN262" s="90"/>
      <c r="AO262" s="90"/>
      <c r="AP262" s="90"/>
      <c r="AQ262" s="90"/>
      <c r="AR262" s="90"/>
      <c r="AS262" s="90"/>
      <c r="AT262" s="90"/>
      <c r="AU262" s="90"/>
      <c r="AV262" s="90"/>
      <c r="AW262" s="90"/>
      <c r="AX262" s="90"/>
    </row>
    <row r="263" ht="14.25" customHeight="1">
      <c r="A263" s="30"/>
      <c r="B263" s="30"/>
      <c r="C263" s="66"/>
      <c r="F263" s="66"/>
      <c r="G263" s="66"/>
      <c r="M263" s="90"/>
      <c r="N263" s="90"/>
      <c r="O263" s="90"/>
      <c r="P263" s="90"/>
      <c r="Q263" s="90"/>
      <c r="R263" s="90"/>
      <c r="S263" s="90"/>
      <c r="T263" s="90"/>
      <c r="U263" s="90"/>
      <c r="V263" s="90"/>
      <c r="W263" s="90"/>
      <c r="X263" s="90"/>
      <c r="Y263" s="90"/>
      <c r="Z263" s="90"/>
      <c r="AA263" s="90"/>
      <c r="AB263" s="90"/>
      <c r="AC263" s="90"/>
      <c r="AD263" s="90"/>
      <c r="AE263" s="90"/>
      <c r="AF263" s="90"/>
      <c r="AG263" s="90"/>
      <c r="AH263" s="90"/>
      <c r="AI263" s="90"/>
      <c r="AJ263" s="90"/>
      <c r="AK263" s="90"/>
      <c r="AL263" s="90"/>
      <c r="AM263" s="90"/>
      <c r="AN263" s="90"/>
      <c r="AO263" s="90"/>
      <c r="AP263" s="90"/>
      <c r="AQ263" s="90"/>
      <c r="AR263" s="90"/>
      <c r="AS263" s="90"/>
      <c r="AT263" s="90"/>
      <c r="AU263" s="90"/>
      <c r="AV263" s="90"/>
      <c r="AW263" s="90"/>
      <c r="AX263" s="90"/>
    </row>
    <row r="264" ht="14.25" customHeight="1">
      <c r="A264" s="30"/>
      <c r="B264" s="30"/>
      <c r="C264" s="66"/>
      <c r="F264" s="66"/>
      <c r="G264" s="66"/>
      <c r="M264" s="90"/>
      <c r="N264" s="90"/>
      <c r="O264" s="90"/>
      <c r="P264" s="90"/>
      <c r="Q264" s="90"/>
      <c r="R264" s="90"/>
      <c r="S264" s="90"/>
      <c r="T264" s="90"/>
      <c r="U264" s="90"/>
      <c r="V264" s="90"/>
      <c r="W264" s="90"/>
      <c r="X264" s="90"/>
      <c r="Y264" s="90"/>
      <c r="Z264" s="90"/>
      <c r="AA264" s="90"/>
      <c r="AB264" s="90"/>
      <c r="AC264" s="90"/>
      <c r="AD264" s="90"/>
      <c r="AE264" s="90"/>
      <c r="AF264" s="90"/>
      <c r="AG264" s="90"/>
      <c r="AH264" s="90"/>
      <c r="AI264" s="90"/>
      <c r="AJ264" s="90"/>
      <c r="AK264" s="90"/>
      <c r="AL264" s="90"/>
      <c r="AM264" s="90"/>
      <c r="AN264" s="90"/>
      <c r="AO264" s="90"/>
      <c r="AP264" s="90"/>
      <c r="AQ264" s="90"/>
      <c r="AR264" s="90"/>
      <c r="AS264" s="90"/>
      <c r="AT264" s="90"/>
      <c r="AU264" s="90"/>
      <c r="AV264" s="90"/>
      <c r="AW264" s="90"/>
      <c r="AX264" s="90"/>
    </row>
    <row r="265" ht="14.25" customHeight="1">
      <c r="A265" s="30"/>
      <c r="B265" s="30"/>
      <c r="C265" s="66"/>
      <c r="F265" s="66"/>
      <c r="G265" s="66"/>
      <c r="M265" s="90"/>
      <c r="N265" s="90"/>
      <c r="O265" s="90"/>
      <c r="P265" s="90"/>
      <c r="Q265" s="90"/>
      <c r="R265" s="90"/>
      <c r="S265" s="90"/>
      <c r="T265" s="90"/>
      <c r="U265" s="90"/>
      <c r="V265" s="90"/>
      <c r="W265" s="90"/>
      <c r="X265" s="90"/>
      <c r="Y265" s="90"/>
      <c r="Z265" s="90"/>
      <c r="AA265" s="90"/>
      <c r="AB265" s="90"/>
      <c r="AC265" s="90"/>
      <c r="AD265" s="90"/>
      <c r="AE265" s="90"/>
      <c r="AF265" s="90"/>
      <c r="AG265" s="90"/>
      <c r="AH265" s="90"/>
      <c r="AI265" s="90"/>
      <c r="AJ265" s="90"/>
      <c r="AK265" s="90"/>
      <c r="AL265" s="90"/>
      <c r="AM265" s="90"/>
      <c r="AN265" s="90"/>
      <c r="AO265" s="90"/>
      <c r="AP265" s="90"/>
      <c r="AQ265" s="90"/>
      <c r="AR265" s="90"/>
      <c r="AS265" s="90"/>
      <c r="AT265" s="90"/>
      <c r="AU265" s="90"/>
      <c r="AV265" s="90"/>
      <c r="AW265" s="90"/>
      <c r="AX265" s="90"/>
    </row>
    <row r="266" ht="14.25" customHeight="1">
      <c r="A266" s="30"/>
      <c r="B266" s="30"/>
      <c r="C266" s="66"/>
      <c r="F266" s="66"/>
      <c r="G266" s="66"/>
      <c r="M266" s="90"/>
      <c r="N266" s="90"/>
      <c r="O266" s="90"/>
      <c r="P266" s="90"/>
      <c r="Q266" s="90"/>
      <c r="R266" s="90"/>
      <c r="S266" s="90"/>
      <c r="T266" s="90"/>
      <c r="U266" s="90"/>
      <c r="V266" s="90"/>
      <c r="W266" s="90"/>
      <c r="X266" s="90"/>
      <c r="Y266" s="90"/>
      <c r="Z266" s="90"/>
      <c r="AA266" s="90"/>
      <c r="AB266" s="90"/>
      <c r="AC266" s="90"/>
      <c r="AD266" s="90"/>
      <c r="AE266" s="90"/>
      <c r="AF266" s="90"/>
      <c r="AG266" s="90"/>
      <c r="AH266" s="90"/>
      <c r="AI266" s="90"/>
      <c r="AJ266" s="90"/>
      <c r="AK266" s="90"/>
      <c r="AL266" s="90"/>
      <c r="AM266" s="90"/>
      <c r="AN266" s="90"/>
      <c r="AO266" s="90"/>
      <c r="AP266" s="90"/>
      <c r="AQ266" s="90"/>
      <c r="AR266" s="90"/>
      <c r="AS266" s="90"/>
      <c r="AT266" s="90"/>
      <c r="AU266" s="90"/>
      <c r="AV266" s="90"/>
      <c r="AW266" s="90"/>
      <c r="AX266" s="90"/>
    </row>
    <row r="267" ht="14.25" customHeight="1">
      <c r="A267" s="30"/>
      <c r="B267" s="30"/>
      <c r="C267" s="66"/>
      <c r="F267" s="66"/>
      <c r="G267" s="66"/>
      <c r="M267" s="90"/>
      <c r="N267" s="90"/>
      <c r="O267" s="90"/>
      <c r="P267" s="90"/>
      <c r="Q267" s="90"/>
      <c r="R267" s="90"/>
      <c r="S267" s="90"/>
      <c r="T267" s="90"/>
      <c r="U267" s="90"/>
      <c r="V267" s="90"/>
      <c r="W267" s="90"/>
      <c r="X267" s="90"/>
      <c r="Y267" s="90"/>
      <c r="Z267" s="90"/>
      <c r="AA267" s="90"/>
      <c r="AB267" s="90"/>
      <c r="AC267" s="90"/>
      <c r="AD267" s="90"/>
      <c r="AE267" s="90"/>
      <c r="AF267" s="90"/>
      <c r="AG267" s="90"/>
      <c r="AH267" s="90"/>
      <c r="AI267" s="90"/>
      <c r="AJ267" s="90"/>
      <c r="AK267" s="90"/>
      <c r="AL267" s="90"/>
      <c r="AM267" s="90"/>
      <c r="AN267" s="90"/>
      <c r="AO267" s="90"/>
      <c r="AP267" s="90"/>
      <c r="AQ267" s="90"/>
      <c r="AR267" s="90"/>
      <c r="AS267" s="90"/>
      <c r="AT267" s="90"/>
      <c r="AU267" s="90"/>
      <c r="AV267" s="90"/>
      <c r="AW267" s="90"/>
      <c r="AX267" s="90"/>
    </row>
    <row r="268" ht="14.25" customHeight="1">
      <c r="A268" s="30"/>
      <c r="B268" s="30"/>
      <c r="C268" s="66"/>
      <c r="F268" s="66"/>
      <c r="G268" s="66"/>
      <c r="M268" s="90"/>
      <c r="N268" s="90"/>
      <c r="O268" s="90"/>
      <c r="P268" s="90"/>
      <c r="Q268" s="90"/>
      <c r="R268" s="90"/>
      <c r="S268" s="90"/>
      <c r="T268" s="90"/>
      <c r="U268" s="90"/>
      <c r="V268" s="90"/>
      <c r="W268" s="90"/>
      <c r="X268" s="90"/>
      <c r="Y268" s="90"/>
      <c r="Z268" s="90"/>
      <c r="AA268" s="90"/>
      <c r="AB268" s="90"/>
      <c r="AC268" s="90"/>
      <c r="AD268" s="90"/>
      <c r="AE268" s="90"/>
      <c r="AF268" s="90"/>
      <c r="AG268" s="90"/>
      <c r="AH268" s="90"/>
      <c r="AI268" s="90"/>
      <c r="AJ268" s="90"/>
      <c r="AK268" s="90"/>
      <c r="AL268" s="90"/>
      <c r="AM268" s="90"/>
      <c r="AN268" s="90"/>
      <c r="AO268" s="90"/>
      <c r="AP268" s="90"/>
      <c r="AQ268" s="90"/>
      <c r="AR268" s="90"/>
      <c r="AS268" s="90"/>
      <c r="AT268" s="90"/>
      <c r="AU268" s="90"/>
      <c r="AV268" s="90"/>
      <c r="AW268" s="90"/>
      <c r="AX268" s="90"/>
    </row>
    <row r="269" ht="14.25" customHeight="1">
      <c r="A269" s="30"/>
      <c r="B269" s="30"/>
      <c r="C269" s="66"/>
      <c r="F269" s="66"/>
      <c r="G269" s="66"/>
      <c r="M269" s="90"/>
      <c r="N269" s="90"/>
      <c r="O269" s="90"/>
      <c r="P269" s="90"/>
      <c r="Q269" s="90"/>
      <c r="R269" s="90"/>
      <c r="S269" s="90"/>
      <c r="T269" s="90"/>
      <c r="U269" s="90"/>
      <c r="V269" s="90"/>
      <c r="W269" s="90"/>
      <c r="X269" s="90"/>
      <c r="Y269" s="90"/>
      <c r="Z269" s="90"/>
      <c r="AA269" s="90"/>
      <c r="AB269" s="90"/>
      <c r="AC269" s="90"/>
      <c r="AD269" s="90"/>
      <c r="AE269" s="90"/>
      <c r="AF269" s="90"/>
      <c r="AG269" s="90"/>
      <c r="AH269" s="90"/>
      <c r="AI269" s="90"/>
      <c r="AJ269" s="90"/>
      <c r="AK269" s="90"/>
      <c r="AL269" s="90"/>
      <c r="AM269" s="90"/>
      <c r="AN269" s="90"/>
      <c r="AO269" s="90"/>
      <c r="AP269" s="90"/>
      <c r="AQ269" s="90"/>
      <c r="AR269" s="90"/>
      <c r="AS269" s="90"/>
      <c r="AT269" s="90"/>
      <c r="AU269" s="90"/>
      <c r="AV269" s="90"/>
      <c r="AW269" s="90"/>
      <c r="AX269" s="90"/>
    </row>
    <row r="270" ht="14.25" customHeight="1">
      <c r="A270" s="30"/>
      <c r="B270" s="30"/>
      <c r="C270" s="66"/>
      <c r="F270" s="66"/>
      <c r="G270" s="66"/>
      <c r="M270" s="90"/>
      <c r="N270" s="90"/>
      <c r="O270" s="90"/>
      <c r="P270" s="90"/>
      <c r="Q270" s="90"/>
      <c r="R270" s="90"/>
      <c r="S270" s="90"/>
      <c r="T270" s="90"/>
      <c r="U270" s="90"/>
      <c r="V270" s="90"/>
      <c r="W270" s="90"/>
      <c r="X270" s="90"/>
      <c r="Y270" s="90"/>
      <c r="Z270" s="90"/>
      <c r="AA270" s="90"/>
      <c r="AB270" s="90"/>
      <c r="AC270" s="90"/>
      <c r="AD270" s="90"/>
      <c r="AE270" s="90"/>
      <c r="AF270" s="90"/>
      <c r="AG270" s="90"/>
      <c r="AH270" s="90"/>
      <c r="AI270" s="90"/>
      <c r="AJ270" s="90"/>
      <c r="AK270" s="90"/>
      <c r="AL270" s="90"/>
      <c r="AM270" s="90"/>
      <c r="AN270" s="90"/>
      <c r="AO270" s="90"/>
      <c r="AP270" s="90"/>
      <c r="AQ270" s="90"/>
      <c r="AR270" s="90"/>
      <c r="AS270" s="90"/>
      <c r="AT270" s="90"/>
      <c r="AU270" s="90"/>
      <c r="AV270" s="90"/>
      <c r="AW270" s="90"/>
      <c r="AX270" s="90"/>
    </row>
    <row r="271" ht="14.25" customHeight="1">
      <c r="A271" s="30"/>
      <c r="B271" s="30"/>
      <c r="C271" s="66"/>
      <c r="F271" s="66"/>
      <c r="G271" s="66"/>
      <c r="M271" s="90"/>
      <c r="N271" s="90"/>
      <c r="O271" s="90"/>
      <c r="P271" s="90"/>
      <c r="Q271" s="90"/>
      <c r="R271" s="90"/>
      <c r="S271" s="90"/>
      <c r="T271" s="90"/>
      <c r="U271" s="90"/>
      <c r="V271" s="90"/>
      <c r="W271" s="90"/>
      <c r="X271" s="90"/>
      <c r="Y271" s="90"/>
      <c r="Z271" s="90"/>
      <c r="AA271" s="90"/>
      <c r="AB271" s="90"/>
      <c r="AC271" s="90"/>
      <c r="AD271" s="90"/>
      <c r="AE271" s="90"/>
      <c r="AF271" s="90"/>
      <c r="AG271" s="90"/>
      <c r="AH271" s="90"/>
      <c r="AI271" s="90"/>
      <c r="AJ271" s="90"/>
      <c r="AK271" s="90"/>
      <c r="AL271" s="90"/>
      <c r="AM271" s="90"/>
      <c r="AN271" s="90"/>
      <c r="AO271" s="90"/>
      <c r="AP271" s="90"/>
      <c r="AQ271" s="90"/>
      <c r="AR271" s="90"/>
      <c r="AS271" s="90"/>
      <c r="AT271" s="90"/>
      <c r="AU271" s="90"/>
      <c r="AV271" s="90"/>
      <c r="AW271" s="90"/>
      <c r="AX271" s="90"/>
    </row>
    <row r="272" ht="14.25" customHeight="1">
      <c r="A272" s="30"/>
      <c r="B272" s="30"/>
      <c r="C272" s="66"/>
      <c r="F272" s="66"/>
      <c r="G272" s="66"/>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c r="AX272" s="90"/>
    </row>
    <row r="273" ht="14.25" customHeight="1">
      <c r="A273" s="30"/>
      <c r="B273" s="30"/>
      <c r="C273" s="66"/>
      <c r="F273" s="66"/>
      <c r="G273" s="66"/>
      <c r="M273" s="90"/>
      <c r="N273" s="90"/>
      <c r="O273" s="90"/>
      <c r="P273" s="90"/>
      <c r="Q273" s="90"/>
      <c r="R273" s="90"/>
      <c r="S273" s="90"/>
      <c r="T273" s="90"/>
      <c r="U273" s="90"/>
      <c r="V273" s="90"/>
      <c r="W273" s="90"/>
      <c r="X273" s="90"/>
      <c r="Y273" s="90"/>
      <c r="Z273" s="90"/>
      <c r="AA273" s="90"/>
      <c r="AB273" s="90"/>
      <c r="AC273" s="90"/>
      <c r="AD273" s="90"/>
      <c r="AE273" s="90"/>
      <c r="AF273" s="90"/>
      <c r="AG273" s="90"/>
      <c r="AH273" s="90"/>
      <c r="AI273" s="90"/>
      <c r="AJ273" s="90"/>
      <c r="AK273" s="90"/>
      <c r="AL273" s="90"/>
      <c r="AM273" s="90"/>
      <c r="AN273" s="90"/>
      <c r="AO273" s="90"/>
      <c r="AP273" s="90"/>
      <c r="AQ273" s="90"/>
      <c r="AR273" s="90"/>
      <c r="AS273" s="90"/>
      <c r="AT273" s="90"/>
      <c r="AU273" s="90"/>
      <c r="AV273" s="90"/>
      <c r="AW273" s="90"/>
      <c r="AX273" s="90"/>
    </row>
    <row r="274" ht="14.25" customHeight="1">
      <c r="A274" s="30"/>
      <c r="B274" s="30"/>
      <c r="C274" s="66"/>
      <c r="F274" s="66"/>
      <c r="G274" s="66"/>
      <c r="M274" s="90"/>
      <c r="N274" s="90"/>
      <c r="O274" s="90"/>
      <c r="P274" s="90"/>
      <c r="Q274" s="90"/>
      <c r="R274" s="90"/>
      <c r="S274" s="90"/>
      <c r="T274" s="90"/>
      <c r="U274" s="90"/>
      <c r="V274" s="90"/>
      <c r="W274" s="90"/>
      <c r="X274" s="90"/>
      <c r="Y274" s="90"/>
      <c r="Z274" s="90"/>
      <c r="AA274" s="90"/>
      <c r="AB274" s="90"/>
      <c r="AC274" s="90"/>
      <c r="AD274" s="90"/>
      <c r="AE274" s="90"/>
      <c r="AF274" s="90"/>
      <c r="AG274" s="90"/>
      <c r="AH274" s="90"/>
      <c r="AI274" s="90"/>
      <c r="AJ274" s="90"/>
      <c r="AK274" s="90"/>
      <c r="AL274" s="90"/>
      <c r="AM274" s="90"/>
      <c r="AN274" s="90"/>
      <c r="AO274" s="90"/>
      <c r="AP274" s="90"/>
      <c r="AQ274" s="90"/>
      <c r="AR274" s="90"/>
      <c r="AS274" s="90"/>
      <c r="AT274" s="90"/>
      <c r="AU274" s="90"/>
      <c r="AV274" s="90"/>
      <c r="AW274" s="90"/>
      <c r="AX274" s="90"/>
    </row>
    <row r="275" ht="14.25" customHeight="1">
      <c r="A275" s="30"/>
      <c r="B275" s="30"/>
      <c r="C275" s="66"/>
      <c r="F275" s="66"/>
      <c r="G275" s="66"/>
      <c r="M275" s="90"/>
      <c r="N275" s="90"/>
      <c r="O275" s="90"/>
      <c r="P275" s="90"/>
      <c r="Q275" s="90"/>
      <c r="R275" s="90"/>
      <c r="S275" s="90"/>
      <c r="T275" s="90"/>
      <c r="U275" s="90"/>
      <c r="V275" s="90"/>
      <c r="W275" s="90"/>
      <c r="X275" s="90"/>
      <c r="Y275" s="90"/>
      <c r="Z275" s="90"/>
      <c r="AA275" s="90"/>
      <c r="AB275" s="90"/>
      <c r="AC275" s="90"/>
      <c r="AD275" s="90"/>
      <c r="AE275" s="90"/>
      <c r="AF275" s="90"/>
      <c r="AG275" s="90"/>
      <c r="AH275" s="90"/>
      <c r="AI275" s="90"/>
      <c r="AJ275" s="90"/>
      <c r="AK275" s="90"/>
      <c r="AL275" s="90"/>
      <c r="AM275" s="90"/>
      <c r="AN275" s="90"/>
      <c r="AO275" s="90"/>
      <c r="AP275" s="90"/>
      <c r="AQ275" s="90"/>
      <c r="AR275" s="90"/>
      <c r="AS275" s="90"/>
      <c r="AT275" s="90"/>
      <c r="AU275" s="90"/>
      <c r="AV275" s="90"/>
      <c r="AW275" s="90"/>
      <c r="AX275" s="90"/>
    </row>
    <row r="276" ht="14.25" customHeight="1">
      <c r="A276" s="30"/>
      <c r="B276" s="30"/>
      <c r="C276" s="66"/>
      <c r="F276" s="66"/>
      <c r="G276" s="66"/>
      <c r="M276" s="90"/>
      <c r="N276" s="90"/>
      <c r="O276" s="90"/>
      <c r="P276" s="90"/>
      <c r="Q276" s="90"/>
      <c r="R276" s="90"/>
      <c r="S276" s="90"/>
      <c r="T276" s="90"/>
      <c r="U276" s="90"/>
      <c r="V276" s="90"/>
      <c r="W276" s="90"/>
      <c r="X276" s="90"/>
      <c r="Y276" s="90"/>
      <c r="Z276" s="90"/>
      <c r="AA276" s="90"/>
      <c r="AB276" s="90"/>
      <c r="AC276" s="90"/>
      <c r="AD276" s="90"/>
      <c r="AE276" s="90"/>
      <c r="AF276" s="90"/>
      <c r="AG276" s="90"/>
      <c r="AH276" s="90"/>
      <c r="AI276" s="90"/>
      <c r="AJ276" s="90"/>
      <c r="AK276" s="90"/>
      <c r="AL276" s="90"/>
      <c r="AM276" s="90"/>
      <c r="AN276" s="90"/>
      <c r="AO276" s="90"/>
      <c r="AP276" s="90"/>
      <c r="AQ276" s="90"/>
      <c r="AR276" s="90"/>
      <c r="AS276" s="90"/>
      <c r="AT276" s="90"/>
      <c r="AU276" s="90"/>
      <c r="AV276" s="90"/>
      <c r="AW276" s="90"/>
      <c r="AX276" s="90"/>
    </row>
    <row r="277" ht="14.25" customHeight="1">
      <c r="A277" s="30"/>
      <c r="B277" s="30"/>
      <c r="C277" s="66"/>
      <c r="F277" s="66"/>
      <c r="G277" s="66"/>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row>
    <row r="278" ht="14.25" customHeight="1">
      <c r="A278" s="30"/>
      <c r="B278" s="30"/>
      <c r="C278" s="66"/>
      <c r="F278" s="66"/>
      <c r="G278" s="66"/>
      <c r="M278" s="90"/>
      <c r="N278" s="90"/>
      <c r="O278" s="90"/>
      <c r="P278" s="90"/>
      <c r="Q278" s="90"/>
      <c r="R278" s="90"/>
      <c r="S278" s="90"/>
      <c r="T278" s="90"/>
      <c r="U278" s="90"/>
      <c r="V278" s="90"/>
      <c r="W278" s="90"/>
      <c r="X278" s="90"/>
      <c r="Y278" s="90"/>
      <c r="Z278" s="90"/>
      <c r="AA278" s="90"/>
      <c r="AB278" s="90"/>
      <c r="AC278" s="90"/>
      <c r="AD278" s="90"/>
      <c r="AE278" s="90"/>
      <c r="AF278" s="90"/>
      <c r="AG278" s="90"/>
      <c r="AH278" s="90"/>
      <c r="AI278" s="90"/>
      <c r="AJ278" s="90"/>
      <c r="AK278" s="90"/>
      <c r="AL278" s="90"/>
      <c r="AM278" s="90"/>
      <c r="AN278" s="90"/>
      <c r="AO278" s="90"/>
      <c r="AP278" s="90"/>
      <c r="AQ278" s="90"/>
      <c r="AR278" s="90"/>
      <c r="AS278" s="90"/>
      <c r="AT278" s="90"/>
      <c r="AU278" s="90"/>
      <c r="AV278" s="90"/>
      <c r="AW278" s="90"/>
      <c r="AX278" s="90"/>
    </row>
    <row r="279" ht="14.25" customHeight="1">
      <c r="A279" s="30"/>
      <c r="B279" s="30"/>
      <c r="C279" s="66"/>
      <c r="F279" s="66"/>
      <c r="G279" s="66"/>
      <c r="M279" s="90"/>
      <c r="N279" s="90"/>
      <c r="O279" s="90"/>
      <c r="P279" s="90"/>
      <c r="Q279" s="90"/>
      <c r="R279" s="90"/>
      <c r="S279" s="90"/>
      <c r="T279" s="90"/>
      <c r="U279" s="90"/>
      <c r="V279" s="90"/>
      <c r="W279" s="90"/>
      <c r="X279" s="90"/>
      <c r="Y279" s="90"/>
      <c r="Z279" s="90"/>
      <c r="AA279" s="90"/>
      <c r="AB279" s="90"/>
      <c r="AC279" s="90"/>
      <c r="AD279" s="90"/>
      <c r="AE279" s="90"/>
      <c r="AF279" s="90"/>
      <c r="AG279" s="90"/>
      <c r="AH279" s="90"/>
      <c r="AI279" s="90"/>
      <c r="AJ279" s="90"/>
      <c r="AK279" s="90"/>
      <c r="AL279" s="90"/>
      <c r="AM279" s="90"/>
      <c r="AN279" s="90"/>
      <c r="AO279" s="90"/>
      <c r="AP279" s="90"/>
      <c r="AQ279" s="90"/>
      <c r="AR279" s="90"/>
      <c r="AS279" s="90"/>
      <c r="AT279" s="90"/>
      <c r="AU279" s="90"/>
      <c r="AV279" s="90"/>
      <c r="AW279" s="90"/>
      <c r="AX279" s="90"/>
    </row>
    <row r="280" ht="14.25" customHeight="1">
      <c r="A280" s="30"/>
      <c r="B280" s="30"/>
      <c r="C280" s="66"/>
      <c r="F280" s="66"/>
      <c r="G280" s="66"/>
      <c r="M280" s="90"/>
      <c r="N280" s="90"/>
      <c r="O280" s="90"/>
      <c r="P280" s="90"/>
      <c r="Q280" s="90"/>
      <c r="R280" s="90"/>
      <c r="S280" s="90"/>
      <c r="T280" s="90"/>
      <c r="U280" s="90"/>
      <c r="V280" s="90"/>
      <c r="W280" s="90"/>
      <c r="X280" s="90"/>
      <c r="Y280" s="90"/>
      <c r="Z280" s="90"/>
      <c r="AA280" s="90"/>
      <c r="AB280" s="90"/>
      <c r="AC280" s="90"/>
      <c r="AD280" s="90"/>
      <c r="AE280" s="90"/>
      <c r="AF280" s="90"/>
      <c r="AG280" s="90"/>
      <c r="AH280" s="90"/>
      <c r="AI280" s="90"/>
      <c r="AJ280" s="90"/>
      <c r="AK280" s="90"/>
      <c r="AL280" s="90"/>
      <c r="AM280" s="90"/>
      <c r="AN280" s="90"/>
      <c r="AO280" s="90"/>
      <c r="AP280" s="90"/>
      <c r="AQ280" s="90"/>
      <c r="AR280" s="90"/>
      <c r="AS280" s="90"/>
      <c r="AT280" s="90"/>
      <c r="AU280" s="90"/>
      <c r="AV280" s="90"/>
      <c r="AW280" s="90"/>
      <c r="AX280" s="90"/>
    </row>
    <row r="281" ht="14.25" customHeight="1">
      <c r="A281" s="30"/>
      <c r="B281" s="30"/>
      <c r="C281" s="66"/>
      <c r="F281" s="66"/>
      <c r="G281" s="66"/>
      <c r="M281" s="90"/>
      <c r="N281" s="90"/>
      <c r="O281" s="90"/>
      <c r="P281" s="90"/>
      <c r="Q281" s="90"/>
      <c r="R281" s="90"/>
      <c r="S281" s="90"/>
      <c r="T281" s="90"/>
      <c r="U281" s="90"/>
      <c r="V281" s="90"/>
      <c r="W281" s="90"/>
      <c r="X281" s="90"/>
      <c r="Y281" s="90"/>
      <c r="Z281" s="90"/>
      <c r="AA281" s="90"/>
      <c r="AB281" s="90"/>
      <c r="AC281" s="90"/>
      <c r="AD281" s="90"/>
      <c r="AE281" s="90"/>
      <c r="AF281" s="90"/>
      <c r="AG281" s="90"/>
      <c r="AH281" s="90"/>
      <c r="AI281" s="90"/>
      <c r="AJ281" s="90"/>
      <c r="AK281" s="90"/>
      <c r="AL281" s="90"/>
      <c r="AM281" s="90"/>
      <c r="AN281" s="90"/>
      <c r="AO281" s="90"/>
      <c r="AP281" s="90"/>
      <c r="AQ281" s="90"/>
      <c r="AR281" s="90"/>
      <c r="AS281" s="90"/>
      <c r="AT281" s="90"/>
      <c r="AU281" s="90"/>
      <c r="AV281" s="90"/>
      <c r="AW281" s="90"/>
      <c r="AX281" s="90"/>
    </row>
    <row r="282" ht="14.25" customHeight="1">
      <c r="A282" s="30"/>
      <c r="B282" s="30"/>
      <c r="C282" s="66"/>
      <c r="F282" s="66"/>
      <c r="G282" s="66"/>
      <c r="M282" s="90"/>
      <c r="N282" s="90"/>
      <c r="O282" s="90"/>
      <c r="P282" s="90"/>
      <c r="Q282" s="90"/>
      <c r="R282" s="90"/>
      <c r="S282" s="90"/>
      <c r="T282" s="90"/>
      <c r="U282" s="90"/>
      <c r="V282" s="90"/>
      <c r="W282" s="90"/>
      <c r="X282" s="90"/>
      <c r="Y282" s="90"/>
      <c r="Z282" s="90"/>
      <c r="AA282" s="90"/>
      <c r="AB282" s="90"/>
      <c r="AC282" s="90"/>
      <c r="AD282" s="90"/>
      <c r="AE282" s="90"/>
      <c r="AF282" s="90"/>
      <c r="AG282" s="90"/>
      <c r="AH282" s="90"/>
      <c r="AI282" s="90"/>
      <c r="AJ282" s="90"/>
      <c r="AK282" s="90"/>
      <c r="AL282" s="90"/>
      <c r="AM282" s="90"/>
      <c r="AN282" s="90"/>
      <c r="AO282" s="90"/>
      <c r="AP282" s="90"/>
      <c r="AQ282" s="90"/>
      <c r="AR282" s="90"/>
      <c r="AS282" s="90"/>
      <c r="AT282" s="90"/>
      <c r="AU282" s="90"/>
      <c r="AV282" s="90"/>
      <c r="AW282" s="90"/>
      <c r="AX282" s="90"/>
    </row>
    <row r="283" ht="14.25" customHeight="1">
      <c r="A283" s="30"/>
      <c r="B283" s="30"/>
      <c r="C283" s="66"/>
      <c r="F283" s="66"/>
      <c r="G283" s="66"/>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90"/>
      <c r="AM283" s="90"/>
      <c r="AN283" s="90"/>
      <c r="AO283" s="90"/>
      <c r="AP283" s="90"/>
      <c r="AQ283" s="90"/>
      <c r="AR283" s="90"/>
      <c r="AS283" s="90"/>
      <c r="AT283" s="90"/>
      <c r="AU283" s="90"/>
      <c r="AV283" s="90"/>
      <c r="AW283" s="90"/>
      <c r="AX283" s="90"/>
    </row>
    <row r="284" ht="14.25" customHeight="1">
      <c r="A284" s="30"/>
      <c r="B284" s="30"/>
      <c r="C284" s="66"/>
      <c r="F284" s="66"/>
      <c r="G284" s="66"/>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row>
    <row r="285" ht="14.25" customHeight="1">
      <c r="A285" s="30"/>
      <c r="B285" s="30"/>
      <c r="C285" s="66"/>
      <c r="F285" s="66"/>
      <c r="G285" s="66"/>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90"/>
      <c r="AM285" s="90"/>
      <c r="AN285" s="90"/>
      <c r="AO285" s="90"/>
      <c r="AP285" s="90"/>
      <c r="AQ285" s="90"/>
      <c r="AR285" s="90"/>
      <c r="AS285" s="90"/>
      <c r="AT285" s="90"/>
      <c r="AU285" s="90"/>
      <c r="AV285" s="90"/>
      <c r="AW285" s="90"/>
      <c r="AX285" s="90"/>
    </row>
    <row r="286" ht="14.25" customHeight="1">
      <c r="A286" s="30"/>
      <c r="B286" s="30"/>
      <c r="C286" s="66"/>
      <c r="F286" s="66"/>
      <c r="G286" s="66"/>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row>
    <row r="287" ht="14.25" customHeight="1">
      <c r="A287" s="30"/>
      <c r="B287" s="30"/>
      <c r="C287" s="66"/>
      <c r="F287" s="66"/>
      <c r="G287" s="66"/>
      <c r="M287" s="90"/>
      <c r="N287" s="90"/>
      <c r="O287" s="90"/>
      <c r="P287" s="90"/>
      <c r="Q287" s="90"/>
      <c r="R287" s="90"/>
      <c r="S287" s="90"/>
      <c r="T287" s="90"/>
      <c r="U287" s="90"/>
      <c r="V287" s="90"/>
      <c r="W287" s="90"/>
      <c r="X287" s="90"/>
      <c r="Y287" s="90"/>
      <c r="Z287" s="90"/>
      <c r="AA287" s="90"/>
      <c r="AB287" s="90"/>
      <c r="AC287" s="90"/>
      <c r="AD287" s="90"/>
      <c r="AE287" s="90"/>
      <c r="AF287" s="90"/>
      <c r="AG287" s="90"/>
      <c r="AH287" s="90"/>
      <c r="AI287" s="90"/>
      <c r="AJ287" s="90"/>
      <c r="AK287" s="90"/>
      <c r="AL287" s="90"/>
      <c r="AM287" s="90"/>
      <c r="AN287" s="90"/>
      <c r="AO287" s="90"/>
      <c r="AP287" s="90"/>
      <c r="AQ287" s="90"/>
      <c r="AR287" s="90"/>
      <c r="AS287" s="90"/>
      <c r="AT287" s="90"/>
      <c r="AU287" s="90"/>
      <c r="AV287" s="90"/>
      <c r="AW287" s="90"/>
      <c r="AX287" s="90"/>
    </row>
    <row r="288" ht="14.25" customHeight="1">
      <c r="A288" s="30"/>
      <c r="B288" s="30"/>
      <c r="C288" s="66"/>
      <c r="F288" s="66"/>
      <c r="G288" s="66"/>
      <c r="M288" s="90"/>
      <c r="N288" s="90"/>
      <c r="O288" s="90"/>
      <c r="P288" s="90"/>
      <c r="Q288" s="90"/>
      <c r="R288" s="90"/>
      <c r="S288" s="90"/>
      <c r="T288" s="90"/>
      <c r="U288" s="90"/>
      <c r="V288" s="90"/>
      <c r="W288" s="90"/>
      <c r="X288" s="90"/>
      <c r="Y288" s="90"/>
      <c r="Z288" s="90"/>
      <c r="AA288" s="90"/>
      <c r="AB288" s="90"/>
      <c r="AC288" s="90"/>
      <c r="AD288" s="90"/>
      <c r="AE288" s="90"/>
      <c r="AF288" s="90"/>
      <c r="AG288" s="90"/>
      <c r="AH288" s="90"/>
      <c r="AI288" s="90"/>
      <c r="AJ288" s="90"/>
      <c r="AK288" s="90"/>
      <c r="AL288" s="90"/>
      <c r="AM288" s="90"/>
      <c r="AN288" s="90"/>
      <c r="AO288" s="90"/>
      <c r="AP288" s="90"/>
      <c r="AQ288" s="90"/>
      <c r="AR288" s="90"/>
      <c r="AS288" s="90"/>
      <c r="AT288" s="90"/>
      <c r="AU288" s="90"/>
      <c r="AV288" s="90"/>
      <c r="AW288" s="90"/>
      <c r="AX288" s="90"/>
    </row>
    <row r="289" ht="14.25" customHeight="1">
      <c r="A289" s="30"/>
      <c r="B289" s="30"/>
      <c r="C289" s="66"/>
      <c r="F289" s="66"/>
      <c r="G289" s="66"/>
      <c r="M289" s="90"/>
      <c r="N289" s="90"/>
      <c r="O289" s="90"/>
      <c r="P289" s="90"/>
      <c r="Q289" s="90"/>
      <c r="R289" s="90"/>
      <c r="S289" s="90"/>
      <c r="T289" s="90"/>
      <c r="U289" s="90"/>
      <c r="V289" s="90"/>
      <c r="W289" s="90"/>
      <c r="X289" s="90"/>
      <c r="Y289" s="90"/>
      <c r="Z289" s="90"/>
      <c r="AA289" s="90"/>
      <c r="AB289" s="90"/>
      <c r="AC289" s="90"/>
      <c r="AD289" s="90"/>
      <c r="AE289" s="90"/>
      <c r="AF289" s="90"/>
      <c r="AG289" s="90"/>
      <c r="AH289" s="90"/>
      <c r="AI289" s="90"/>
      <c r="AJ289" s="90"/>
      <c r="AK289" s="90"/>
      <c r="AL289" s="90"/>
      <c r="AM289" s="90"/>
      <c r="AN289" s="90"/>
      <c r="AO289" s="90"/>
      <c r="AP289" s="90"/>
      <c r="AQ289" s="90"/>
      <c r="AR289" s="90"/>
      <c r="AS289" s="90"/>
      <c r="AT289" s="90"/>
      <c r="AU289" s="90"/>
      <c r="AV289" s="90"/>
      <c r="AW289" s="90"/>
      <c r="AX289" s="90"/>
    </row>
    <row r="290" ht="14.25" customHeight="1">
      <c r="A290" s="30"/>
      <c r="B290" s="30"/>
      <c r="C290" s="66"/>
      <c r="F290" s="66"/>
      <c r="G290" s="66"/>
      <c r="M290" s="90"/>
      <c r="N290" s="90"/>
      <c r="O290" s="90"/>
      <c r="P290" s="90"/>
      <c r="Q290" s="90"/>
      <c r="R290" s="90"/>
      <c r="S290" s="90"/>
      <c r="T290" s="90"/>
      <c r="U290" s="90"/>
      <c r="V290" s="90"/>
      <c r="W290" s="90"/>
      <c r="X290" s="90"/>
      <c r="Y290" s="90"/>
      <c r="Z290" s="90"/>
      <c r="AA290" s="90"/>
      <c r="AB290" s="90"/>
      <c r="AC290" s="90"/>
      <c r="AD290" s="90"/>
      <c r="AE290" s="90"/>
      <c r="AF290" s="90"/>
      <c r="AG290" s="90"/>
      <c r="AH290" s="90"/>
      <c r="AI290" s="90"/>
      <c r="AJ290" s="90"/>
      <c r="AK290" s="90"/>
      <c r="AL290" s="90"/>
      <c r="AM290" s="90"/>
      <c r="AN290" s="90"/>
      <c r="AO290" s="90"/>
      <c r="AP290" s="90"/>
      <c r="AQ290" s="90"/>
      <c r="AR290" s="90"/>
      <c r="AS290" s="90"/>
      <c r="AT290" s="90"/>
      <c r="AU290" s="90"/>
      <c r="AV290" s="90"/>
      <c r="AW290" s="90"/>
      <c r="AX290" s="90"/>
    </row>
    <row r="291" ht="14.25" customHeight="1">
      <c r="A291" s="30"/>
      <c r="B291" s="30"/>
      <c r="C291" s="66"/>
      <c r="F291" s="66"/>
      <c r="G291" s="66"/>
      <c r="M291" s="90"/>
      <c r="N291" s="90"/>
      <c r="O291" s="90"/>
      <c r="P291" s="90"/>
      <c r="Q291" s="90"/>
      <c r="R291" s="90"/>
      <c r="S291" s="90"/>
      <c r="T291" s="90"/>
      <c r="U291" s="90"/>
      <c r="V291" s="90"/>
      <c r="W291" s="90"/>
      <c r="X291" s="90"/>
      <c r="Y291" s="90"/>
      <c r="Z291" s="90"/>
      <c r="AA291" s="90"/>
      <c r="AB291" s="90"/>
      <c r="AC291" s="90"/>
      <c r="AD291" s="90"/>
      <c r="AE291" s="90"/>
      <c r="AF291" s="90"/>
      <c r="AG291" s="90"/>
      <c r="AH291" s="90"/>
      <c r="AI291" s="90"/>
      <c r="AJ291" s="90"/>
      <c r="AK291" s="90"/>
      <c r="AL291" s="90"/>
      <c r="AM291" s="90"/>
      <c r="AN291" s="90"/>
      <c r="AO291" s="90"/>
      <c r="AP291" s="90"/>
      <c r="AQ291" s="90"/>
      <c r="AR291" s="90"/>
      <c r="AS291" s="90"/>
      <c r="AT291" s="90"/>
      <c r="AU291" s="90"/>
      <c r="AV291" s="90"/>
      <c r="AW291" s="90"/>
      <c r="AX291" s="90"/>
    </row>
    <row r="292" ht="14.25" customHeight="1">
      <c r="A292" s="30"/>
      <c r="B292" s="30"/>
      <c r="C292" s="66"/>
      <c r="F292" s="66"/>
      <c r="G292" s="66"/>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90"/>
      <c r="AL292" s="90"/>
      <c r="AM292" s="90"/>
      <c r="AN292" s="90"/>
      <c r="AO292" s="90"/>
      <c r="AP292" s="90"/>
      <c r="AQ292" s="90"/>
      <c r="AR292" s="90"/>
      <c r="AS292" s="90"/>
      <c r="AT292" s="90"/>
      <c r="AU292" s="90"/>
      <c r="AV292" s="90"/>
      <c r="AW292" s="90"/>
      <c r="AX292" s="90"/>
    </row>
    <row r="293" ht="14.25" customHeight="1">
      <c r="A293" s="30"/>
      <c r="B293" s="30"/>
      <c r="C293" s="66"/>
      <c r="F293" s="66"/>
      <c r="G293" s="66"/>
      <c r="M293" s="90"/>
      <c r="N293" s="90"/>
      <c r="O293" s="90"/>
      <c r="P293" s="90"/>
      <c r="Q293" s="90"/>
      <c r="R293" s="90"/>
      <c r="S293" s="90"/>
      <c r="T293" s="90"/>
      <c r="U293" s="90"/>
      <c r="V293" s="90"/>
      <c r="W293" s="90"/>
      <c r="X293" s="90"/>
      <c r="Y293" s="90"/>
      <c r="Z293" s="90"/>
      <c r="AA293" s="90"/>
      <c r="AB293" s="90"/>
      <c r="AC293" s="90"/>
      <c r="AD293" s="90"/>
      <c r="AE293" s="90"/>
      <c r="AF293" s="90"/>
      <c r="AG293" s="90"/>
      <c r="AH293" s="90"/>
      <c r="AI293" s="90"/>
      <c r="AJ293" s="90"/>
      <c r="AK293" s="90"/>
      <c r="AL293" s="90"/>
      <c r="AM293" s="90"/>
      <c r="AN293" s="90"/>
      <c r="AO293" s="90"/>
      <c r="AP293" s="90"/>
      <c r="AQ293" s="90"/>
      <c r="AR293" s="90"/>
      <c r="AS293" s="90"/>
      <c r="AT293" s="90"/>
      <c r="AU293" s="90"/>
      <c r="AV293" s="90"/>
      <c r="AW293" s="90"/>
      <c r="AX293" s="90"/>
    </row>
    <row r="294" ht="14.25" customHeight="1">
      <c r="A294" s="30"/>
      <c r="B294" s="30"/>
      <c r="C294" s="66"/>
      <c r="F294" s="66"/>
      <c r="G294" s="66"/>
      <c r="M294" s="90"/>
      <c r="N294" s="90"/>
      <c r="O294" s="90"/>
      <c r="P294" s="90"/>
      <c r="Q294" s="90"/>
      <c r="R294" s="90"/>
      <c r="S294" s="90"/>
      <c r="T294" s="90"/>
      <c r="U294" s="90"/>
      <c r="V294" s="90"/>
      <c r="W294" s="90"/>
      <c r="X294" s="90"/>
      <c r="Y294" s="90"/>
      <c r="Z294" s="90"/>
      <c r="AA294" s="90"/>
      <c r="AB294" s="90"/>
      <c r="AC294" s="90"/>
      <c r="AD294" s="90"/>
      <c r="AE294" s="90"/>
      <c r="AF294" s="90"/>
      <c r="AG294" s="90"/>
      <c r="AH294" s="90"/>
      <c r="AI294" s="90"/>
      <c r="AJ294" s="90"/>
      <c r="AK294" s="90"/>
      <c r="AL294" s="90"/>
      <c r="AM294" s="90"/>
      <c r="AN294" s="90"/>
      <c r="AO294" s="90"/>
      <c r="AP294" s="90"/>
      <c r="AQ294" s="90"/>
      <c r="AR294" s="90"/>
      <c r="AS294" s="90"/>
      <c r="AT294" s="90"/>
      <c r="AU294" s="90"/>
      <c r="AV294" s="90"/>
      <c r="AW294" s="90"/>
      <c r="AX294" s="90"/>
    </row>
    <row r="295" ht="14.25" customHeight="1">
      <c r="A295" s="30"/>
      <c r="B295" s="30"/>
      <c r="C295" s="66"/>
      <c r="F295" s="66"/>
      <c r="G295" s="66"/>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AV295" s="90"/>
      <c r="AW295" s="90"/>
      <c r="AX295" s="90"/>
    </row>
    <row r="296" ht="14.25" customHeight="1">
      <c r="A296" s="30"/>
      <c r="B296" s="30"/>
      <c r="C296" s="66"/>
      <c r="F296" s="66"/>
      <c r="G296" s="66"/>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AV296" s="90"/>
      <c r="AW296" s="90"/>
      <c r="AX296" s="90"/>
    </row>
    <row r="297" ht="14.25" customHeight="1">
      <c r="A297" s="30"/>
      <c r="B297" s="30"/>
      <c r="C297" s="66"/>
      <c r="F297" s="66"/>
      <c r="G297" s="66"/>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AV297" s="90"/>
      <c r="AW297" s="90"/>
      <c r="AX297" s="90"/>
    </row>
    <row r="298" ht="14.25" customHeight="1">
      <c r="A298" s="30"/>
      <c r="B298" s="30"/>
      <c r="C298" s="66"/>
      <c r="F298" s="66"/>
      <c r="G298" s="66"/>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90"/>
      <c r="AL298" s="90"/>
      <c r="AM298" s="90"/>
      <c r="AN298" s="90"/>
      <c r="AO298" s="90"/>
      <c r="AP298" s="90"/>
      <c r="AQ298" s="90"/>
      <c r="AR298" s="90"/>
      <c r="AS298" s="90"/>
      <c r="AT298" s="90"/>
      <c r="AU298" s="90"/>
      <c r="AV298" s="90"/>
      <c r="AW298" s="90"/>
      <c r="AX298" s="90"/>
    </row>
    <row r="299" ht="14.25" customHeight="1">
      <c r="A299" s="30"/>
      <c r="B299" s="30"/>
      <c r="C299" s="66"/>
      <c r="F299" s="66"/>
      <c r="G299" s="66"/>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row>
    <row r="300" ht="14.25" customHeight="1">
      <c r="A300" s="30"/>
      <c r="B300" s="30"/>
      <c r="C300" s="66"/>
      <c r="F300" s="66"/>
      <c r="G300" s="66"/>
      <c r="M300" s="90"/>
      <c r="N300" s="90"/>
      <c r="O300" s="90"/>
      <c r="P300" s="90"/>
      <c r="Q300" s="90"/>
      <c r="R300" s="90"/>
      <c r="S300" s="90"/>
      <c r="T300" s="90"/>
      <c r="U300" s="90"/>
      <c r="V300" s="90"/>
      <c r="W300" s="90"/>
      <c r="X300" s="90"/>
      <c r="Y300" s="90"/>
      <c r="Z300" s="90"/>
      <c r="AA300" s="90"/>
      <c r="AB300" s="90"/>
      <c r="AC300" s="90"/>
      <c r="AD300" s="90"/>
      <c r="AE300" s="90"/>
      <c r="AF300" s="90"/>
      <c r="AG300" s="90"/>
      <c r="AH300" s="90"/>
      <c r="AI300" s="90"/>
      <c r="AJ300" s="90"/>
      <c r="AK300" s="90"/>
      <c r="AL300" s="90"/>
      <c r="AM300" s="90"/>
      <c r="AN300" s="90"/>
      <c r="AO300" s="90"/>
      <c r="AP300" s="90"/>
      <c r="AQ300" s="90"/>
      <c r="AR300" s="90"/>
      <c r="AS300" s="90"/>
      <c r="AT300" s="90"/>
      <c r="AU300" s="90"/>
      <c r="AV300" s="90"/>
      <c r="AW300" s="90"/>
      <c r="AX300" s="90"/>
    </row>
    <row r="301" ht="14.25" customHeight="1">
      <c r="A301" s="30"/>
      <c r="B301" s="30"/>
      <c r="C301" s="66"/>
      <c r="F301" s="66"/>
      <c r="G301" s="66"/>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AV301" s="90"/>
      <c r="AW301" s="90"/>
      <c r="AX301" s="90"/>
    </row>
    <row r="302" ht="14.25" customHeight="1">
      <c r="A302" s="30"/>
      <c r="B302" s="30"/>
      <c r="C302" s="66"/>
      <c r="F302" s="66"/>
      <c r="G302" s="66"/>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AV302" s="90"/>
      <c r="AW302" s="90"/>
      <c r="AX302" s="90"/>
    </row>
    <row r="303" ht="14.25" customHeight="1">
      <c r="A303" s="30"/>
      <c r="B303" s="30"/>
      <c r="C303" s="66"/>
      <c r="F303" s="66"/>
      <c r="G303" s="66"/>
      <c r="M303" s="90"/>
      <c r="N303" s="90"/>
      <c r="O303" s="90"/>
      <c r="P303" s="90"/>
      <c r="Q303" s="90"/>
      <c r="R303" s="90"/>
      <c r="S303" s="90"/>
      <c r="T303" s="90"/>
      <c r="U303" s="90"/>
      <c r="V303" s="90"/>
      <c r="W303" s="90"/>
      <c r="X303" s="90"/>
      <c r="Y303" s="90"/>
      <c r="Z303" s="90"/>
      <c r="AA303" s="90"/>
      <c r="AB303" s="90"/>
      <c r="AC303" s="90"/>
      <c r="AD303" s="90"/>
      <c r="AE303" s="90"/>
      <c r="AF303" s="90"/>
      <c r="AG303" s="90"/>
      <c r="AH303" s="90"/>
      <c r="AI303" s="90"/>
      <c r="AJ303" s="90"/>
      <c r="AK303" s="90"/>
      <c r="AL303" s="90"/>
      <c r="AM303" s="90"/>
      <c r="AN303" s="90"/>
      <c r="AO303" s="90"/>
      <c r="AP303" s="90"/>
      <c r="AQ303" s="90"/>
      <c r="AR303" s="90"/>
      <c r="AS303" s="90"/>
      <c r="AT303" s="90"/>
      <c r="AU303" s="90"/>
      <c r="AV303" s="90"/>
      <c r="AW303" s="90"/>
      <c r="AX303" s="90"/>
    </row>
    <row r="304" ht="14.25" customHeight="1">
      <c r="A304" s="30"/>
      <c r="B304" s="30"/>
      <c r="C304" s="66"/>
      <c r="F304" s="66"/>
      <c r="G304" s="66"/>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AV304" s="90"/>
      <c r="AW304" s="90"/>
      <c r="AX304" s="90"/>
    </row>
    <row r="305" ht="14.25" customHeight="1">
      <c r="A305" s="30"/>
      <c r="B305" s="30"/>
      <c r="C305" s="66"/>
      <c r="F305" s="66"/>
      <c r="G305" s="66"/>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AV305" s="90"/>
      <c r="AW305" s="90"/>
      <c r="AX305" s="90"/>
    </row>
    <row r="306" ht="14.25" customHeight="1">
      <c r="A306" s="30"/>
      <c r="B306" s="30"/>
      <c r="C306" s="66"/>
      <c r="F306" s="66"/>
      <c r="G306" s="66"/>
      <c r="M306" s="90"/>
      <c r="N306" s="90"/>
      <c r="O306" s="90"/>
      <c r="P306" s="90"/>
      <c r="Q306" s="90"/>
      <c r="R306" s="90"/>
      <c r="S306" s="90"/>
      <c r="T306" s="90"/>
      <c r="U306" s="90"/>
      <c r="V306" s="90"/>
      <c r="W306" s="90"/>
      <c r="X306" s="90"/>
      <c r="Y306" s="90"/>
      <c r="Z306" s="90"/>
      <c r="AA306" s="90"/>
      <c r="AB306" s="90"/>
      <c r="AC306" s="90"/>
      <c r="AD306" s="90"/>
      <c r="AE306" s="90"/>
      <c r="AF306" s="90"/>
      <c r="AG306" s="90"/>
      <c r="AH306" s="90"/>
      <c r="AI306" s="90"/>
      <c r="AJ306" s="90"/>
      <c r="AK306" s="90"/>
      <c r="AL306" s="90"/>
      <c r="AM306" s="90"/>
      <c r="AN306" s="90"/>
      <c r="AO306" s="90"/>
      <c r="AP306" s="90"/>
      <c r="AQ306" s="90"/>
      <c r="AR306" s="90"/>
      <c r="AS306" s="90"/>
      <c r="AT306" s="90"/>
      <c r="AU306" s="90"/>
      <c r="AV306" s="90"/>
      <c r="AW306" s="90"/>
      <c r="AX306" s="90"/>
    </row>
    <row r="307" ht="14.25" customHeight="1">
      <c r="A307" s="30"/>
      <c r="B307" s="30"/>
      <c r="C307" s="66"/>
      <c r="F307" s="66"/>
      <c r="G307" s="66"/>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AV307" s="90"/>
      <c r="AW307" s="90"/>
      <c r="AX307" s="90"/>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C2"/>
    <mergeCell ref="C4:K4"/>
  </mergeCells>
  <conditionalFormatting sqref="E8:E107">
    <cfRule type="containsText" dxfId="4" priority="1" operator="containsText" text="o">
      <formula>NOT(ISERROR(SEARCH(("o"),(E8))))</formula>
    </cfRule>
  </conditionalFormatting>
  <conditionalFormatting sqref="E8:E107">
    <cfRule type="containsText" dxfId="5" priority="2" operator="containsText" text="a">
      <formula>NOT(ISERROR(SEARCH(("a"),(E8))))</formula>
    </cfRule>
  </conditionalFormatting>
  <conditionalFormatting sqref="K8:K107">
    <cfRule type="containsText" dxfId="5" priority="3" operator="containsText" text="Atrasado">
      <formula>NOT(ISERROR(SEARCH(("Atrasado"),(K8))))</formula>
    </cfRule>
  </conditionalFormatting>
  <conditionalFormatting sqref="K8:K107">
    <cfRule type="containsText" dxfId="4" priority="4" operator="containsText" text="o">
      <formula>NOT(ISERROR(SEARCH(("o"),(K8))))</formula>
    </cfRule>
  </conditionalFormatting>
  <dataValidations>
    <dataValidation type="list" allowBlank="1" showErrorMessage="1" sqref="J8:J107">
      <formula1>"Concluído,Em andamento,Não iniciado"</formula1>
    </dataValidation>
    <dataValidation type="list" allowBlank="1" showErrorMessage="1" sqref="F8:F107">
      <formula1>OFFSET($M$8,,,50-COUNTIF($M$8:$M$57,"=0"))</formula1>
    </dataValidation>
    <dataValidation type="list" allowBlank="1" showErrorMessage="1" sqref="D8:D107">
      <formula1>OFFSET($P$8,,,20-COUNTBLANK($P$8:$P$27))</formula1>
    </dataValidation>
    <dataValidation type="date" operator="greaterThan" allowBlank="1" showInputMessage="1" showErrorMessage="1" prompt="Erro - Você precisa inserir uma data válida. Verifique se o valor digitado está correto." sqref="H8:I107">
      <formula1>42369.0</formula1>
    </dataValidation>
  </dataValidations>
  <printOptions verticalCentered="1"/>
  <pageMargins bottom="0.7480314960629921" footer="0.0" header="0.0" left="0.2362204724409449" right="0.2362204724409449" top="0.7480314960629921"/>
  <pageSetup fitToHeight="0" paperSize="9"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4.29"/>
    <col customWidth="1" min="3" max="3" width="22.71"/>
    <col customWidth="1" min="4" max="4" width="21.43"/>
    <col customWidth="1" min="5" max="5" width="22.71"/>
    <col customWidth="1" min="6" max="6" width="19.43"/>
    <col customWidth="1" min="7" max="7" width="2.71"/>
    <col customWidth="1" min="8" max="8" width="22.71"/>
    <col customWidth="1" min="9" max="9" width="21.43"/>
    <col customWidth="1" min="10" max="10" width="22.71"/>
    <col customWidth="1" min="11" max="11" width="19.43"/>
    <col customWidth="1" min="12" max="18" width="8.71"/>
    <col customWidth="1" min="19" max="19" width="9.29"/>
    <col customWidth="1" hidden="1" min="20" max="48" width="9.29"/>
  </cols>
  <sheetData>
    <row r="1" ht="33.75" customHeight="1">
      <c r="A1" s="30"/>
      <c r="B1" s="30"/>
      <c r="C1" s="245"/>
      <c r="D1" s="3"/>
      <c r="E1" s="32"/>
      <c r="F1" s="32"/>
      <c r="G1" s="32"/>
      <c r="H1" s="32"/>
      <c r="I1" s="32"/>
      <c r="J1" s="32"/>
      <c r="K1" s="32"/>
      <c r="L1" s="33"/>
      <c r="M1" s="33"/>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row>
    <row r="2" ht="37.5" customHeight="1">
      <c r="A2" s="36"/>
      <c r="B2" s="30"/>
      <c r="C2" s="5"/>
      <c r="E2" s="38"/>
      <c r="F2" s="38"/>
      <c r="G2" s="38"/>
      <c r="H2" s="38"/>
      <c r="I2" s="38"/>
      <c r="J2" s="38"/>
      <c r="K2" s="40"/>
      <c r="L2" s="39"/>
      <c r="M2" s="39"/>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row>
    <row r="3" ht="42.0" customHeight="1">
      <c r="A3" s="30"/>
      <c r="B3" s="30"/>
      <c r="C3" s="30"/>
      <c r="D3" s="30"/>
      <c r="E3" s="30"/>
      <c r="F3" s="30"/>
      <c r="G3" s="30"/>
      <c r="H3" s="30"/>
      <c r="I3" s="30"/>
      <c r="J3" s="30"/>
      <c r="K3" s="30"/>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row>
    <row r="4" ht="30.0" customHeight="1">
      <c r="A4" s="30"/>
      <c r="B4" s="30"/>
      <c r="C4" s="246" t="s">
        <v>247</v>
      </c>
      <c r="D4" s="8"/>
      <c r="E4" s="8"/>
      <c r="F4" s="247"/>
      <c r="G4" s="248"/>
      <c r="H4" s="248"/>
      <c r="I4" s="249"/>
      <c r="J4" s="249"/>
      <c r="K4" s="250"/>
      <c r="L4" s="90"/>
      <c r="M4" s="251"/>
      <c r="N4" s="90"/>
      <c r="O4" s="90"/>
      <c r="P4" s="90"/>
      <c r="Q4" s="90"/>
      <c r="R4" s="90"/>
      <c r="S4" s="90"/>
      <c r="T4" s="64"/>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row>
    <row r="5" ht="7.5" customHeight="1">
      <c r="A5" s="30"/>
      <c r="B5" s="30"/>
      <c r="C5" s="252"/>
      <c r="D5" s="64"/>
      <c r="E5" s="64"/>
      <c r="F5" s="64"/>
      <c r="G5" s="90"/>
      <c r="H5" s="90"/>
      <c r="I5" s="64"/>
      <c r="J5" s="64"/>
      <c r="K5" s="253"/>
      <c r="L5" s="90"/>
      <c r="M5" s="90"/>
      <c r="N5" s="90" t="s">
        <v>248</v>
      </c>
      <c r="O5" s="90"/>
      <c r="P5" s="90"/>
      <c r="Q5" s="90"/>
      <c r="R5" s="90"/>
      <c r="S5" s="90"/>
      <c r="T5" s="64"/>
      <c r="U5" s="90" t="s">
        <v>218</v>
      </c>
      <c r="V5" s="90" t="s">
        <v>219</v>
      </c>
      <c r="W5" s="90" t="s">
        <v>220</v>
      </c>
      <c r="X5" s="90" t="s">
        <v>221</v>
      </c>
      <c r="Y5" s="90" t="s">
        <v>222</v>
      </c>
      <c r="Z5" s="90" t="s">
        <v>223</v>
      </c>
      <c r="AA5" s="90" t="s">
        <v>224</v>
      </c>
      <c r="AB5" s="90" t="s">
        <v>225</v>
      </c>
      <c r="AC5" s="90" t="s">
        <v>226</v>
      </c>
      <c r="AD5" s="90" t="s">
        <v>227</v>
      </c>
      <c r="AE5" s="90" t="s">
        <v>228</v>
      </c>
      <c r="AF5" s="90" t="s">
        <v>229</v>
      </c>
      <c r="AG5" s="90" t="s">
        <v>218</v>
      </c>
      <c r="AH5" s="90" t="s">
        <v>219</v>
      </c>
      <c r="AI5" s="90" t="s">
        <v>220</v>
      </c>
      <c r="AJ5" s="90" t="s">
        <v>221</v>
      </c>
      <c r="AK5" s="90" t="s">
        <v>222</v>
      </c>
      <c r="AL5" s="90" t="s">
        <v>223</v>
      </c>
      <c r="AM5" s="90" t="s">
        <v>224</v>
      </c>
      <c r="AN5" s="90" t="s">
        <v>225</v>
      </c>
      <c r="AO5" s="90" t="s">
        <v>226</v>
      </c>
      <c r="AP5" s="90" t="s">
        <v>227</v>
      </c>
      <c r="AQ5" s="90" t="s">
        <v>228</v>
      </c>
      <c r="AR5" s="90" t="s">
        <v>229</v>
      </c>
      <c r="AS5" s="90" t="s">
        <v>218</v>
      </c>
      <c r="AT5" s="90" t="s">
        <v>219</v>
      </c>
      <c r="AU5" s="90" t="s">
        <v>220</v>
      </c>
      <c r="AV5" s="90" t="s">
        <v>221</v>
      </c>
    </row>
    <row r="6" ht="36.75" customHeight="1">
      <c r="A6" s="30"/>
      <c r="B6" s="30"/>
      <c r="C6" s="254" t="s">
        <v>249</v>
      </c>
      <c r="D6" s="255"/>
      <c r="E6" s="256"/>
      <c r="F6" s="256"/>
      <c r="G6" s="256"/>
      <c r="H6" s="256"/>
      <c r="I6" s="256"/>
      <c r="J6" s="256"/>
      <c r="K6" s="257"/>
      <c r="L6" s="89"/>
      <c r="M6" s="89"/>
      <c r="N6" s="90" t="s">
        <v>250</v>
      </c>
      <c r="O6" s="90"/>
      <c r="P6" s="90"/>
      <c r="Q6" s="90">
        <f>100/160</f>
        <v>0.625</v>
      </c>
      <c r="R6" s="90" t="s">
        <v>251</v>
      </c>
      <c r="S6" s="89"/>
      <c r="T6" s="67"/>
      <c r="U6" s="89">
        <v>1.0</v>
      </c>
      <c r="V6" s="89">
        <v>1.0</v>
      </c>
      <c r="W6" s="89">
        <v>1.0</v>
      </c>
      <c r="X6" s="89">
        <v>1.0</v>
      </c>
      <c r="Y6" s="89">
        <v>2.0</v>
      </c>
      <c r="Z6" s="89">
        <v>2.0</v>
      </c>
      <c r="AA6" s="89">
        <v>2.0</v>
      </c>
      <c r="AB6" s="89">
        <v>2.0</v>
      </c>
      <c r="AC6" s="89">
        <v>2.0</v>
      </c>
      <c r="AD6" s="89">
        <v>2.0</v>
      </c>
      <c r="AE6" s="89">
        <v>2.0</v>
      </c>
      <c r="AF6" s="89">
        <v>2.0</v>
      </c>
      <c r="AG6" s="89">
        <v>2.0</v>
      </c>
      <c r="AH6" s="89">
        <v>2.0</v>
      </c>
      <c r="AI6" s="89">
        <v>2.0</v>
      </c>
      <c r="AJ6" s="89">
        <v>2.0</v>
      </c>
      <c r="AK6" s="89">
        <v>3.0</v>
      </c>
      <c r="AL6" s="89">
        <v>3.0</v>
      </c>
      <c r="AM6" s="89">
        <v>3.0</v>
      </c>
      <c r="AN6" s="89">
        <v>3.0</v>
      </c>
      <c r="AO6" s="89">
        <v>3.0</v>
      </c>
      <c r="AP6" s="89">
        <v>3.0</v>
      </c>
      <c r="AQ6" s="89">
        <v>3.0</v>
      </c>
      <c r="AR6" s="89">
        <v>3.0</v>
      </c>
      <c r="AS6" s="89">
        <v>3.0</v>
      </c>
      <c r="AT6" s="89">
        <v>3.0</v>
      </c>
      <c r="AU6" s="89">
        <v>3.0</v>
      </c>
      <c r="AV6" s="89">
        <v>3.0</v>
      </c>
    </row>
    <row r="7" ht="30.0" customHeight="1">
      <c r="A7" s="30"/>
      <c r="B7" s="30"/>
      <c r="C7" s="258">
        <f>IF(ISERROR((('Resultados SWOT Gráficos'!D19+'Resultados SWOT Gráficos'!D21)/SUM('Resultados SWOT Gráficos'!D19:F22)-('Resultados SWOT Gráficos'!D20+'Resultados SWOT Gráficos'!D22)/SUM('Resultados SWOT Gráficos'!D19:F22))*2),0,(('Resultados SWOT Gráficos'!D19+'Resultados SWOT Gráficos'!D21)/SUM('Resultados SWOT Gráficos'!D19:F22)-('Resultados SWOT Gráficos'!D20+'Resultados SWOT Gráficos'!D22)/SUM('Resultados SWOT Gráficos'!D19:F22))*2)</f>
        <v>0</v>
      </c>
      <c r="D7" s="259"/>
      <c r="K7" s="260"/>
      <c r="L7" s="90"/>
      <c r="M7" s="90"/>
      <c r="N7" s="90" t="s">
        <v>252</v>
      </c>
      <c r="O7" s="90"/>
      <c r="P7" s="90"/>
      <c r="Q7" s="90"/>
      <c r="R7" s="90"/>
      <c r="S7" s="90"/>
      <c r="T7" s="64"/>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row>
    <row r="8" ht="48.0" customHeight="1">
      <c r="A8" s="30"/>
      <c r="B8" s="30"/>
      <c r="C8" s="261"/>
      <c r="D8" s="262"/>
      <c r="E8" s="263"/>
      <c r="F8" s="263"/>
      <c r="G8" s="263"/>
      <c r="H8" s="263"/>
      <c r="I8" s="263"/>
      <c r="J8" s="263"/>
      <c r="K8" s="264"/>
      <c r="L8" s="90"/>
      <c r="M8" s="90"/>
      <c r="N8" s="90" t="s">
        <v>253</v>
      </c>
      <c r="O8" s="90"/>
      <c r="P8" s="90"/>
      <c r="Q8" s="90"/>
      <c r="R8" s="90"/>
      <c r="S8" s="90"/>
      <c r="T8" s="64"/>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row>
    <row r="9" ht="39.75" customHeight="1">
      <c r="A9" s="30"/>
      <c r="B9" s="30"/>
      <c r="C9" s="265" t="str">
        <f>IF(C7&lt;=-1,N6,IF(C7&lt;=-0.3,N7,IF(C7&lt;=0.3,N8,IF(C7&lt;=1,N5,IF(C7&lt;=2,N9,"")))))</f>
        <v>Equilíbrio - Com um cenário equilibrado vale a pena investir mais tempo de análise para saber se o seu foco será interno ou externo.</v>
      </c>
      <c r="D9" s="61"/>
      <c r="E9" s="61"/>
      <c r="F9" s="61"/>
      <c r="G9" s="61"/>
      <c r="H9" s="61"/>
      <c r="I9" s="61"/>
      <c r="J9" s="61"/>
      <c r="K9" s="266"/>
      <c r="L9" s="90"/>
      <c r="M9" s="90"/>
      <c r="N9" s="90" t="s">
        <v>254</v>
      </c>
      <c r="O9" s="90"/>
      <c r="P9" s="90"/>
      <c r="Q9" s="90"/>
      <c r="R9" s="90"/>
      <c r="S9" s="90"/>
      <c r="T9" s="64"/>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row>
    <row r="10" ht="15.0" customHeight="1">
      <c r="A10" s="30"/>
      <c r="B10" s="30"/>
      <c r="C10" s="252"/>
      <c r="D10" s="64"/>
      <c r="E10" s="64"/>
      <c r="F10" s="64"/>
      <c r="G10" s="64"/>
      <c r="H10" s="64"/>
      <c r="I10" s="64"/>
      <c r="J10" s="64"/>
      <c r="K10" s="253"/>
      <c r="L10" s="90"/>
      <c r="M10" s="90"/>
      <c r="N10" s="90"/>
      <c r="O10" s="90"/>
      <c r="P10" s="90"/>
      <c r="Q10" s="90"/>
      <c r="R10" s="90"/>
      <c r="S10" s="90"/>
      <c r="T10" s="90" t="s">
        <v>218</v>
      </c>
      <c r="U10" s="90" t="s">
        <v>219</v>
      </c>
      <c r="V10" s="90" t="s">
        <v>220</v>
      </c>
      <c r="W10" s="90" t="s">
        <v>221</v>
      </c>
      <c r="X10" s="90" t="s">
        <v>222</v>
      </c>
      <c r="Y10" s="90" t="s">
        <v>223</v>
      </c>
      <c r="Z10" s="90" t="s">
        <v>224</v>
      </c>
      <c r="AA10" s="90" t="s">
        <v>225</v>
      </c>
      <c r="AB10" s="90" t="s">
        <v>226</v>
      </c>
      <c r="AC10" s="90" t="s">
        <v>227</v>
      </c>
      <c r="AD10" s="90" t="s">
        <v>228</v>
      </c>
      <c r="AE10" s="90" t="s">
        <v>229</v>
      </c>
      <c r="AF10" s="90" t="s">
        <v>218</v>
      </c>
      <c r="AG10" s="90" t="s">
        <v>219</v>
      </c>
      <c r="AH10" s="90" t="s">
        <v>220</v>
      </c>
      <c r="AI10" s="90" t="s">
        <v>221</v>
      </c>
      <c r="AJ10" s="90" t="s">
        <v>222</v>
      </c>
      <c r="AK10" s="90" t="s">
        <v>223</v>
      </c>
      <c r="AL10" s="90" t="s">
        <v>224</v>
      </c>
      <c r="AM10" s="90" t="s">
        <v>225</v>
      </c>
      <c r="AN10" s="90" t="s">
        <v>226</v>
      </c>
      <c r="AO10" s="90" t="s">
        <v>227</v>
      </c>
      <c r="AP10" s="90" t="s">
        <v>228</v>
      </c>
      <c r="AQ10" s="90" t="s">
        <v>229</v>
      </c>
      <c r="AR10" s="90" t="s">
        <v>218</v>
      </c>
      <c r="AS10" s="90" t="s">
        <v>219</v>
      </c>
      <c r="AT10" s="90" t="s">
        <v>220</v>
      </c>
      <c r="AU10" s="90" t="s">
        <v>221</v>
      </c>
      <c r="AV10" s="90"/>
    </row>
    <row r="11" ht="37.5" customHeight="1">
      <c r="A11" s="30"/>
      <c r="B11" s="30"/>
      <c r="C11" s="267" t="s">
        <v>255</v>
      </c>
      <c r="F11" s="268"/>
      <c r="G11" s="66"/>
      <c r="H11" s="66"/>
      <c r="I11" s="66"/>
      <c r="J11" s="90"/>
      <c r="K11" s="269"/>
      <c r="L11" s="90"/>
      <c r="M11" s="270" t="s">
        <v>256</v>
      </c>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row>
    <row r="12" ht="4.5" customHeight="1">
      <c r="A12" s="30"/>
      <c r="B12" s="30"/>
      <c r="C12" s="252"/>
      <c r="D12" s="64"/>
      <c r="E12" s="64"/>
      <c r="F12" s="64"/>
      <c r="G12" s="90"/>
      <c r="H12" s="90"/>
      <c r="I12" s="90"/>
      <c r="J12" s="90"/>
      <c r="K12" s="269"/>
      <c r="L12" s="90"/>
      <c r="M12" s="90"/>
      <c r="N12" s="90"/>
      <c r="O12" s="92"/>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row>
    <row r="13" ht="39.75" customHeight="1">
      <c r="A13" s="30"/>
      <c r="B13" s="30"/>
      <c r="C13" s="271" t="s">
        <v>257</v>
      </c>
      <c r="D13" s="272">
        <f>IF(ISERROR('Resultados SWOT Gráficos'!D19/SUM('Resultados SWOT Gráficos'!$D$19:$F$22)),0,'Resultados SWOT Gráficos'!D19/SUM('Resultados SWOT Gráficos'!$D$19:$F$22))</f>
        <v>0</v>
      </c>
      <c r="E13" s="273" t="str">
        <f>IF(D13&lt;D14,"Suas forças estão mais baixas que as suas fraquezas, que tal pensar em planos de ação para ter notas melhores em relação à esse item?",IF(D13&gt;=D14,"Suas forças estão mais altas ou iguais as suas fraquezas, mantenha esse bom resultado!",""))</f>
        <v>Suas forças estão mais altas ou iguais as suas fraquezas, mantenha esse bom resultado!</v>
      </c>
      <c r="F13" s="61"/>
      <c r="G13" s="61"/>
      <c r="H13" s="61"/>
      <c r="I13" s="61"/>
      <c r="J13" s="61"/>
      <c r="K13" s="266"/>
      <c r="L13" s="90"/>
      <c r="M13" s="90" t="str">
        <f t="shared" ref="M13:M16" si="1">C13</f>
        <v>Forças</v>
      </c>
      <c r="N13" s="90" t="str">
        <f>IF(ISERROR(VLOOKUP(LARGE($D$13:$D$14,ROW($A1)),$D$13:$M$14,COLUMN(J$1),FALSE)),"",VLOOKUP(LARGE($D$13:$D$14,ROW($A1)),$D$13:$M$14,COLUMN(J$1),FALSE))</f>
        <v>Forças</v>
      </c>
      <c r="O13" s="92"/>
      <c r="P13" s="90">
        <v>1.0</v>
      </c>
      <c r="Q13" s="90" t="s">
        <v>258</v>
      </c>
      <c r="R13" s="90" t="s">
        <v>259</v>
      </c>
      <c r="S13" s="90" t="s">
        <v>260</v>
      </c>
      <c r="T13" s="90" t="str">
        <f t="shared" ref="T13:T16" si="2">IF(AND($N$13=R13,$N$14=S13),"OK","")</f>
        <v/>
      </c>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row>
    <row r="14" ht="39.75" customHeight="1">
      <c r="A14" s="59"/>
      <c r="B14" s="30"/>
      <c r="C14" s="271" t="s">
        <v>261</v>
      </c>
      <c r="D14" s="272">
        <f>IF(ISERROR('Resultados SWOT Gráficos'!D20/SUM('Resultados SWOT Gráficos'!$D$19:$F$22)),0,'Resultados SWOT Gráficos'!D20/SUM('Resultados SWOT Gráficos'!$D$19:$F$22))</f>
        <v>0</v>
      </c>
      <c r="E14" s="273" t="str">
        <f>IF(D14&gt;D13,"Suas fraquezas estão maiores que as suas forças, esse é um sinal de alerta clássico que existem pontos de melhoria na sua empresa, crie planos de ação para reduzir estas fraquezas.",IF(D14&lt;=D13,"Suas fraquezas estão mais baixas ou iguais as suas forças, esse é um bom sinal, mas não se acomode!",""))</f>
        <v>Suas fraquezas estão mais baixas ou iguais as suas forças, esse é um bom sinal, mas não se acomode!</v>
      </c>
      <c r="F14" s="61"/>
      <c r="G14" s="61"/>
      <c r="H14" s="61"/>
      <c r="I14" s="61"/>
      <c r="J14" s="61"/>
      <c r="K14" s="266"/>
      <c r="L14" s="90"/>
      <c r="M14" s="90" t="str">
        <f t="shared" si="1"/>
        <v>Fraquezas</v>
      </c>
      <c r="N14" s="90" t="str">
        <f>IF(ISERROR(VLOOKUP(LARGE($D$15:$D$16,ROW($A1)),$D$15:$M$16,COLUMN(J$1),FALSE)),"",VLOOKUP(LARGE($D$15:$D$16,ROW($A1)),$D$15:$M$16,COLUMN(J$1),FALSE))</f>
        <v>Oportunidades</v>
      </c>
      <c r="O14" s="92"/>
      <c r="P14" s="90">
        <v>2.0</v>
      </c>
      <c r="Q14" s="90" t="s">
        <v>262</v>
      </c>
      <c r="R14" s="90" t="s">
        <v>263</v>
      </c>
      <c r="S14" s="90" t="s">
        <v>260</v>
      </c>
      <c r="T14" s="90" t="str">
        <f t="shared" si="2"/>
        <v/>
      </c>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row>
    <row r="15" ht="39.75" customHeight="1">
      <c r="A15" s="59"/>
      <c r="B15" s="30"/>
      <c r="C15" s="271" t="s">
        <v>264</v>
      </c>
      <c r="D15" s="272">
        <f>IF(ISERROR('Resultados SWOT Gráficos'!D21/SUM('Resultados SWOT Gráficos'!$D$19:$F$22)),0,'Resultados SWOT Gráficos'!D21/SUM('Resultados SWOT Gráficos'!$D$19:$F$22))</f>
        <v>0</v>
      </c>
      <c r="E15" s="273" t="str">
        <f>IF(D15&gt;=D16,"Você tem mais oportunidades do que ameaças e isso indica um futuro promissor, só falta você alinhar quais forças vão otimizar as chances delas acontecerem de fato.",IF(D15&lt;D16,"Suas opotunidades estão mais baixas do que suas ameaças, vale a pena pensar em planos de ação para reduzir as ameaças.",""))</f>
        <v>Você tem mais oportunidades do que ameaças e isso indica um futuro promissor, só falta você alinhar quais forças vão otimizar as chances delas acontecerem de fato.</v>
      </c>
      <c r="F15" s="61"/>
      <c r="G15" s="61"/>
      <c r="H15" s="61"/>
      <c r="I15" s="61"/>
      <c r="J15" s="61"/>
      <c r="K15" s="266"/>
      <c r="L15" s="90"/>
      <c r="M15" s="90" t="str">
        <f t="shared" si="1"/>
        <v>Oportunidades</v>
      </c>
      <c r="N15" s="90"/>
      <c r="O15" s="92"/>
      <c r="P15" s="90">
        <v>3.0</v>
      </c>
      <c r="Q15" s="90" t="s">
        <v>265</v>
      </c>
      <c r="R15" s="90" t="s">
        <v>259</v>
      </c>
      <c r="S15" s="90" t="s">
        <v>266</v>
      </c>
      <c r="T15" s="90" t="str">
        <f t="shared" si="2"/>
        <v/>
      </c>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row>
    <row r="16" ht="39.75" customHeight="1">
      <c r="A16" s="30"/>
      <c r="B16" s="30"/>
      <c r="C16" s="271" t="s">
        <v>267</v>
      </c>
      <c r="D16" s="272">
        <f>IF(ISERROR('Resultados SWOT Gráficos'!D22/SUM('Resultados SWOT Gráficos'!$D$19:$F$22)),0,'Resultados SWOT Gráficos'!D22/SUM('Resultados SWOT Gráficos'!$D$19:$F$22))</f>
        <v>0</v>
      </c>
      <c r="E16" s="273" t="str">
        <f>IF(D16&gt;=D15,"Suas ameaças estão maiores ou iguais as oportunidades e isso indica um futuro preocupante, você precisa pensar em planos de ação para diminuir os riscos delas acontecerem o quanto antes.",IF(D16&lt;D15,"Suas ameaças estão mais baixas do que suas oportunidades, esse é um bom sinal, mas ainda assim vale a pena analisar as suas ameaças mais relevantes e criar planos de ações para elas.",""))</f>
        <v>Suas ameaças estão maiores ou iguais as oportunidades e isso indica um futuro preocupante, você precisa pensar em planos de ação para diminuir os riscos delas acontecerem o quanto antes.</v>
      </c>
      <c r="F16" s="61"/>
      <c r="G16" s="61"/>
      <c r="H16" s="61"/>
      <c r="I16" s="61"/>
      <c r="J16" s="61"/>
      <c r="K16" s="266"/>
      <c r="L16" s="90"/>
      <c r="M16" s="90" t="str">
        <f t="shared" si="1"/>
        <v>Ameaças</v>
      </c>
      <c r="N16" s="90"/>
      <c r="O16" s="92"/>
      <c r="P16" s="90">
        <v>4.0</v>
      </c>
      <c r="Q16" s="90" t="s">
        <v>268</v>
      </c>
      <c r="R16" s="90" t="s">
        <v>263</v>
      </c>
      <c r="S16" s="90" t="s">
        <v>266</v>
      </c>
      <c r="T16" s="90" t="str">
        <f t="shared" si="2"/>
        <v>OK</v>
      </c>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row>
    <row r="17" ht="30.0" customHeight="1">
      <c r="A17" s="30"/>
      <c r="B17" s="30"/>
      <c r="C17" s="267" t="s">
        <v>255</v>
      </c>
      <c r="F17" s="66"/>
      <c r="G17" s="66"/>
      <c r="H17" s="274" t="s">
        <v>269</v>
      </c>
      <c r="I17" s="275"/>
      <c r="J17" s="276"/>
      <c r="K17" s="266"/>
      <c r="L17" s="277"/>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row>
    <row r="18" ht="6.75" customHeight="1">
      <c r="A18" s="30"/>
      <c r="B18" s="30"/>
      <c r="C18" s="252"/>
      <c r="D18" s="64"/>
      <c r="E18" s="64"/>
      <c r="F18" s="64"/>
      <c r="G18" s="64"/>
      <c r="H18" s="64"/>
      <c r="I18" s="64"/>
      <c r="J18" s="64"/>
      <c r="K18" s="253"/>
      <c r="L18" s="90"/>
      <c r="M18" s="90"/>
      <c r="N18" s="90"/>
      <c r="O18" s="90"/>
      <c r="P18" s="90"/>
      <c r="Q18" s="90"/>
      <c r="R18" s="90"/>
      <c r="S18" s="90"/>
      <c r="T18" s="90" t="s">
        <v>218</v>
      </c>
      <c r="U18" s="90" t="s">
        <v>219</v>
      </c>
      <c r="V18" s="90" t="s">
        <v>220</v>
      </c>
      <c r="W18" s="90" t="s">
        <v>221</v>
      </c>
      <c r="X18" s="90" t="s">
        <v>222</v>
      </c>
      <c r="Y18" s="90" t="s">
        <v>223</v>
      </c>
      <c r="Z18" s="90" t="s">
        <v>224</v>
      </c>
      <c r="AA18" s="90" t="s">
        <v>225</v>
      </c>
      <c r="AB18" s="90" t="s">
        <v>226</v>
      </c>
      <c r="AC18" s="90" t="s">
        <v>227</v>
      </c>
      <c r="AD18" s="90" t="s">
        <v>228</v>
      </c>
      <c r="AE18" s="90" t="s">
        <v>229</v>
      </c>
      <c r="AF18" s="90" t="s">
        <v>218</v>
      </c>
      <c r="AG18" s="90" t="s">
        <v>219</v>
      </c>
      <c r="AH18" s="90" t="s">
        <v>220</v>
      </c>
      <c r="AI18" s="90" t="s">
        <v>221</v>
      </c>
      <c r="AJ18" s="90" t="s">
        <v>222</v>
      </c>
      <c r="AK18" s="90" t="s">
        <v>223</v>
      </c>
      <c r="AL18" s="90" t="s">
        <v>224</v>
      </c>
      <c r="AM18" s="90" t="s">
        <v>225</v>
      </c>
      <c r="AN18" s="90" t="s">
        <v>226</v>
      </c>
      <c r="AO18" s="90" t="s">
        <v>227</v>
      </c>
      <c r="AP18" s="90" t="s">
        <v>228</v>
      </c>
      <c r="AQ18" s="90" t="s">
        <v>229</v>
      </c>
      <c r="AR18" s="90" t="s">
        <v>218</v>
      </c>
      <c r="AS18" s="90" t="s">
        <v>219</v>
      </c>
      <c r="AT18" s="90" t="s">
        <v>220</v>
      </c>
      <c r="AU18" s="90" t="s">
        <v>221</v>
      </c>
      <c r="AV18" s="90"/>
    </row>
    <row r="19" ht="45.0" customHeight="1">
      <c r="A19" s="30"/>
      <c r="B19" s="30"/>
      <c r="C19" s="271" t="s">
        <v>257</v>
      </c>
      <c r="D19" s="278">
        <f>'Forças'!G25</f>
        <v>0</v>
      </c>
      <c r="E19" s="17"/>
      <c r="F19" s="17"/>
      <c r="G19" s="64"/>
      <c r="H19" s="64"/>
      <c r="I19" s="64"/>
      <c r="J19" s="64"/>
      <c r="K19" s="253"/>
      <c r="L19" s="90"/>
      <c r="M19" s="90"/>
      <c r="N19" s="89"/>
      <c r="O19" s="89"/>
      <c r="P19" s="89"/>
      <c r="Q19" s="89"/>
      <c r="R19" s="89"/>
      <c r="S19" s="89"/>
      <c r="T19" s="89">
        <v>1.0</v>
      </c>
      <c r="U19" s="89">
        <v>1.0</v>
      </c>
      <c r="V19" s="89">
        <v>1.0</v>
      </c>
      <c r="W19" s="89">
        <v>1.0</v>
      </c>
      <c r="X19" s="89">
        <v>2.0</v>
      </c>
      <c r="Y19" s="89">
        <v>2.0</v>
      </c>
      <c r="Z19" s="89">
        <v>2.0</v>
      </c>
      <c r="AA19" s="89">
        <v>2.0</v>
      </c>
      <c r="AB19" s="89">
        <v>2.0</v>
      </c>
      <c r="AC19" s="89">
        <v>2.0</v>
      </c>
      <c r="AD19" s="89">
        <v>2.0</v>
      </c>
      <c r="AE19" s="89">
        <v>2.0</v>
      </c>
      <c r="AF19" s="89">
        <v>2.0</v>
      </c>
      <c r="AG19" s="89">
        <v>2.0</v>
      </c>
      <c r="AH19" s="89">
        <v>2.0</v>
      </c>
      <c r="AI19" s="89">
        <v>2.0</v>
      </c>
      <c r="AJ19" s="89">
        <v>3.0</v>
      </c>
      <c r="AK19" s="89">
        <v>3.0</v>
      </c>
      <c r="AL19" s="89">
        <v>3.0</v>
      </c>
      <c r="AM19" s="89">
        <v>3.0</v>
      </c>
      <c r="AN19" s="89">
        <v>3.0</v>
      </c>
      <c r="AO19" s="89">
        <v>3.0</v>
      </c>
      <c r="AP19" s="89">
        <v>3.0</v>
      </c>
      <c r="AQ19" s="89">
        <v>3.0</v>
      </c>
      <c r="AR19" s="89">
        <v>3.0</v>
      </c>
      <c r="AS19" s="89">
        <v>3.0</v>
      </c>
      <c r="AT19" s="89">
        <v>3.0</v>
      </c>
      <c r="AU19" s="89">
        <v>3.0</v>
      </c>
      <c r="AV19" s="89"/>
    </row>
    <row r="20" ht="45.0" customHeight="1">
      <c r="A20" s="30"/>
      <c r="B20" s="30"/>
      <c r="C20" s="271" t="s">
        <v>261</v>
      </c>
      <c r="D20" s="278">
        <f>Fraquezas!G25</f>
        <v>0</v>
      </c>
      <c r="E20" s="17"/>
      <c r="F20" s="17"/>
      <c r="G20" s="64"/>
      <c r="H20" s="64"/>
      <c r="I20" s="64"/>
      <c r="J20" s="64"/>
      <c r="K20" s="253"/>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row>
    <row r="21" ht="45.0" customHeight="1">
      <c r="A21" s="30"/>
      <c r="B21" s="30"/>
      <c r="C21" s="271" t="s">
        <v>264</v>
      </c>
      <c r="D21" s="278">
        <f>Oportunidades!G26</f>
        <v>0</v>
      </c>
      <c r="E21" s="17"/>
      <c r="F21" s="17"/>
      <c r="G21" s="64"/>
      <c r="H21" s="64"/>
      <c r="I21" s="64"/>
      <c r="J21" s="64"/>
      <c r="K21" s="253"/>
      <c r="L21" s="90"/>
      <c r="M21" s="90"/>
      <c r="N21" s="92"/>
      <c r="O21" s="90"/>
      <c r="P21" s="92"/>
      <c r="Q21" s="92"/>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row>
    <row r="22" ht="45.0" customHeight="1">
      <c r="A22" s="30"/>
      <c r="B22" s="30"/>
      <c r="C22" s="271" t="s">
        <v>267</v>
      </c>
      <c r="D22" s="278">
        <f>'Ameaças'!G26</f>
        <v>0</v>
      </c>
      <c r="E22" s="17"/>
      <c r="F22" s="17"/>
      <c r="G22" s="64"/>
      <c r="H22" s="64"/>
      <c r="I22" s="64"/>
      <c r="J22" s="64"/>
      <c r="K22" s="253"/>
      <c r="L22" s="90"/>
      <c r="M22" s="90"/>
      <c r="N22" s="92"/>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row>
    <row r="23" ht="11.25" customHeight="1">
      <c r="A23" s="59"/>
      <c r="B23" s="30"/>
      <c r="C23" s="252"/>
      <c r="D23" s="64"/>
      <c r="E23" s="64"/>
      <c r="F23" s="64"/>
      <c r="G23" s="64"/>
      <c r="H23" s="64"/>
      <c r="I23" s="64"/>
      <c r="J23" s="64"/>
      <c r="K23" s="253"/>
      <c r="L23" s="90"/>
      <c r="M23" s="90"/>
      <c r="N23" s="92"/>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row>
    <row r="24" ht="30.0" customHeight="1">
      <c r="A24" s="59"/>
      <c r="B24" s="30"/>
      <c r="C24" s="279" t="s">
        <v>270</v>
      </c>
      <c r="E24" s="64"/>
      <c r="F24" s="64"/>
      <c r="G24" s="64"/>
      <c r="H24" s="280" t="s">
        <v>271</v>
      </c>
      <c r="J24" s="64"/>
      <c r="K24" s="253"/>
      <c r="L24" s="90"/>
      <c r="M24" s="90"/>
      <c r="N24" s="92"/>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row>
    <row r="25" ht="7.5" customHeight="1">
      <c r="A25" s="30"/>
      <c r="B25" s="30"/>
      <c r="C25" s="252"/>
      <c r="D25" s="64"/>
      <c r="E25" s="64"/>
      <c r="F25" s="64"/>
      <c r="G25" s="64"/>
      <c r="H25" s="64"/>
      <c r="I25" s="64"/>
      <c r="J25" s="64"/>
      <c r="K25" s="253"/>
      <c r="L25" s="90"/>
      <c r="M25" s="90"/>
      <c r="N25" s="92"/>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row>
    <row r="26" ht="33.0" customHeight="1">
      <c r="A26" s="30"/>
      <c r="B26" s="30"/>
      <c r="C26" s="281" t="str">
        <f>'Matriz SWOT'!C6</f>
        <v/>
      </c>
      <c r="D26" s="282"/>
      <c r="E26" s="283">
        <f>'Matriz SWOT'!D6</f>
        <v>0</v>
      </c>
      <c r="F26" s="282"/>
      <c r="G26" s="64"/>
      <c r="H26" s="284" t="str">
        <f>'Matriz SWOT'!E6</f>
        <v/>
      </c>
      <c r="I26" s="282"/>
      <c r="J26" s="285">
        <f>'Matriz SWOT'!F6</f>
        <v>0</v>
      </c>
      <c r="K26" s="286"/>
      <c r="L26" s="90"/>
      <c r="M26" s="90"/>
      <c r="N26" s="90"/>
      <c r="O26" s="92"/>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row>
    <row r="27" ht="33.0" customHeight="1">
      <c r="A27" s="30"/>
      <c r="B27" s="30"/>
      <c r="C27" s="281" t="str">
        <f>'Matriz SWOT'!C7</f>
        <v/>
      </c>
      <c r="D27" s="282"/>
      <c r="E27" s="283">
        <f>'Matriz SWOT'!D7</f>
        <v>0</v>
      </c>
      <c r="F27" s="282"/>
      <c r="G27" s="64"/>
      <c r="H27" s="284" t="str">
        <f>'Matriz SWOT'!E7</f>
        <v/>
      </c>
      <c r="I27" s="282"/>
      <c r="J27" s="285">
        <f>'Matriz SWOT'!F7</f>
        <v>0</v>
      </c>
      <c r="K27" s="286"/>
      <c r="L27" s="90"/>
      <c r="M27" s="90"/>
      <c r="N27" s="90"/>
      <c r="O27" s="92"/>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row>
    <row r="28" ht="33.0" customHeight="1">
      <c r="A28" s="30"/>
      <c r="B28" s="30"/>
      <c r="C28" s="281" t="str">
        <f>'Matriz SWOT'!C8</f>
        <v/>
      </c>
      <c r="D28" s="282"/>
      <c r="E28" s="283">
        <f>'Matriz SWOT'!D8</f>
        <v>0</v>
      </c>
      <c r="F28" s="282"/>
      <c r="G28" s="64"/>
      <c r="H28" s="284" t="str">
        <f>'Matriz SWOT'!E8</f>
        <v/>
      </c>
      <c r="I28" s="282"/>
      <c r="J28" s="285">
        <f>'Matriz SWOT'!F8</f>
        <v>0</v>
      </c>
      <c r="K28" s="286"/>
      <c r="L28" s="90"/>
      <c r="M28" s="90"/>
      <c r="N28" s="90"/>
      <c r="O28" s="92"/>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row>
    <row r="29" ht="33.0" customHeight="1">
      <c r="A29" s="30"/>
      <c r="B29" s="30"/>
      <c r="C29" s="281" t="str">
        <f>'Matriz SWOT'!C9</f>
        <v/>
      </c>
      <c r="D29" s="282"/>
      <c r="E29" s="283">
        <f>'Matriz SWOT'!D9</f>
        <v>0</v>
      </c>
      <c r="F29" s="282"/>
      <c r="G29" s="64"/>
      <c r="H29" s="284" t="str">
        <f>'Matriz SWOT'!E9</f>
        <v/>
      </c>
      <c r="I29" s="282"/>
      <c r="J29" s="285">
        <f>'Matriz SWOT'!F9</f>
        <v>0</v>
      </c>
      <c r="K29" s="286"/>
      <c r="L29" s="90"/>
      <c r="M29" s="90"/>
      <c r="N29" s="90"/>
      <c r="O29" s="92"/>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row>
    <row r="30" ht="33.0" customHeight="1">
      <c r="A30" s="30"/>
      <c r="B30" s="30"/>
      <c r="C30" s="287" t="str">
        <f>'Matriz SWOT'!C10</f>
        <v/>
      </c>
      <c r="D30" s="282"/>
      <c r="E30" s="288">
        <f>'Matriz SWOT'!D10</f>
        <v>0</v>
      </c>
      <c r="F30" s="282"/>
      <c r="G30" s="64"/>
      <c r="H30" s="284" t="str">
        <f>'Matriz SWOT'!E10</f>
        <v/>
      </c>
      <c r="I30" s="282"/>
      <c r="J30" s="285">
        <f>'Matriz SWOT'!F10</f>
        <v>0</v>
      </c>
      <c r="K30" s="286"/>
      <c r="L30" s="90"/>
      <c r="M30" s="90"/>
      <c r="N30" s="90"/>
      <c r="O30" s="92"/>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row>
    <row r="31" ht="6.75" customHeight="1">
      <c r="A31" s="30"/>
      <c r="B31" s="30"/>
      <c r="C31" s="252"/>
      <c r="D31" s="64"/>
      <c r="E31" s="64"/>
      <c r="F31" s="64"/>
      <c r="G31" s="64"/>
      <c r="H31" s="64"/>
      <c r="I31" s="64"/>
      <c r="J31" s="64"/>
      <c r="K31" s="253"/>
      <c r="L31" s="90"/>
      <c r="M31" s="90"/>
      <c r="N31" s="90"/>
      <c r="O31" s="90"/>
      <c r="P31" s="90"/>
      <c r="Q31" s="90"/>
      <c r="R31" s="90"/>
      <c r="S31" s="90"/>
    </row>
    <row r="32" ht="30.0" customHeight="1">
      <c r="A32" s="30"/>
      <c r="B32" s="30"/>
      <c r="C32" s="267" t="s">
        <v>272</v>
      </c>
      <c r="E32" s="64"/>
      <c r="F32" s="64"/>
      <c r="G32" s="66"/>
      <c r="H32" s="289" t="s">
        <v>273</v>
      </c>
      <c r="J32" s="64"/>
      <c r="K32" s="253"/>
      <c r="L32" s="90"/>
      <c r="M32" s="90"/>
      <c r="N32" s="90"/>
      <c r="O32" s="92"/>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row>
    <row r="33" ht="7.5" customHeight="1">
      <c r="A33" s="30"/>
      <c r="B33" s="30"/>
      <c r="C33" s="252"/>
      <c r="D33" s="66"/>
      <c r="E33" s="66"/>
      <c r="F33" s="66"/>
      <c r="G33" s="66"/>
      <c r="H33" s="64"/>
      <c r="I33" s="64"/>
      <c r="J33" s="64"/>
      <c r="K33" s="253"/>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row>
    <row r="34" ht="33.0" customHeight="1">
      <c r="A34" s="30"/>
      <c r="B34" s="30"/>
      <c r="C34" s="281" t="str">
        <f>'Matriz SWOT'!C14</f>
        <v/>
      </c>
      <c r="D34" s="282"/>
      <c r="E34" s="283">
        <f>'Matriz SWOT'!D14</f>
        <v>0</v>
      </c>
      <c r="F34" s="282"/>
      <c r="G34" s="64"/>
      <c r="H34" s="284" t="str">
        <f>'Matriz SWOT'!E14</f>
        <v/>
      </c>
      <c r="I34" s="282"/>
      <c r="J34" s="285">
        <f>'Matriz SWOT'!F14</f>
        <v>0</v>
      </c>
      <c r="K34" s="286"/>
      <c r="L34" s="90"/>
      <c r="M34" s="90"/>
      <c r="N34" s="90"/>
      <c r="O34" s="92"/>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row>
    <row r="35" ht="33.0" customHeight="1">
      <c r="A35" s="30"/>
      <c r="B35" s="30"/>
      <c r="C35" s="281" t="str">
        <f>'Matriz SWOT'!C15</f>
        <v/>
      </c>
      <c r="D35" s="282"/>
      <c r="E35" s="283">
        <f>'Matriz SWOT'!D15</f>
        <v>0</v>
      </c>
      <c r="F35" s="282"/>
      <c r="G35" s="66"/>
      <c r="H35" s="284" t="str">
        <f>'Matriz SWOT'!E15</f>
        <v/>
      </c>
      <c r="I35" s="282"/>
      <c r="J35" s="285">
        <f>'Matriz SWOT'!F15</f>
        <v>0</v>
      </c>
      <c r="K35" s="286"/>
      <c r="L35" s="90"/>
      <c r="M35" s="90"/>
      <c r="N35" s="90"/>
      <c r="O35" s="92"/>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row>
    <row r="36" ht="33.0" customHeight="1">
      <c r="A36" s="30"/>
      <c r="B36" s="30"/>
      <c r="C36" s="281" t="str">
        <f>'Matriz SWOT'!C16</f>
        <v/>
      </c>
      <c r="D36" s="282"/>
      <c r="E36" s="283">
        <f>'Matriz SWOT'!D16</f>
        <v>0</v>
      </c>
      <c r="F36" s="282"/>
      <c r="G36" s="64"/>
      <c r="H36" s="290" t="str">
        <f>'Matriz SWOT'!E16</f>
        <v/>
      </c>
      <c r="I36" s="282"/>
      <c r="J36" s="291">
        <f>'Matriz SWOT'!F16</f>
        <v>0</v>
      </c>
      <c r="K36" s="286"/>
      <c r="L36" s="90"/>
      <c r="M36" s="90"/>
      <c r="N36" s="90"/>
      <c r="O36" s="92"/>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row>
    <row r="37" ht="33.0" customHeight="1">
      <c r="A37" s="30"/>
      <c r="B37" s="30"/>
      <c r="C37" s="281" t="str">
        <f>'Matriz SWOT'!C17</f>
        <v/>
      </c>
      <c r="D37" s="282"/>
      <c r="E37" s="283">
        <f>'Matriz SWOT'!D17</f>
        <v>0</v>
      </c>
      <c r="F37" s="282"/>
      <c r="G37" s="64"/>
      <c r="H37" s="290" t="str">
        <f>'Matriz SWOT'!E17</f>
        <v/>
      </c>
      <c r="I37" s="282"/>
      <c r="J37" s="291">
        <f>'Matriz SWOT'!F17</f>
        <v>0</v>
      </c>
      <c r="K37" s="286"/>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row>
    <row r="38" ht="33.0" customHeight="1">
      <c r="A38" s="30"/>
      <c r="B38" s="30"/>
      <c r="C38" s="292" t="str">
        <f>'Matriz SWOT'!C18</f>
        <v/>
      </c>
      <c r="D38" s="293"/>
      <c r="E38" s="294">
        <f>'Matriz SWOT'!D18</f>
        <v>0</v>
      </c>
      <c r="F38" s="293"/>
      <c r="G38" s="295"/>
      <c r="H38" s="296" t="str">
        <f>'Matriz SWOT'!E18</f>
        <v/>
      </c>
      <c r="I38" s="293"/>
      <c r="J38" s="297">
        <f>'Matriz SWOT'!F18</f>
        <v>0</v>
      </c>
      <c r="K38" s="298"/>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row>
    <row r="39" ht="14.25" customHeight="1">
      <c r="A39" s="30"/>
      <c r="B39" s="30"/>
      <c r="D39" s="66"/>
      <c r="E39" s="66"/>
      <c r="F39" s="66"/>
      <c r="G39" s="66"/>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row>
    <row r="40" ht="14.25" customHeight="1">
      <c r="A40" s="30"/>
      <c r="B40" s="30"/>
      <c r="D40" s="66"/>
      <c r="E40" s="66"/>
      <c r="F40" s="66"/>
      <c r="G40" s="66"/>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row>
    <row r="41" ht="14.25" customHeight="1">
      <c r="A41" s="30"/>
      <c r="B41" s="30"/>
      <c r="D41" s="66"/>
      <c r="E41" s="66"/>
      <c r="F41" s="66"/>
      <c r="G41" s="66"/>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row>
    <row r="42" ht="14.25" customHeight="1">
      <c r="A42" s="30"/>
      <c r="B42" s="30"/>
      <c r="D42" s="66"/>
      <c r="E42" s="66"/>
      <c r="F42" s="66"/>
      <c r="G42" s="66"/>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row>
    <row r="43" ht="30.0" hidden="1" customHeight="1">
      <c r="A43" s="30"/>
      <c r="B43" s="30"/>
      <c r="D43" s="66"/>
      <c r="E43" s="66"/>
      <c r="F43" s="66"/>
      <c r="G43" s="66"/>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row>
    <row r="44" ht="14.25" customHeight="1">
      <c r="A44" s="30"/>
      <c r="B44" s="30"/>
      <c r="D44" s="66"/>
      <c r="E44" s="66"/>
      <c r="F44" s="66"/>
      <c r="G44" s="66"/>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row>
    <row r="45" ht="14.25" customHeight="1">
      <c r="A45" s="30"/>
      <c r="B45" s="30"/>
      <c r="D45" s="66"/>
      <c r="E45" s="66"/>
      <c r="F45" s="66"/>
      <c r="G45" s="66"/>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row>
    <row r="46" ht="14.25" customHeight="1">
      <c r="A46" s="30"/>
      <c r="B46" s="30"/>
      <c r="D46" s="66"/>
      <c r="E46" s="66"/>
      <c r="F46" s="66"/>
      <c r="G46" s="66"/>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row>
    <row r="47" ht="14.25" customHeight="1">
      <c r="A47" s="30"/>
      <c r="B47" s="30"/>
      <c r="D47" s="66"/>
      <c r="E47" s="66"/>
      <c r="F47" s="66"/>
      <c r="G47" s="66"/>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row>
    <row r="48" ht="14.25" customHeight="1">
      <c r="A48" s="30"/>
      <c r="B48" s="30"/>
      <c r="D48" s="66"/>
      <c r="E48" s="66"/>
      <c r="F48" s="66"/>
      <c r="G48" s="66"/>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row>
    <row r="49" ht="14.25" customHeight="1">
      <c r="A49" s="30"/>
      <c r="B49" s="30"/>
      <c r="D49" s="66"/>
      <c r="E49" s="66"/>
      <c r="F49" s="66"/>
      <c r="G49" s="66"/>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row>
    <row r="50" ht="14.25" customHeight="1">
      <c r="A50" s="30"/>
      <c r="B50" s="30"/>
      <c r="D50" s="66"/>
      <c r="E50" s="66"/>
      <c r="F50" s="66"/>
      <c r="G50" s="66"/>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row>
    <row r="51" ht="14.25" customHeight="1">
      <c r="A51" s="30"/>
      <c r="B51" s="30"/>
      <c r="D51" s="66"/>
      <c r="E51" s="66"/>
      <c r="F51" s="66"/>
      <c r="G51" s="66"/>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row>
    <row r="52" ht="14.25" customHeight="1">
      <c r="A52" s="30"/>
      <c r="B52" s="30"/>
      <c r="D52" s="66"/>
      <c r="E52" s="66"/>
      <c r="F52" s="66"/>
      <c r="G52" s="66"/>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row>
    <row r="53" ht="14.25" customHeight="1">
      <c r="A53" s="30"/>
      <c r="B53" s="30"/>
      <c r="D53" s="66"/>
      <c r="E53" s="66"/>
      <c r="F53" s="66"/>
      <c r="G53" s="66"/>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row>
    <row r="54" ht="14.25" customHeight="1">
      <c r="A54" s="30"/>
      <c r="B54" s="30"/>
      <c r="D54" s="66"/>
      <c r="E54" s="66"/>
      <c r="F54" s="66"/>
      <c r="G54" s="66"/>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row>
    <row r="55" ht="14.25" customHeight="1">
      <c r="A55" s="59"/>
      <c r="B55" s="30"/>
      <c r="D55" s="66"/>
      <c r="E55" s="66"/>
      <c r="F55" s="66"/>
      <c r="G55" s="66"/>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row>
    <row r="56" ht="14.25" customHeight="1">
      <c r="A56" s="59"/>
      <c r="B56" s="30"/>
      <c r="D56" s="66"/>
      <c r="E56" s="66"/>
      <c r="F56" s="66"/>
      <c r="G56" s="66"/>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row>
    <row r="57" ht="14.25" customHeight="1">
      <c r="A57" s="59"/>
      <c r="B57" s="30"/>
      <c r="D57" s="66"/>
      <c r="E57" s="66"/>
      <c r="F57" s="66"/>
      <c r="G57" s="66"/>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row>
    <row r="58" ht="14.25" customHeight="1">
      <c r="A58" s="30"/>
      <c r="B58" s="30"/>
      <c r="D58" s="66"/>
      <c r="E58" s="66"/>
      <c r="F58" s="66"/>
      <c r="G58" s="66"/>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row>
    <row r="59" ht="14.25" customHeight="1">
      <c r="A59" s="30"/>
      <c r="B59" s="30"/>
      <c r="D59" s="66"/>
      <c r="E59" s="66"/>
      <c r="F59" s="66"/>
      <c r="G59" s="66"/>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row>
    <row r="60" ht="14.25" customHeight="1">
      <c r="A60" s="30"/>
      <c r="B60" s="30"/>
      <c r="D60" s="66"/>
      <c r="E60" s="66"/>
      <c r="F60" s="66"/>
      <c r="G60" s="66"/>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row>
    <row r="61" ht="14.25" customHeight="1">
      <c r="A61" s="30"/>
      <c r="B61" s="30"/>
      <c r="D61" s="66"/>
      <c r="E61" s="66"/>
      <c r="F61" s="66"/>
      <c r="G61" s="66"/>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row>
    <row r="62" ht="14.25" customHeight="1">
      <c r="A62" s="30"/>
      <c r="B62" s="30"/>
      <c r="D62" s="66"/>
      <c r="E62" s="66"/>
      <c r="F62" s="66"/>
      <c r="G62" s="66"/>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row>
    <row r="63" ht="14.25" customHeight="1">
      <c r="A63" s="30"/>
      <c r="B63" s="30"/>
      <c r="D63" s="66"/>
      <c r="E63" s="66"/>
      <c r="F63" s="66"/>
      <c r="G63" s="66"/>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row>
    <row r="64" ht="14.25" customHeight="1">
      <c r="A64" s="30"/>
      <c r="B64" s="30"/>
      <c r="D64" s="66"/>
      <c r="E64" s="66"/>
      <c r="F64" s="66"/>
      <c r="G64" s="66"/>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row>
    <row r="65" ht="14.25" customHeight="1">
      <c r="A65" s="30"/>
      <c r="B65" s="30"/>
      <c r="D65" s="66"/>
      <c r="E65" s="66"/>
      <c r="F65" s="66"/>
      <c r="G65" s="66"/>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row>
    <row r="66" ht="14.25" customHeight="1">
      <c r="A66" s="30"/>
      <c r="B66" s="30"/>
      <c r="D66" s="66"/>
      <c r="E66" s="66"/>
      <c r="F66" s="66"/>
      <c r="G66" s="66"/>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row>
    <row r="67" ht="14.25" customHeight="1">
      <c r="A67" s="30"/>
      <c r="B67" s="30"/>
      <c r="D67" s="66"/>
      <c r="E67" s="66"/>
      <c r="F67" s="66"/>
      <c r="G67" s="66"/>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row>
    <row r="68" ht="14.25" customHeight="1">
      <c r="A68" s="30"/>
      <c r="B68" s="30"/>
      <c r="D68" s="66"/>
      <c r="E68" s="66"/>
      <c r="F68" s="66"/>
      <c r="G68" s="66"/>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row>
    <row r="69" ht="14.25" customHeight="1">
      <c r="A69" s="30"/>
      <c r="B69" s="30"/>
      <c r="D69" s="66"/>
      <c r="E69" s="66"/>
      <c r="F69" s="66"/>
      <c r="G69" s="66"/>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row>
    <row r="70" ht="14.25" customHeight="1">
      <c r="A70" s="30"/>
      <c r="B70" s="30"/>
      <c r="D70" s="66"/>
      <c r="E70" s="66"/>
      <c r="F70" s="66"/>
      <c r="G70" s="66"/>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row>
    <row r="71" ht="14.25" customHeight="1">
      <c r="A71" s="30"/>
      <c r="B71" s="30"/>
      <c r="D71" s="66"/>
      <c r="E71" s="66"/>
      <c r="F71" s="66"/>
      <c r="G71" s="66"/>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row>
    <row r="72" ht="14.25" customHeight="1">
      <c r="A72" s="30"/>
      <c r="B72" s="30"/>
      <c r="D72" s="66"/>
      <c r="E72" s="66"/>
      <c r="F72" s="66"/>
      <c r="G72" s="66"/>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row>
    <row r="73" ht="14.25" customHeight="1">
      <c r="A73" s="30"/>
      <c r="B73" s="30"/>
      <c r="D73" s="66"/>
      <c r="E73" s="66"/>
      <c r="F73" s="66"/>
      <c r="G73" s="66"/>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row>
    <row r="74" ht="14.25" customHeight="1">
      <c r="A74" s="30"/>
      <c r="B74" s="30"/>
      <c r="D74" s="66"/>
      <c r="E74" s="66"/>
      <c r="F74" s="66"/>
      <c r="G74" s="66"/>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row>
    <row r="75" ht="14.25" customHeight="1">
      <c r="A75" s="30"/>
      <c r="B75" s="30"/>
      <c r="D75" s="66"/>
      <c r="E75" s="66"/>
      <c r="F75" s="66"/>
      <c r="G75" s="66"/>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row>
    <row r="76" ht="14.25" customHeight="1">
      <c r="A76" s="30"/>
      <c r="B76" s="30"/>
      <c r="D76" s="66"/>
      <c r="E76" s="66"/>
      <c r="F76" s="66"/>
      <c r="G76" s="66"/>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row>
    <row r="77" ht="14.25" customHeight="1">
      <c r="A77" s="30"/>
      <c r="B77" s="30"/>
      <c r="D77" s="66"/>
      <c r="E77" s="66"/>
      <c r="F77" s="66"/>
      <c r="G77" s="66"/>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row>
    <row r="78" ht="14.25" customHeight="1">
      <c r="A78" s="30"/>
      <c r="B78" s="30"/>
      <c r="D78" s="66"/>
      <c r="E78" s="66"/>
      <c r="F78" s="66"/>
      <c r="G78" s="66"/>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row>
    <row r="79" ht="14.25" customHeight="1">
      <c r="A79" s="30"/>
      <c r="B79" s="30"/>
      <c r="D79" s="66"/>
      <c r="E79" s="66"/>
      <c r="F79" s="66"/>
      <c r="G79" s="66"/>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row>
    <row r="80" ht="14.25" customHeight="1">
      <c r="A80" s="30"/>
      <c r="B80" s="30"/>
      <c r="D80" s="66"/>
      <c r="E80" s="66"/>
      <c r="F80" s="66"/>
      <c r="G80" s="66"/>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row>
    <row r="81" ht="14.25" customHeight="1">
      <c r="A81" s="30"/>
      <c r="B81" s="30"/>
      <c r="D81" s="66"/>
      <c r="E81" s="66"/>
      <c r="F81" s="66"/>
      <c r="G81" s="66"/>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row>
    <row r="82" ht="14.25" customHeight="1">
      <c r="A82" s="30"/>
      <c r="B82" s="30"/>
      <c r="D82" s="66"/>
      <c r="E82" s="66"/>
      <c r="F82" s="66"/>
      <c r="G82" s="66"/>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row>
    <row r="83" ht="14.25" customHeight="1">
      <c r="A83" s="30"/>
      <c r="B83" s="30"/>
      <c r="D83" s="66"/>
      <c r="E83" s="66"/>
      <c r="F83" s="66"/>
      <c r="G83" s="66"/>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row>
    <row r="84" ht="14.25" customHeight="1">
      <c r="A84" s="30"/>
      <c r="B84" s="30"/>
      <c r="D84" s="66"/>
      <c r="E84" s="66"/>
      <c r="F84" s="66"/>
      <c r="G84" s="66"/>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row>
    <row r="85" ht="14.25" customHeight="1">
      <c r="A85" s="30"/>
      <c r="B85" s="30"/>
      <c r="D85" s="66"/>
      <c r="E85" s="66"/>
      <c r="F85" s="66"/>
      <c r="G85" s="66"/>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row>
    <row r="86" ht="14.25" customHeight="1">
      <c r="A86" s="30"/>
      <c r="B86" s="30"/>
      <c r="D86" s="66"/>
      <c r="E86" s="66"/>
      <c r="F86" s="66"/>
      <c r="G86" s="66"/>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row>
    <row r="87" ht="14.25" customHeight="1">
      <c r="A87" s="30"/>
      <c r="B87" s="30"/>
      <c r="D87" s="66"/>
      <c r="E87" s="66"/>
      <c r="F87" s="66"/>
      <c r="G87" s="66"/>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row>
    <row r="88" ht="14.25" customHeight="1">
      <c r="A88" s="30"/>
      <c r="B88" s="30"/>
      <c r="D88" s="66"/>
      <c r="E88" s="66"/>
      <c r="F88" s="66"/>
      <c r="G88" s="66"/>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row>
    <row r="89" ht="14.25" customHeight="1">
      <c r="A89" s="30"/>
      <c r="B89" s="30"/>
      <c r="D89" s="66"/>
      <c r="E89" s="66"/>
      <c r="F89" s="66"/>
      <c r="G89" s="66"/>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row>
    <row r="90" ht="14.25" customHeight="1">
      <c r="A90" s="30"/>
      <c r="B90" s="30"/>
      <c r="D90" s="66"/>
      <c r="E90" s="66"/>
      <c r="F90" s="66"/>
      <c r="G90" s="66"/>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row>
    <row r="91" ht="14.25" customHeight="1">
      <c r="A91" s="30"/>
      <c r="B91" s="30"/>
      <c r="D91" s="66"/>
      <c r="E91" s="66"/>
      <c r="F91" s="66"/>
      <c r="G91" s="66"/>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row>
    <row r="92" ht="14.25" customHeight="1">
      <c r="A92" s="30"/>
      <c r="B92" s="30"/>
      <c r="D92" s="66"/>
      <c r="E92" s="66"/>
      <c r="F92" s="66"/>
      <c r="G92" s="66"/>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row>
    <row r="93" ht="14.25" customHeight="1">
      <c r="A93" s="30"/>
      <c r="B93" s="30"/>
      <c r="D93" s="66"/>
      <c r="E93" s="66"/>
      <c r="F93" s="66"/>
      <c r="G93" s="66"/>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row>
    <row r="94" ht="14.25" customHeight="1">
      <c r="A94" s="30"/>
      <c r="B94" s="30"/>
      <c r="D94" s="66"/>
      <c r="E94" s="66"/>
      <c r="F94" s="66"/>
      <c r="G94" s="66"/>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row>
    <row r="95" ht="14.25" customHeight="1">
      <c r="A95" s="30"/>
      <c r="B95" s="30"/>
      <c r="D95" s="66"/>
      <c r="E95" s="66"/>
      <c r="F95" s="66"/>
      <c r="G95" s="66"/>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row>
    <row r="96" ht="14.25" customHeight="1">
      <c r="A96" s="30"/>
      <c r="B96" s="30"/>
      <c r="D96" s="66"/>
      <c r="E96" s="66"/>
      <c r="F96" s="66"/>
      <c r="G96" s="66"/>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row>
    <row r="97" ht="14.25" customHeight="1">
      <c r="A97" s="30"/>
      <c r="B97" s="30"/>
      <c r="D97" s="66"/>
      <c r="E97" s="66"/>
      <c r="F97" s="66"/>
      <c r="G97" s="66"/>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row>
    <row r="98" ht="14.25" customHeight="1">
      <c r="A98" s="30"/>
      <c r="B98" s="30"/>
      <c r="D98" s="66"/>
      <c r="E98" s="66"/>
      <c r="F98" s="66"/>
      <c r="G98" s="66"/>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row>
    <row r="99" ht="14.25" customHeight="1">
      <c r="A99" s="30"/>
      <c r="B99" s="30"/>
      <c r="D99" s="66"/>
      <c r="E99" s="66"/>
      <c r="F99" s="66"/>
      <c r="G99" s="66"/>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row>
    <row r="100" ht="14.25" customHeight="1">
      <c r="A100" s="30"/>
      <c r="B100" s="30"/>
      <c r="D100" s="66"/>
      <c r="E100" s="66"/>
      <c r="F100" s="66"/>
      <c r="G100" s="66"/>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row>
    <row r="101" ht="37.5" hidden="1" customHeight="1">
      <c r="A101" s="30"/>
      <c r="B101" s="30"/>
      <c r="D101" s="66"/>
      <c r="E101" s="66"/>
      <c r="F101" s="66"/>
      <c r="G101" s="66"/>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row>
    <row r="102" ht="37.5" hidden="1" customHeight="1">
      <c r="A102" s="30"/>
      <c r="B102" s="30"/>
      <c r="D102" s="66"/>
      <c r="E102" s="66"/>
      <c r="F102" s="66"/>
      <c r="G102" s="66"/>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row>
    <row r="103" ht="37.5" hidden="1" customHeight="1">
      <c r="A103" s="30"/>
      <c r="B103" s="30"/>
      <c r="D103" s="66"/>
      <c r="E103" s="66"/>
      <c r="F103" s="66"/>
      <c r="G103" s="66"/>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row>
    <row r="104" ht="37.5" hidden="1" customHeight="1">
      <c r="A104" s="30"/>
      <c r="B104" s="30"/>
      <c r="D104" s="66"/>
      <c r="E104" s="66"/>
      <c r="F104" s="66"/>
      <c r="G104" s="66"/>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row>
    <row r="105" ht="37.5" hidden="1" customHeight="1">
      <c r="A105" s="30"/>
      <c r="B105" s="30"/>
      <c r="D105" s="66"/>
      <c r="E105" s="66"/>
      <c r="F105" s="66"/>
      <c r="G105" s="66"/>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row>
    <row r="106" ht="37.5" hidden="1" customHeight="1">
      <c r="A106" s="30"/>
      <c r="B106" s="30"/>
      <c r="D106" s="66"/>
      <c r="E106" s="66"/>
      <c r="F106" s="66"/>
      <c r="G106" s="66"/>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row>
    <row r="107" ht="37.5" hidden="1" customHeight="1">
      <c r="A107" s="30"/>
      <c r="B107" s="30"/>
      <c r="D107" s="66"/>
      <c r="E107" s="66"/>
      <c r="F107" s="66"/>
      <c r="G107" s="66"/>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row>
    <row r="108" ht="37.5" hidden="1" customHeight="1">
      <c r="A108" s="30"/>
      <c r="B108" s="30"/>
      <c r="D108" s="66"/>
      <c r="E108" s="66"/>
      <c r="F108" s="66"/>
      <c r="G108" s="66"/>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row>
    <row r="109" ht="37.5" hidden="1" customHeight="1">
      <c r="A109" s="30"/>
      <c r="B109" s="30"/>
      <c r="D109" s="66"/>
      <c r="E109" s="66"/>
      <c r="F109" s="66"/>
      <c r="G109" s="66"/>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row>
    <row r="110" ht="37.5" hidden="1" customHeight="1">
      <c r="A110" s="30"/>
      <c r="B110" s="30"/>
      <c r="D110" s="66"/>
      <c r="E110" s="66"/>
      <c r="F110" s="66"/>
      <c r="G110" s="66"/>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row>
    <row r="111" ht="37.5" hidden="1" customHeight="1">
      <c r="A111" s="30"/>
      <c r="B111" s="30"/>
      <c r="D111" s="66"/>
      <c r="E111" s="66"/>
      <c r="F111" s="66"/>
      <c r="G111" s="66"/>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row>
    <row r="112" ht="37.5" hidden="1" customHeight="1">
      <c r="A112" s="30"/>
      <c r="B112" s="30"/>
      <c r="D112" s="66"/>
      <c r="E112" s="66"/>
      <c r="F112" s="66"/>
      <c r="G112" s="66"/>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row>
    <row r="113" ht="37.5" hidden="1" customHeight="1">
      <c r="A113" s="30"/>
      <c r="B113" s="30"/>
      <c r="D113" s="66"/>
      <c r="E113" s="66"/>
      <c r="F113" s="66"/>
      <c r="G113" s="66"/>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row>
    <row r="114" ht="37.5" hidden="1" customHeight="1">
      <c r="A114" s="30"/>
      <c r="B114" s="30"/>
      <c r="D114" s="66"/>
      <c r="E114" s="66"/>
      <c r="F114" s="66"/>
      <c r="G114" s="66"/>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row>
    <row r="115" ht="37.5" hidden="1" customHeight="1">
      <c r="A115" s="30"/>
      <c r="B115" s="30"/>
      <c r="D115" s="66"/>
      <c r="E115" s="66"/>
      <c r="F115" s="66"/>
      <c r="G115" s="66"/>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row>
    <row r="116" ht="37.5" hidden="1" customHeight="1">
      <c r="A116" s="30"/>
      <c r="B116" s="30"/>
      <c r="D116" s="66"/>
      <c r="E116" s="66"/>
      <c r="F116" s="66"/>
      <c r="G116" s="66"/>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row>
    <row r="117" ht="14.25" customHeight="1">
      <c r="A117" s="30"/>
      <c r="B117" s="30"/>
      <c r="D117" s="66"/>
      <c r="E117" s="66"/>
      <c r="F117" s="66"/>
      <c r="G117" s="66"/>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row>
    <row r="118" ht="14.25" customHeight="1">
      <c r="A118" s="30"/>
      <c r="B118" s="30"/>
      <c r="D118" s="66"/>
      <c r="E118" s="66"/>
      <c r="F118" s="66"/>
      <c r="G118" s="66"/>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row>
    <row r="119" ht="14.25" customHeight="1">
      <c r="A119" s="30"/>
      <c r="B119" s="30"/>
      <c r="D119" s="66"/>
      <c r="E119" s="66"/>
      <c r="F119" s="66"/>
      <c r="G119" s="66"/>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row>
    <row r="120" ht="14.25" customHeight="1">
      <c r="A120" s="30"/>
      <c r="B120" s="30"/>
      <c r="D120" s="66"/>
      <c r="E120" s="66"/>
      <c r="F120" s="66"/>
      <c r="G120" s="66"/>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row>
    <row r="121" ht="14.25" customHeight="1">
      <c r="A121" s="30"/>
      <c r="B121" s="30"/>
      <c r="D121" s="66"/>
      <c r="E121" s="66"/>
      <c r="F121" s="66"/>
      <c r="G121" s="66"/>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row>
    <row r="122" ht="14.25" customHeight="1">
      <c r="A122" s="30"/>
      <c r="B122" s="30"/>
      <c r="D122" s="66"/>
      <c r="E122" s="66"/>
      <c r="F122" s="66"/>
      <c r="G122" s="66"/>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row>
    <row r="123" ht="14.25" customHeight="1">
      <c r="A123" s="30"/>
      <c r="B123" s="30"/>
      <c r="D123" s="66"/>
      <c r="E123" s="66"/>
      <c r="F123" s="66"/>
      <c r="G123" s="66"/>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row>
    <row r="124" ht="14.25" customHeight="1">
      <c r="A124" s="30"/>
      <c r="B124" s="30"/>
      <c r="D124" s="66"/>
      <c r="E124" s="66"/>
      <c r="F124" s="66"/>
      <c r="G124" s="66"/>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row>
    <row r="125" ht="14.25" customHeight="1">
      <c r="A125" s="30"/>
      <c r="B125" s="30"/>
      <c r="D125" s="66"/>
      <c r="E125" s="66"/>
      <c r="F125" s="66"/>
      <c r="G125" s="66"/>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row>
    <row r="126" ht="14.25" customHeight="1">
      <c r="A126" s="30"/>
      <c r="B126" s="30"/>
      <c r="D126" s="66"/>
      <c r="E126" s="66"/>
      <c r="F126" s="66"/>
      <c r="G126" s="66"/>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row>
    <row r="127" ht="14.25" customHeight="1">
      <c r="A127" s="30"/>
      <c r="B127" s="30"/>
      <c r="D127" s="66"/>
      <c r="E127" s="66"/>
      <c r="F127" s="66"/>
      <c r="G127" s="66"/>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row>
    <row r="128" ht="14.25" customHeight="1">
      <c r="A128" s="30"/>
      <c r="B128" s="30"/>
      <c r="D128" s="66"/>
      <c r="E128" s="66"/>
      <c r="F128" s="66"/>
      <c r="G128" s="66"/>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row>
    <row r="129" ht="14.25" customHeight="1">
      <c r="A129" s="30"/>
      <c r="B129" s="30"/>
      <c r="D129" s="66"/>
      <c r="E129" s="66"/>
      <c r="F129" s="66"/>
      <c r="G129" s="66"/>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row>
    <row r="130" ht="14.25" customHeight="1">
      <c r="A130" s="30"/>
      <c r="B130" s="30"/>
      <c r="D130" s="66"/>
      <c r="E130" s="66"/>
      <c r="F130" s="66"/>
      <c r="G130" s="66"/>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row>
    <row r="131" ht="14.25" customHeight="1">
      <c r="A131" s="30"/>
      <c r="B131" s="30"/>
      <c r="D131" s="66"/>
      <c r="E131" s="66"/>
      <c r="F131" s="66"/>
      <c r="G131" s="66"/>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row>
    <row r="132" ht="14.25" customHeight="1">
      <c r="A132" s="30"/>
      <c r="B132" s="30"/>
      <c r="D132" s="66"/>
      <c r="E132" s="66"/>
      <c r="F132" s="66"/>
      <c r="G132" s="66"/>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row>
    <row r="133" ht="14.25" customHeight="1">
      <c r="A133" s="30"/>
      <c r="B133" s="30"/>
      <c r="D133" s="66"/>
      <c r="E133" s="66"/>
      <c r="F133" s="66"/>
      <c r="G133" s="66"/>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row>
    <row r="134" ht="14.25" customHeight="1">
      <c r="A134" s="30"/>
      <c r="B134" s="30"/>
      <c r="D134" s="66"/>
      <c r="E134" s="66"/>
      <c r="F134" s="66"/>
      <c r="G134" s="66"/>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row>
    <row r="135" ht="14.25" customHeight="1">
      <c r="A135" s="30"/>
      <c r="B135" s="30"/>
      <c r="D135" s="66"/>
      <c r="E135" s="66"/>
      <c r="F135" s="66"/>
      <c r="G135" s="66"/>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row>
    <row r="136" ht="14.25" customHeight="1">
      <c r="A136" s="30"/>
      <c r="B136" s="30"/>
      <c r="D136" s="66"/>
      <c r="E136" s="66"/>
      <c r="F136" s="66"/>
      <c r="G136" s="66"/>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row>
    <row r="137" ht="14.25" customHeight="1">
      <c r="A137" s="30"/>
      <c r="B137" s="30"/>
      <c r="D137" s="66"/>
      <c r="E137" s="66"/>
      <c r="F137" s="66"/>
      <c r="G137" s="66"/>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row>
    <row r="138" ht="14.25" customHeight="1">
      <c r="A138" s="30"/>
      <c r="B138" s="30"/>
      <c r="D138" s="66"/>
      <c r="E138" s="66"/>
      <c r="F138" s="66"/>
      <c r="G138" s="66"/>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row>
    <row r="139" ht="14.25" customHeight="1">
      <c r="A139" s="30"/>
      <c r="B139" s="30"/>
      <c r="D139" s="66"/>
      <c r="E139" s="66"/>
      <c r="F139" s="66"/>
      <c r="G139" s="66"/>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row>
    <row r="140" ht="14.25" customHeight="1">
      <c r="A140" s="30"/>
      <c r="B140" s="30"/>
      <c r="D140" s="66"/>
      <c r="E140" s="66"/>
      <c r="F140" s="66"/>
      <c r="G140" s="66"/>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row>
    <row r="141" ht="14.25" customHeight="1">
      <c r="A141" s="30"/>
      <c r="B141" s="30"/>
      <c r="D141" s="66"/>
      <c r="E141" s="66"/>
      <c r="F141" s="66"/>
      <c r="G141" s="66"/>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row>
    <row r="142" ht="14.25" customHeight="1">
      <c r="A142" s="30"/>
      <c r="B142" s="30"/>
      <c r="D142" s="66"/>
      <c r="E142" s="66"/>
      <c r="F142" s="66"/>
      <c r="G142" s="66"/>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row>
    <row r="143" ht="14.25" customHeight="1">
      <c r="A143" s="30"/>
      <c r="B143" s="30"/>
      <c r="D143" s="66"/>
      <c r="E143" s="66"/>
      <c r="F143" s="66"/>
      <c r="G143" s="66"/>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row>
    <row r="144" ht="14.25" customHeight="1">
      <c r="A144" s="30"/>
      <c r="B144" s="30"/>
      <c r="D144" s="66"/>
      <c r="E144" s="66"/>
      <c r="F144" s="66"/>
      <c r="G144" s="66"/>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row>
    <row r="145" ht="14.25" customHeight="1">
      <c r="A145" s="30"/>
      <c r="B145" s="30"/>
      <c r="D145" s="66"/>
      <c r="E145" s="66"/>
      <c r="F145" s="66"/>
      <c r="G145" s="66"/>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row>
    <row r="146" ht="14.25" customHeight="1">
      <c r="A146" s="30"/>
      <c r="B146" s="30"/>
      <c r="D146" s="66"/>
      <c r="E146" s="66"/>
      <c r="F146" s="66"/>
      <c r="G146" s="66"/>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row>
    <row r="147" ht="14.25" customHeight="1">
      <c r="A147" s="30"/>
      <c r="B147" s="30"/>
      <c r="D147" s="66"/>
      <c r="E147" s="66"/>
      <c r="F147" s="66"/>
      <c r="G147" s="66"/>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row>
    <row r="148" ht="14.25" customHeight="1">
      <c r="A148" s="30"/>
      <c r="B148" s="30"/>
      <c r="D148" s="66"/>
      <c r="E148" s="66"/>
      <c r="F148" s="66"/>
      <c r="G148" s="66"/>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row>
    <row r="149" ht="14.25" customHeight="1">
      <c r="A149" s="30"/>
      <c r="B149" s="30"/>
      <c r="D149" s="66"/>
      <c r="E149" s="66"/>
      <c r="F149" s="66"/>
      <c r="G149" s="66"/>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row>
    <row r="150" ht="14.25" customHeight="1">
      <c r="A150" s="30"/>
      <c r="B150" s="30"/>
      <c r="D150" s="66"/>
      <c r="E150" s="66"/>
      <c r="F150" s="66"/>
      <c r="G150" s="66"/>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row>
    <row r="151" ht="14.25" customHeight="1">
      <c r="A151" s="30"/>
      <c r="B151" s="30"/>
      <c r="D151" s="66"/>
      <c r="E151" s="66"/>
      <c r="F151" s="66"/>
      <c r="G151" s="66"/>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row>
    <row r="152" ht="14.25" customHeight="1">
      <c r="A152" s="30"/>
      <c r="B152" s="30"/>
      <c r="D152" s="66"/>
      <c r="E152" s="66"/>
      <c r="F152" s="66"/>
      <c r="G152" s="66"/>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row>
    <row r="153" ht="14.25" customHeight="1">
      <c r="A153" s="30"/>
      <c r="B153" s="30"/>
      <c r="D153" s="66"/>
      <c r="E153" s="66"/>
      <c r="F153" s="66"/>
      <c r="G153" s="66"/>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row>
    <row r="154" ht="14.25" customHeight="1">
      <c r="A154" s="30"/>
      <c r="B154" s="30"/>
      <c r="D154" s="66"/>
      <c r="E154" s="66"/>
      <c r="F154" s="66"/>
      <c r="G154" s="66"/>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row>
    <row r="155" ht="14.25" customHeight="1">
      <c r="A155" s="30"/>
      <c r="B155" s="30"/>
      <c r="D155" s="66"/>
      <c r="E155" s="66"/>
      <c r="F155" s="66"/>
      <c r="G155" s="66"/>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row>
    <row r="156" ht="14.25" customHeight="1">
      <c r="A156" s="30"/>
      <c r="B156" s="30"/>
      <c r="D156" s="66"/>
      <c r="E156" s="66"/>
      <c r="F156" s="66"/>
      <c r="G156" s="66"/>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row>
    <row r="157" ht="14.25" customHeight="1">
      <c r="A157" s="30"/>
      <c r="B157" s="30"/>
      <c r="D157" s="66"/>
      <c r="E157" s="66"/>
      <c r="F157" s="66"/>
      <c r="G157" s="66"/>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row>
    <row r="158" ht="14.25" customHeight="1">
      <c r="A158" s="30"/>
      <c r="B158" s="30"/>
      <c r="D158" s="66"/>
      <c r="E158" s="66"/>
      <c r="F158" s="66"/>
      <c r="G158" s="66"/>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row>
    <row r="159" ht="14.25" customHeight="1">
      <c r="A159" s="30"/>
      <c r="B159" s="30"/>
      <c r="D159" s="66"/>
      <c r="E159" s="66"/>
      <c r="F159" s="66"/>
      <c r="G159" s="66"/>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row>
    <row r="160" ht="14.25" customHeight="1">
      <c r="A160" s="30"/>
      <c r="B160" s="30"/>
      <c r="D160" s="66"/>
      <c r="E160" s="66"/>
      <c r="F160" s="66"/>
      <c r="G160" s="66"/>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row>
    <row r="161" ht="14.25" customHeight="1">
      <c r="A161" s="30"/>
      <c r="B161" s="30"/>
      <c r="D161" s="66"/>
      <c r="E161" s="66"/>
      <c r="F161" s="66"/>
      <c r="G161" s="66"/>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row>
    <row r="162" ht="14.25" customHeight="1">
      <c r="A162" s="30"/>
      <c r="B162" s="30"/>
      <c r="D162" s="66"/>
      <c r="E162" s="66"/>
      <c r="F162" s="66"/>
      <c r="G162" s="66"/>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row>
    <row r="163" ht="14.25" customHeight="1">
      <c r="A163" s="30"/>
      <c r="B163" s="30"/>
      <c r="D163" s="66"/>
      <c r="E163" s="66"/>
      <c r="F163" s="66"/>
      <c r="G163" s="66"/>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row>
    <row r="164" ht="14.25" customHeight="1">
      <c r="A164" s="30"/>
      <c r="B164" s="30"/>
      <c r="D164" s="66"/>
      <c r="E164" s="66"/>
      <c r="F164" s="66"/>
      <c r="G164" s="66"/>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row>
    <row r="165" ht="14.25" customHeight="1">
      <c r="A165" s="30"/>
      <c r="B165" s="30"/>
      <c r="D165" s="66"/>
      <c r="E165" s="66"/>
      <c r="F165" s="66"/>
      <c r="G165" s="66"/>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row>
    <row r="166" ht="14.25" customHeight="1">
      <c r="A166" s="30"/>
      <c r="B166" s="30"/>
      <c r="D166" s="66"/>
      <c r="E166" s="66"/>
      <c r="F166" s="66"/>
      <c r="G166" s="66"/>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row>
    <row r="167" ht="14.25" customHeight="1">
      <c r="A167" s="30"/>
      <c r="B167" s="30"/>
      <c r="D167" s="66"/>
      <c r="E167" s="66"/>
      <c r="F167" s="66"/>
      <c r="G167" s="66"/>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row>
    <row r="168" ht="14.25" customHeight="1">
      <c r="A168" s="30"/>
      <c r="B168" s="30"/>
      <c r="D168" s="66"/>
      <c r="E168" s="66"/>
      <c r="F168" s="66"/>
      <c r="G168" s="66"/>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row>
    <row r="169" ht="14.25" customHeight="1">
      <c r="A169" s="30"/>
      <c r="B169" s="30"/>
      <c r="D169" s="66"/>
      <c r="E169" s="66"/>
      <c r="F169" s="66"/>
      <c r="G169" s="66"/>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row>
    <row r="170" ht="14.25" customHeight="1">
      <c r="A170" s="30"/>
      <c r="B170" s="30"/>
      <c r="D170" s="66"/>
      <c r="E170" s="66"/>
      <c r="F170" s="66"/>
      <c r="G170" s="66"/>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row>
    <row r="171" ht="14.25" customHeight="1">
      <c r="A171" s="30"/>
      <c r="B171" s="30"/>
      <c r="D171" s="66"/>
      <c r="E171" s="66"/>
      <c r="F171" s="66"/>
      <c r="G171" s="66"/>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row>
    <row r="172" ht="14.25" customHeight="1">
      <c r="A172" s="30"/>
      <c r="B172" s="30"/>
      <c r="D172" s="66"/>
      <c r="E172" s="66"/>
      <c r="F172" s="66"/>
      <c r="G172" s="66"/>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row>
    <row r="173" ht="14.25" customHeight="1">
      <c r="A173" s="30"/>
      <c r="B173" s="30"/>
      <c r="D173" s="66"/>
      <c r="E173" s="66"/>
      <c r="F173" s="66"/>
      <c r="G173" s="66"/>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row>
    <row r="174" ht="14.25" customHeight="1">
      <c r="A174" s="30"/>
      <c r="B174" s="30"/>
      <c r="D174" s="66"/>
      <c r="E174" s="66"/>
      <c r="F174" s="66"/>
      <c r="G174" s="66"/>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row>
    <row r="175" ht="14.25" customHeight="1">
      <c r="A175" s="30"/>
      <c r="B175" s="30"/>
      <c r="D175" s="66"/>
      <c r="E175" s="66"/>
      <c r="F175" s="66"/>
      <c r="G175" s="66"/>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row>
    <row r="176" ht="14.25" customHeight="1">
      <c r="A176" s="30"/>
      <c r="B176" s="30"/>
      <c r="D176" s="66"/>
      <c r="E176" s="66"/>
      <c r="F176" s="66"/>
      <c r="G176" s="66"/>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row>
    <row r="177" ht="14.25" customHeight="1">
      <c r="A177" s="30"/>
      <c r="B177" s="30"/>
      <c r="D177" s="66"/>
      <c r="E177" s="66"/>
      <c r="F177" s="66"/>
      <c r="G177" s="66"/>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row>
    <row r="178" ht="14.25" customHeight="1">
      <c r="A178" s="30"/>
      <c r="B178" s="30"/>
      <c r="D178" s="66"/>
      <c r="E178" s="66"/>
      <c r="F178" s="66"/>
      <c r="G178" s="66"/>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row>
    <row r="179" ht="14.25" customHeight="1">
      <c r="A179" s="30"/>
      <c r="B179" s="30"/>
      <c r="D179" s="66"/>
      <c r="E179" s="66"/>
      <c r="F179" s="66"/>
      <c r="G179" s="66"/>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row>
    <row r="180" ht="14.25" customHeight="1">
      <c r="A180" s="30"/>
      <c r="B180" s="30"/>
      <c r="D180" s="66"/>
      <c r="E180" s="66"/>
      <c r="F180" s="66"/>
      <c r="G180" s="66"/>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row>
    <row r="181" ht="14.25" customHeight="1">
      <c r="A181" s="30"/>
      <c r="B181" s="30"/>
      <c r="D181" s="66"/>
      <c r="E181" s="66"/>
      <c r="F181" s="66"/>
      <c r="G181" s="66"/>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row>
    <row r="182" ht="14.25" customHeight="1">
      <c r="A182" s="30"/>
      <c r="B182" s="30"/>
      <c r="D182" s="66"/>
      <c r="E182" s="66"/>
      <c r="F182" s="66"/>
      <c r="G182" s="66"/>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row>
    <row r="183" ht="14.25" customHeight="1">
      <c r="A183" s="30"/>
      <c r="B183" s="30"/>
      <c r="D183" s="66"/>
      <c r="E183" s="66"/>
      <c r="F183" s="66"/>
      <c r="G183" s="66"/>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row>
    <row r="184" ht="14.25" customHeight="1">
      <c r="A184" s="30"/>
      <c r="B184" s="30"/>
      <c r="D184" s="66"/>
      <c r="E184" s="66"/>
      <c r="F184" s="66"/>
      <c r="G184" s="66"/>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row>
    <row r="185" ht="14.25" customHeight="1">
      <c r="A185" s="30"/>
      <c r="B185" s="30"/>
      <c r="D185" s="66"/>
      <c r="E185" s="66"/>
      <c r="F185" s="66"/>
      <c r="G185" s="66"/>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row>
    <row r="186" ht="14.25" customHeight="1">
      <c r="A186" s="30"/>
      <c r="B186" s="30"/>
      <c r="D186" s="66"/>
      <c r="E186" s="66"/>
      <c r="F186" s="66"/>
      <c r="G186" s="66"/>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row>
    <row r="187" ht="14.25" customHeight="1">
      <c r="A187" s="30"/>
      <c r="B187" s="30"/>
      <c r="D187" s="66"/>
      <c r="E187" s="66"/>
      <c r="F187" s="66"/>
      <c r="G187" s="66"/>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row>
    <row r="188" ht="14.25" customHeight="1">
      <c r="A188" s="30"/>
      <c r="B188" s="30"/>
      <c r="D188" s="66"/>
      <c r="E188" s="66"/>
      <c r="F188" s="66"/>
      <c r="G188" s="66"/>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row>
    <row r="189" ht="14.25" customHeight="1">
      <c r="A189" s="30"/>
      <c r="B189" s="30"/>
      <c r="D189" s="66"/>
      <c r="E189" s="66"/>
      <c r="F189" s="66"/>
      <c r="G189" s="66"/>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row>
    <row r="190" ht="14.25" customHeight="1">
      <c r="A190" s="30"/>
      <c r="B190" s="30"/>
      <c r="D190" s="66"/>
      <c r="E190" s="66"/>
      <c r="F190" s="66"/>
      <c r="G190" s="66"/>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row>
    <row r="191" ht="14.25" customHeight="1">
      <c r="A191" s="30"/>
      <c r="B191" s="30"/>
      <c r="D191" s="66"/>
      <c r="E191" s="66"/>
      <c r="F191" s="66"/>
      <c r="G191" s="66"/>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row>
    <row r="192" ht="14.25" customHeight="1">
      <c r="A192" s="30"/>
      <c r="B192" s="30"/>
      <c r="D192" s="66"/>
      <c r="E192" s="66"/>
      <c r="F192" s="66"/>
      <c r="G192" s="66"/>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row>
    <row r="193" ht="14.25" customHeight="1">
      <c r="A193" s="30"/>
      <c r="B193" s="30"/>
      <c r="D193" s="66"/>
      <c r="E193" s="66"/>
      <c r="F193" s="66"/>
      <c r="G193" s="66"/>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row>
    <row r="194" ht="14.25" customHeight="1">
      <c r="A194" s="30"/>
      <c r="B194" s="30"/>
      <c r="D194" s="66"/>
      <c r="E194" s="66"/>
      <c r="F194" s="66"/>
      <c r="G194" s="66"/>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row>
    <row r="195" ht="14.25" customHeight="1">
      <c r="A195" s="30"/>
      <c r="B195" s="30"/>
      <c r="D195" s="66"/>
      <c r="E195" s="66"/>
      <c r="F195" s="66"/>
      <c r="G195" s="66"/>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row>
    <row r="196" ht="14.25" customHeight="1">
      <c r="A196" s="30"/>
      <c r="B196" s="30"/>
      <c r="D196" s="66"/>
      <c r="E196" s="66"/>
      <c r="F196" s="66"/>
      <c r="G196" s="66"/>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row>
    <row r="197" ht="14.25" customHeight="1">
      <c r="A197" s="30"/>
      <c r="B197" s="30"/>
      <c r="D197" s="66"/>
      <c r="E197" s="66"/>
      <c r="F197" s="66"/>
      <c r="G197" s="66"/>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row>
    <row r="198" ht="14.25" customHeight="1">
      <c r="A198" s="30"/>
      <c r="B198" s="30"/>
      <c r="D198" s="66"/>
      <c r="E198" s="66"/>
      <c r="F198" s="66"/>
      <c r="G198" s="66"/>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row>
    <row r="199" ht="14.25" customHeight="1">
      <c r="A199" s="30"/>
      <c r="B199" s="30"/>
      <c r="D199" s="66"/>
      <c r="E199" s="66"/>
      <c r="F199" s="66"/>
      <c r="G199" s="66"/>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row>
    <row r="200" ht="14.25" customHeight="1">
      <c r="A200" s="30"/>
      <c r="B200" s="30"/>
      <c r="D200" s="66"/>
      <c r="E200" s="66"/>
      <c r="F200" s="66"/>
      <c r="G200" s="66"/>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row>
    <row r="201" ht="14.25" customHeight="1">
      <c r="A201" s="30"/>
      <c r="B201" s="30"/>
      <c r="D201" s="66"/>
      <c r="E201" s="66"/>
      <c r="F201" s="66"/>
      <c r="G201" s="66"/>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row>
    <row r="202" ht="14.25" customHeight="1">
      <c r="A202" s="30"/>
      <c r="B202" s="30"/>
      <c r="D202" s="66"/>
      <c r="E202" s="66"/>
      <c r="F202" s="66"/>
      <c r="G202" s="66"/>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row>
    <row r="203" ht="14.25" customHeight="1">
      <c r="A203" s="30"/>
      <c r="B203" s="30"/>
      <c r="D203" s="66"/>
      <c r="E203" s="66"/>
      <c r="F203" s="66"/>
      <c r="G203" s="66"/>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row>
    <row r="204" ht="14.25" customHeight="1">
      <c r="A204" s="30"/>
      <c r="B204" s="30"/>
      <c r="D204" s="66"/>
      <c r="E204" s="66"/>
      <c r="F204" s="66"/>
      <c r="G204" s="66"/>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row>
    <row r="205" ht="14.25" customHeight="1">
      <c r="A205" s="30"/>
      <c r="B205" s="30"/>
      <c r="D205" s="66"/>
      <c r="E205" s="66"/>
      <c r="F205" s="66"/>
      <c r="G205" s="66"/>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row>
    <row r="206" ht="14.25" customHeight="1">
      <c r="A206" s="30"/>
      <c r="B206" s="30"/>
      <c r="D206" s="66"/>
      <c r="E206" s="66"/>
      <c r="F206" s="66"/>
      <c r="G206" s="66"/>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row>
    <row r="207" ht="14.25" customHeight="1">
      <c r="A207" s="30"/>
      <c r="B207" s="30"/>
      <c r="D207" s="66"/>
      <c r="E207" s="66"/>
      <c r="F207" s="66"/>
      <c r="G207" s="66"/>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row>
    <row r="208" ht="14.25" customHeight="1">
      <c r="A208" s="30"/>
      <c r="B208" s="30"/>
      <c r="D208" s="66"/>
      <c r="E208" s="66"/>
      <c r="F208" s="66"/>
      <c r="G208" s="66"/>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row>
    <row r="209" ht="14.25" customHeight="1">
      <c r="A209" s="30"/>
      <c r="B209" s="30"/>
      <c r="D209" s="66"/>
      <c r="E209" s="66"/>
      <c r="F209" s="66"/>
      <c r="G209" s="66"/>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row>
    <row r="210" ht="14.25" customHeight="1">
      <c r="A210" s="30"/>
      <c r="B210" s="30"/>
      <c r="D210" s="66"/>
      <c r="E210" s="66"/>
      <c r="F210" s="66"/>
      <c r="G210" s="66"/>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row>
    <row r="211" ht="14.25" customHeight="1">
      <c r="A211" s="30"/>
      <c r="B211" s="30"/>
      <c r="D211" s="66"/>
      <c r="E211" s="66"/>
      <c r="F211" s="66"/>
      <c r="G211" s="66"/>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row>
    <row r="212" ht="14.25" customHeight="1">
      <c r="A212" s="30"/>
      <c r="B212" s="30"/>
      <c r="D212" s="66"/>
      <c r="E212" s="66"/>
      <c r="F212" s="66"/>
      <c r="G212" s="66"/>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row>
    <row r="213" ht="14.25" customHeight="1">
      <c r="A213" s="30"/>
      <c r="B213" s="30"/>
      <c r="D213" s="66"/>
      <c r="E213" s="66"/>
      <c r="F213" s="66"/>
      <c r="G213" s="66"/>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row>
    <row r="214" ht="14.25" customHeight="1">
      <c r="A214" s="30"/>
      <c r="B214" s="30"/>
      <c r="D214" s="66"/>
      <c r="E214" s="66"/>
      <c r="F214" s="66"/>
      <c r="G214" s="66"/>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row>
    <row r="215" ht="14.25" customHeight="1">
      <c r="A215" s="30"/>
      <c r="B215" s="30"/>
      <c r="D215" s="66"/>
      <c r="E215" s="66"/>
      <c r="F215" s="66"/>
      <c r="G215" s="66"/>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row>
    <row r="216" ht="14.25" customHeight="1">
      <c r="A216" s="30"/>
      <c r="B216" s="30"/>
      <c r="D216" s="66"/>
      <c r="E216" s="66"/>
      <c r="F216" s="66"/>
      <c r="G216" s="66"/>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row>
    <row r="217" ht="14.25" customHeight="1">
      <c r="A217" s="30"/>
      <c r="B217" s="30"/>
      <c r="D217" s="66"/>
      <c r="E217" s="66"/>
      <c r="F217" s="66"/>
      <c r="G217" s="66"/>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row>
    <row r="218" ht="14.25" customHeight="1">
      <c r="A218" s="30"/>
      <c r="B218" s="30"/>
      <c r="D218" s="66"/>
      <c r="E218" s="66"/>
      <c r="F218" s="66"/>
      <c r="G218" s="66"/>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row>
    <row r="219" ht="14.25" customHeight="1">
      <c r="A219" s="30"/>
      <c r="B219" s="30"/>
      <c r="D219" s="66"/>
      <c r="E219" s="66"/>
      <c r="F219" s="66"/>
      <c r="G219" s="66"/>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row>
    <row r="220" ht="14.25" customHeight="1">
      <c r="A220" s="30"/>
      <c r="B220" s="30"/>
      <c r="D220" s="66"/>
      <c r="E220" s="66"/>
      <c r="F220" s="66"/>
      <c r="G220" s="66"/>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row>
    <row r="221" ht="14.25" customHeight="1">
      <c r="A221" s="30"/>
      <c r="B221" s="30"/>
      <c r="D221" s="66"/>
      <c r="E221" s="66"/>
      <c r="F221" s="66"/>
      <c r="G221" s="66"/>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row>
    <row r="222" ht="14.25" customHeight="1">
      <c r="A222" s="30"/>
      <c r="B222" s="30"/>
      <c r="D222" s="66"/>
      <c r="E222" s="66"/>
      <c r="F222" s="66"/>
      <c r="G222" s="66"/>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row>
    <row r="223" ht="14.25" customHeight="1">
      <c r="A223" s="30"/>
      <c r="B223" s="30"/>
      <c r="D223" s="66"/>
      <c r="E223" s="66"/>
      <c r="F223" s="66"/>
      <c r="G223" s="66"/>
      <c r="L223" s="90"/>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row>
    <row r="224" ht="14.25" customHeight="1">
      <c r="A224" s="30"/>
      <c r="B224" s="30"/>
      <c r="D224" s="66"/>
      <c r="E224" s="66"/>
      <c r="F224" s="66"/>
      <c r="G224" s="66"/>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row>
    <row r="225" ht="14.25" customHeight="1">
      <c r="A225" s="30"/>
      <c r="B225" s="30"/>
      <c r="D225" s="66"/>
      <c r="E225" s="66"/>
      <c r="F225" s="66"/>
      <c r="G225" s="66"/>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row>
    <row r="226" ht="14.25" customHeight="1">
      <c r="A226" s="30"/>
      <c r="B226" s="30"/>
      <c r="D226" s="66"/>
      <c r="E226" s="66"/>
      <c r="F226" s="66"/>
      <c r="G226" s="66"/>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row>
    <row r="227" ht="14.25" customHeight="1">
      <c r="A227" s="30"/>
      <c r="B227" s="30"/>
      <c r="D227" s="66"/>
      <c r="E227" s="66"/>
      <c r="F227" s="66"/>
      <c r="G227" s="66"/>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row>
    <row r="228" ht="14.25" customHeight="1">
      <c r="A228" s="30"/>
      <c r="B228" s="30"/>
      <c r="D228" s="66"/>
      <c r="E228" s="66"/>
      <c r="F228" s="66"/>
      <c r="G228" s="66"/>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row>
    <row r="229" ht="14.25" customHeight="1">
      <c r="A229" s="30"/>
      <c r="B229" s="30"/>
      <c r="D229" s="66"/>
      <c r="E229" s="66"/>
      <c r="F229" s="66"/>
      <c r="G229" s="66"/>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row>
    <row r="230" ht="14.25" customHeight="1">
      <c r="A230" s="30"/>
      <c r="B230" s="30"/>
      <c r="D230" s="66"/>
      <c r="E230" s="66"/>
      <c r="F230" s="66"/>
      <c r="G230" s="66"/>
      <c r="L230" s="90"/>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row>
    <row r="231" ht="14.25" customHeight="1">
      <c r="A231" s="30"/>
      <c r="B231" s="30"/>
      <c r="D231" s="66"/>
      <c r="E231" s="66"/>
      <c r="F231" s="66"/>
      <c r="G231" s="66"/>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row>
    <row r="232" ht="14.25" customHeight="1">
      <c r="A232" s="30"/>
      <c r="B232" s="30"/>
      <c r="D232" s="66"/>
      <c r="E232" s="66"/>
      <c r="F232" s="66"/>
      <c r="G232" s="66"/>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row>
    <row r="233" ht="14.25" customHeight="1">
      <c r="A233" s="30"/>
      <c r="B233" s="30"/>
      <c r="D233" s="66"/>
      <c r="E233" s="66"/>
      <c r="F233" s="66"/>
      <c r="G233" s="66"/>
      <c r="L233" s="90"/>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row>
    <row r="234" ht="14.25" customHeight="1">
      <c r="A234" s="30"/>
      <c r="B234" s="30"/>
      <c r="D234" s="66"/>
      <c r="E234" s="66"/>
      <c r="F234" s="66"/>
      <c r="G234" s="66"/>
      <c r="L234" s="90"/>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row>
    <row r="235" ht="14.25" customHeight="1">
      <c r="A235" s="30"/>
      <c r="B235" s="30"/>
      <c r="D235" s="66"/>
      <c r="E235" s="66"/>
      <c r="F235" s="66"/>
      <c r="G235" s="66"/>
      <c r="L235" s="90"/>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row>
    <row r="236" ht="14.25" customHeight="1">
      <c r="A236" s="30"/>
      <c r="B236" s="30"/>
      <c r="D236" s="66"/>
      <c r="E236" s="66"/>
      <c r="F236" s="66"/>
      <c r="G236" s="66"/>
      <c r="L236" s="90"/>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row>
    <row r="237" ht="14.25" customHeight="1">
      <c r="A237" s="30"/>
      <c r="B237" s="30"/>
      <c r="D237" s="66"/>
      <c r="E237" s="66"/>
      <c r="F237" s="66"/>
      <c r="G237" s="66"/>
      <c r="L237" s="90"/>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row>
    <row r="238" ht="14.25" customHeight="1">
      <c r="A238" s="30"/>
      <c r="B238" s="30"/>
      <c r="D238" s="66"/>
      <c r="E238" s="66"/>
      <c r="F238" s="66"/>
      <c r="G238" s="66"/>
      <c r="L238" s="90"/>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2">
    <mergeCell ref="H34:I34"/>
    <mergeCell ref="H35:I35"/>
    <mergeCell ref="H36:I36"/>
    <mergeCell ref="J36:K36"/>
    <mergeCell ref="H37:I37"/>
    <mergeCell ref="J37:K37"/>
    <mergeCell ref="H38:I38"/>
    <mergeCell ref="J38:K38"/>
    <mergeCell ref="C35:D35"/>
    <mergeCell ref="C36:D36"/>
    <mergeCell ref="E36:F36"/>
    <mergeCell ref="C37:D37"/>
    <mergeCell ref="E37:F37"/>
    <mergeCell ref="C38:D38"/>
    <mergeCell ref="E38:F38"/>
    <mergeCell ref="C32:D32"/>
    <mergeCell ref="H32:I32"/>
    <mergeCell ref="C34:D34"/>
    <mergeCell ref="E34:F34"/>
    <mergeCell ref="J34:K34"/>
    <mergeCell ref="E35:F35"/>
    <mergeCell ref="J35:K35"/>
    <mergeCell ref="C1:D2"/>
    <mergeCell ref="C4:E4"/>
    <mergeCell ref="D6:K8"/>
    <mergeCell ref="C7:C8"/>
    <mergeCell ref="C9:K9"/>
    <mergeCell ref="C11:E11"/>
    <mergeCell ref="M11:S11"/>
    <mergeCell ref="E13:K13"/>
    <mergeCell ref="E14:K14"/>
    <mergeCell ref="E15:K15"/>
    <mergeCell ref="E16:K16"/>
    <mergeCell ref="C17:E17"/>
    <mergeCell ref="H17:I17"/>
    <mergeCell ref="J17:K17"/>
    <mergeCell ref="E26:F26"/>
    <mergeCell ref="H26:I26"/>
    <mergeCell ref="J26:K26"/>
    <mergeCell ref="D19:F19"/>
    <mergeCell ref="D20:F20"/>
    <mergeCell ref="D21:F21"/>
    <mergeCell ref="D22:F22"/>
    <mergeCell ref="C24:D24"/>
    <mergeCell ref="H24:I24"/>
    <mergeCell ref="C26:D26"/>
    <mergeCell ref="C27:D27"/>
    <mergeCell ref="E27:F27"/>
    <mergeCell ref="H27:I27"/>
    <mergeCell ref="J27:K27"/>
    <mergeCell ref="E28:F28"/>
    <mergeCell ref="H28:I28"/>
    <mergeCell ref="J28:K28"/>
    <mergeCell ref="H30:I30"/>
    <mergeCell ref="J30:K30"/>
    <mergeCell ref="C28:D28"/>
    <mergeCell ref="C29:D29"/>
    <mergeCell ref="E29:F29"/>
    <mergeCell ref="H29:I29"/>
    <mergeCell ref="J29:K29"/>
    <mergeCell ref="C30:D30"/>
    <mergeCell ref="E30:F30"/>
  </mergeCells>
  <conditionalFormatting sqref="C6 C9">
    <cfRule type="expression" dxfId="6" priority="1">
      <formula>$C$7&gt;=1</formula>
    </cfRule>
  </conditionalFormatting>
  <conditionalFormatting sqref="C6 C9">
    <cfRule type="expression" dxfId="7" priority="2">
      <formula>$C$7&gt;=0.3</formula>
    </cfRule>
  </conditionalFormatting>
  <conditionalFormatting sqref="C6 C9">
    <cfRule type="expression" dxfId="8" priority="3">
      <formula>AND($C$7&lt;=0.29,$C$7&gt;=-0.29)</formula>
    </cfRule>
  </conditionalFormatting>
  <conditionalFormatting sqref="C6 C9">
    <cfRule type="expression" dxfId="9" priority="4">
      <formula>$C$7&lt;=-1</formula>
    </cfRule>
  </conditionalFormatting>
  <conditionalFormatting sqref="C6 C9">
    <cfRule type="expression" dxfId="10" priority="5">
      <formula>$C$7&lt;=-0.3</formula>
    </cfRule>
  </conditionalFormatting>
  <conditionalFormatting sqref="C7">
    <cfRule type="cellIs" dxfId="6" priority="6" operator="greaterThanOrEqual">
      <formula>1</formula>
    </cfRule>
  </conditionalFormatting>
  <conditionalFormatting sqref="C7">
    <cfRule type="cellIs" dxfId="7" priority="7" operator="greaterThanOrEqual">
      <formula>0.3</formula>
    </cfRule>
  </conditionalFormatting>
  <conditionalFormatting sqref="C7">
    <cfRule type="cellIs" dxfId="8" priority="8" operator="between">
      <formula>-0.29</formula>
      <formula>0.29</formula>
    </cfRule>
  </conditionalFormatting>
  <conditionalFormatting sqref="C7">
    <cfRule type="cellIs" dxfId="9" priority="9" operator="lessThanOrEqual">
      <formula>-1</formula>
    </cfRule>
  </conditionalFormatting>
  <conditionalFormatting sqref="C7">
    <cfRule type="cellIs" dxfId="10" priority="10" operator="lessThanOrEqual">
      <formula>-0.3</formula>
    </cfRule>
  </conditionalFormatting>
  <printOptions verticalCentered="1"/>
  <pageMargins bottom="0.7480314960629921" footer="0.0" header="0.0" left="0.2362204724409449" right="0.2362204724409449" top="0.7480314960629921"/>
  <pageSetup paperSize="9" orientation="landscape"/>
  <rowBreaks count="1" manualBreakCount="1">
    <brk id="22" man="1"/>
  </rowBreak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4.29"/>
    <col customWidth="1" min="3" max="7" width="25.71"/>
    <col customWidth="1" min="8" max="8" width="18.43"/>
    <col customWidth="1" min="9" max="9" width="27.29"/>
    <col customWidth="1" min="10" max="10" width="19.43"/>
    <col customWidth="1" min="11" max="11" width="27.29"/>
    <col customWidth="1" min="12" max="12" width="19.43"/>
    <col customWidth="1" min="13" max="19" width="8.71"/>
    <col customWidth="1" min="20" max="20" width="9.29"/>
    <col customWidth="1" hidden="1" min="21" max="48" width="9.29"/>
    <col customWidth="1" min="49" max="56" width="14.43"/>
  </cols>
  <sheetData>
    <row r="1" ht="51.0" customHeight="1">
      <c r="A1" s="30"/>
      <c r="B1" s="32"/>
      <c r="C1" s="31"/>
      <c r="D1" s="78"/>
      <c r="E1" s="32"/>
      <c r="F1" s="32"/>
      <c r="G1" s="33"/>
      <c r="H1" s="33"/>
      <c r="I1" s="34"/>
      <c r="J1" s="34"/>
      <c r="K1" s="34"/>
      <c r="L1" s="34"/>
      <c r="M1" s="34"/>
      <c r="N1" s="34"/>
      <c r="O1" s="34"/>
      <c r="P1" s="34"/>
      <c r="Q1" s="34"/>
      <c r="R1" s="34"/>
      <c r="S1" s="34"/>
      <c r="T1" s="34"/>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row>
    <row r="2" ht="24.0" customHeight="1">
      <c r="A2" s="36"/>
      <c r="B2" s="32"/>
      <c r="C2" s="78"/>
      <c r="D2" s="78"/>
      <c r="E2" s="32"/>
      <c r="F2" s="32"/>
      <c r="G2" s="33"/>
      <c r="H2" s="33"/>
      <c r="I2" s="34"/>
      <c r="J2" s="34"/>
      <c r="K2" s="34"/>
      <c r="L2" s="34"/>
      <c r="M2" s="34"/>
      <c r="N2" s="34"/>
      <c r="O2" s="34"/>
      <c r="P2" s="34"/>
      <c r="Q2" s="34"/>
      <c r="R2" s="34"/>
      <c r="S2" s="34"/>
      <c r="T2" s="34"/>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row>
    <row r="3" ht="66.75" customHeight="1">
      <c r="A3" s="30"/>
      <c r="B3" s="30"/>
      <c r="C3" s="35">
        <f t="array" ref="C3">SUM(IFERROR(1/COUNTIF('Planos de Ação - FxO'!$D$8:$D$107,'Planos de Ação - FxO'!$D$8:$D$107),0))</f>
        <v>0</v>
      </c>
      <c r="D3" s="35">
        <f>20-COUNTBLANK('Matriz SWOT'!J5:J24)</f>
        <v>0</v>
      </c>
      <c r="E3" s="55" t="str">
        <f>C3/D3*100</f>
        <v>#DIV/0!</v>
      </c>
      <c r="F3" s="35" t="str">
        <f>IF(E3&lt;50,G3,IF(E3&gt;=80,I3,H3))</f>
        <v>#DIV/0!</v>
      </c>
      <c r="G3" s="35" t="s">
        <v>274</v>
      </c>
      <c r="H3" s="35" t="s">
        <v>275</v>
      </c>
      <c r="I3" s="30" t="s">
        <v>276</v>
      </c>
      <c r="J3" s="30"/>
      <c r="K3" s="30"/>
      <c r="L3" s="30"/>
      <c r="M3" s="30"/>
      <c r="N3" s="30"/>
      <c r="O3" s="30"/>
      <c r="P3" s="30"/>
      <c r="Q3" s="30"/>
      <c r="R3" s="30" t="s">
        <v>277</v>
      </c>
      <c r="S3" s="30">
        <f>COUNTIF('Planos de Ação - FxO'!$I$8:$I$107,"&gt;"&amp;TODAY())</f>
        <v>0</v>
      </c>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row>
    <row r="4" ht="26.25" customHeight="1">
      <c r="A4" s="30"/>
      <c r="C4" s="289" t="s">
        <v>278</v>
      </c>
      <c r="E4" s="64"/>
      <c r="I4" s="30"/>
      <c r="J4" s="30"/>
      <c r="K4" s="30"/>
      <c r="L4" s="30"/>
      <c r="M4" s="30"/>
      <c r="N4" s="30"/>
      <c r="O4" s="30"/>
      <c r="P4" s="30"/>
      <c r="Q4" s="30"/>
      <c r="R4" s="30" t="s">
        <v>279</v>
      </c>
      <c r="S4" s="30">
        <f>S11</f>
        <v>0</v>
      </c>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row>
    <row r="5" ht="54.75" customHeight="1">
      <c r="A5" s="30"/>
      <c r="C5" s="299" t="str">
        <f>"Você definiu planos de ação para "&amp;C3&amp;" de "&amp;D3&amp;" dos principais itens da sua SWOT"</f>
        <v>Você definiu planos de ação para 0 de 0 dos principais itens da sua SWOT</v>
      </c>
      <c r="D5" s="72"/>
      <c r="E5" s="300">
        <f>IF(ISERROR(E3/100),0,E3/100)</f>
        <v>0</v>
      </c>
      <c r="F5" s="301" t="str">
        <f>IF(ISERROR(F3),"",F3)</f>
        <v/>
      </c>
      <c r="G5" s="61"/>
      <c r="H5" s="72"/>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row>
    <row r="6" ht="7.5" customHeight="1">
      <c r="A6" s="30"/>
      <c r="E6" s="302"/>
      <c r="G6" s="90"/>
      <c r="H6" s="90"/>
      <c r="I6" s="30"/>
      <c r="J6" s="30"/>
      <c r="K6" s="30">
        <v>5.0</v>
      </c>
      <c r="L6" s="30">
        <v>6.0</v>
      </c>
      <c r="M6" s="30">
        <v>8.0</v>
      </c>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row>
    <row r="7" ht="30.0" customHeight="1">
      <c r="A7" s="30"/>
      <c r="C7" s="289" t="s">
        <v>280</v>
      </c>
      <c r="E7" s="268"/>
      <c r="F7" s="289" t="s">
        <v>281</v>
      </c>
      <c r="H7" s="268"/>
      <c r="I7" s="303"/>
      <c r="J7" s="30">
        <v>1.0</v>
      </c>
      <c r="K7" s="30" t="str">
        <f t="shared" ref="K7:M7" si="1">VLOOKUP(LARGE($K$15:$K$34,$J7),$K$15:$R$34,K$6,FALSE)</f>
        <v>#REF!</v>
      </c>
      <c r="L7" s="30" t="str">
        <f t="shared" si="1"/>
        <v>#REF!</v>
      </c>
      <c r="M7" s="30" t="str">
        <f t="shared" si="1"/>
        <v>#REF!</v>
      </c>
      <c r="N7" s="30"/>
      <c r="O7" s="30"/>
      <c r="P7" s="30"/>
      <c r="Q7" s="30"/>
      <c r="R7" s="30" t="s">
        <v>282</v>
      </c>
      <c r="S7" s="30">
        <f>COUNTIF('Planos de Ação - FxO'!$K$8:$K$107,GPA!R7)</f>
        <v>0</v>
      </c>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row>
    <row r="8" ht="7.5" customHeight="1">
      <c r="A8" s="30"/>
      <c r="I8" s="30"/>
      <c r="J8" s="30">
        <v>2.0</v>
      </c>
      <c r="K8" s="30" t="str">
        <f t="shared" ref="K8:M8" si="2">VLOOKUP(LARGE($K$15:$K$34,$J8),$K$15:$R$34,K$6,FALSE)</f>
        <v>#REF!</v>
      </c>
      <c r="L8" s="30" t="str">
        <f t="shared" si="2"/>
        <v>#REF!</v>
      </c>
      <c r="M8" s="30" t="str">
        <f t="shared" si="2"/>
        <v>#REF!</v>
      </c>
      <c r="N8" s="30"/>
      <c r="O8" s="30"/>
      <c r="P8" s="30"/>
      <c r="Q8" s="30"/>
      <c r="R8" s="30" t="s">
        <v>283</v>
      </c>
      <c r="S8" s="30">
        <f>COUNTIF('Planos de Ação - FxO'!$K$8:$K$107,GPA!R8)</f>
        <v>0</v>
      </c>
      <c r="T8" s="30"/>
      <c r="U8" s="30" t="s">
        <v>218</v>
      </c>
      <c r="V8" s="30" t="s">
        <v>219</v>
      </c>
      <c r="W8" s="30" t="s">
        <v>220</v>
      </c>
      <c r="X8" s="30" t="s">
        <v>221</v>
      </c>
      <c r="Y8" s="30" t="s">
        <v>222</v>
      </c>
      <c r="Z8" s="30" t="s">
        <v>223</v>
      </c>
      <c r="AA8" s="30" t="s">
        <v>224</v>
      </c>
      <c r="AB8" s="30" t="s">
        <v>225</v>
      </c>
      <c r="AC8" s="30" t="s">
        <v>226</v>
      </c>
      <c r="AD8" s="30" t="s">
        <v>227</v>
      </c>
      <c r="AE8" s="30" t="s">
        <v>228</v>
      </c>
      <c r="AF8" s="30" t="s">
        <v>229</v>
      </c>
      <c r="AG8" s="30" t="s">
        <v>218</v>
      </c>
      <c r="AH8" s="30" t="s">
        <v>219</v>
      </c>
      <c r="AI8" s="30" t="s">
        <v>220</v>
      </c>
      <c r="AJ8" s="30" t="s">
        <v>221</v>
      </c>
      <c r="AK8" s="30" t="s">
        <v>222</v>
      </c>
      <c r="AL8" s="30" t="s">
        <v>223</v>
      </c>
      <c r="AM8" s="30" t="s">
        <v>224</v>
      </c>
      <c r="AN8" s="30" t="s">
        <v>225</v>
      </c>
      <c r="AO8" s="30" t="s">
        <v>226</v>
      </c>
      <c r="AP8" s="30" t="s">
        <v>227</v>
      </c>
      <c r="AQ8" s="30" t="s">
        <v>228</v>
      </c>
      <c r="AR8" s="30" t="s">
        <v>229</v>
      </c>
      <c r="AS8" s="30" t="s">
        <v>218</v>
      </c>
      <c r="AT8" s="30" t="s">
        <v>219</v>
      </c>
      <c r="AU8" s="30" t="s">
        <v>220</v>
      </c>
      <c r="AV8" s="30" t="s">
        <v>221</v>
      </c>
      <c r="AW8" s="30"/>
      <c r="AX8" s="30"/>
      <c r="AY8" s="30"/>
      <c r="AZ8" s="30"/>
      <c r="BA8" s="30"/>
      <c r="BB8" s="30"/>
      <c r="BC8" s="30"/>
      <c r="BD8" s="30"/>
    </row>
    <row r="9" ht="60.0" customHeight="1">
      <c r="A9" s="30"/>
      <c r="I9" s="30"/>
      <c r="J9" s="30">
        <v>3.0</v>
      </c>
      <c r="K9" s="30" t="str">
        <f t="shared" ref="K9:M9" si="3">VLOOKUP(LARGE($K$15:$K$34,$J9),$K$15:$R$34,K$6,FALSE)</f>
        <v>#REF!</v>
      </c>
      <c r="L9" s="30" t="str">
        <f t="shared" si="3"/>
        <v>#REF!</v>
      </c>
      <c r="M9" s="30" t="str">
        <f t="shared" si="3"/>
        <v>#REF!</v>
      </c>
      <c r="N9" s="41"/>
      <c r="O9" s="41"/>
      <c r="P9" s="41"/>
      <c r="Q9" s="30"/>
      <c r="R9" s="30" t="s">
        <v>284</v>
      </c>
      <c r="S9" s="30">
        <f>COUNTIF('Planos de Ação - FxO'!$K$8:$K$107,GPA!R9)</f>
        <v>0</v>
      </c>
      <c r="T9" s="30"/>
      <c r="U9" s="41">
        <v>1.0</v>
      </c>
      <c r="V9" s="41">
        <v>1.0</v>
      </c>
      <c r="W9" s="41">
        <v>1.0</v>
      </c>
      <c r="X9" s="41">
        <v>1.0</v>
      </c>
      <c r="Y9" s="41">
        <v>2.0</v>
      </c>
      <c r="Z9" s="41">
        <v>2.0</v>
      </c>
      <c r="AA9" s="41">
        <v>2.0</v>
      </c>
      <c r="AB9" s="41">
        <v>2.0</v>
      </c>
      <c r="AC9" s="41">
        <v>2.0</v>
      </c>
      <c r="AD9" s="41">
        <v>2.0</v>
      </c>
      <c r="AE9" s="41">
        <v>2.0</v>
      </c>
      <c r="AF9" s="41">
        <v>2.0</v>
      </c>
      <c r="AG9" s="41">
        <v>2.0</v>
      </c>
      <c r="AH9" s="41">
        <v>2.0</v>
      </c>
      <c r="AI9" s="41">
        <v>2.0</v>
      </c>
      <c r="AJ9" s="41">
        <v>2.0</v>
      </c>
      <c r="AK9" s="41">
        <v>3.0</v>
      </c>
      <c r="AL9" s="41">
        <v>3.0</v>
      </c>
      <c r="AM9" s="41">
        <v>3.0</v>
      </c>
      <c r="AN9" s="41">
        <v>3.0</v>
      </c>
      <c r="AO9" s="41">
        <v>3.0</v>
      </c>
      <c r="AP9" s="41">
        <v>3.0</v>
      </c>
      <c r="AQ9" s="41">
        <v>3.0</v>
      </c>
      <c r="AR9" s="41">
        <v>3.0</v>
      </c>
      <c r="AS9" s="41">
        <v>3.0</v>
      </c>
      <c r="AT9" s="41">
        <v>3.0</v>
      </c>
      <c r="AU9" s="41">
        <v>3.0</v>
      </c>
      <c r="AV9" s="41">
        <v>3.0</v>
      </c>
      <c r="AW9" s="30"/>
      <c r="AX9" s="30"/>
      <c r="AY9" s="30"/>
      <c r="AZ9" s="30"/>
      <c r="BA9" s="30"/>
      <c r="BB9" s="30"/>
      <c r="BC9" s="30"/>
      <c r="BD9" s="30"/>
    </row>
    <row r="10" ht="60.0" customHeight="1">
      <c r="A10" s="30"/>
      <c r="I10" s="30"/>
      <c r="J10" s="30">
        <v>4.0</v>
      </c>
      <c r="K10" s="30" t="str">
        <f t="shared" ref="K10:M10" si="4">VLOOKUP(LARGE($K$15:$K$34,$J10),$K$15:$R$34,K$6,FALSE)</f>
        <v>#REF!</v>
      </c>
      <c r="L10" s="30" t="str">
        <f t="shared" si="4"/>
        <v>#REF!</v>
      </c>
      <c r="M10" s="30" t="str">
        <f t="shared" si="4"/>
        <v>#REF!</v>
      </c>
      <c r="N10" s="30"/>
      <c r="O10" s="30"/>
      <c r="P10" s="30"/>
      <c r="Q10" s="30"/>
      <c r="R10" s="30" t="s">
        <v>285</v>
      </c>
      <c r="S10" s="30">
        <f>COUNTIF('Planos de Ação - FxO'!$K$8:$K$107,GPA!R10)</f>
        <v>0</v>
      </c>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row>
    <row r="11" ht="60.0" customHeight="1">
      <c r="A11" s="30"/>
      <c r="I11" s="30"/>
      <c r="J11" s="30">
        <v>5.0</v>
      </c>
      <c r="K11" s="30" t="str">
        <f t="shared" ref="K11:M11" si="5">VLOOKUP(LARGE($K$15:$K$34,$J11),$K$15:$R$34,K$6,FALSE)</f>
        <v>#REF!</v>
      </c>
      <c r="L11" s="30" t="str">
        <f t="shared" si="5"/>
        <v>#REF!</v>
      </c>
      <c r="M11" s="30" t="str">
        <f t="shared" si="5"/>
        <v>#REF!</v>
      </c>
      <c r="N11" s="30"/>
      <c r="O11" s="30"/>
      <c r="P11" s="30"/>
      <c r="Q11" s="30"/>
      <c r="R11" s="30" t="s">
        <v>279</v>
      </c>
      <c r="S11" s="30">
        <f>COUNTIF('Planos de Ação - FxO'!$K$8:$K$107,GPA!R11)</f>
        <v>0</v>
      </c>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row>
    <row r="12" ht="2.25" customHeight="1">
      <c r="A12" s="30"/>
      <c r="I12" s="30"/>
      <c r="J12" s="30"/>
      <c r="K12" s="30"/>
      <c r="L12" s="30"/>
      <c r="M12" s="30" t="str">
        <f t="shared" ref="M12:N12" si="6">VLOOKUP(LARGE($L$15:$L$34,$J12),$L$15:$R$34,#REF!,FALSE)</f>
        <v>#REF!</v>
      </c>
      <c r="N12" s="30" t="str">
        <f t="shared" si="6"/>
        <v>#REF!</v>
      </c>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row>
    <row r="13" ht="45.0" customHeight="1">
      <c r="A13" s="30"/>
      <c r="D13" s="66"/>
      <c r="F13" s="66"/>
      <c r="G13" s="90"/>
      <c r="H13" s="9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row>
    <row r="14" ht="34.5" customHeight="1">
      <c r="A14" s="59"/>
      <c r="C14" s="304" t="s">
        <v>286</v>
      </c>
      <c r="D14" s="256"/>
      <c r="E14" s="256"/>
      <c r="F14" s="256"/>
      <c r="G14" s="305"/>
      <c r="H14" s="305"/>
      <c r="I14" s="30"/>
      <c r="J14" s="30"/>
      <c r="K14" s="30"/>
      <c r="L14" s="30"/>
      <c r="M14" s="30"/>
      <c r="N14" s="30"/>
      <c r="O14" s="30"/>
      <c r="P14" s="30" t="s">
        <v>287</v>
      </c>
      <c r="Q14" s="30" t="s">
        <v>288</v>
      </c>
      <c r="R14" s="30" t="s">
        <v>289</v>
      </c>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row>
    <row r="15" ht="34.5" customHeight="1">
      <c r="A15" s="59"/>
      <c r="G15" s="90"/>
      <c r="H15" s="90"/>
      <c r="I15" s="30"/>
      <c r="J15" s="30"/>
      <c r="K15" s="30" t="str">
        <f t="shared" ref="K15:K34" si="7">IF(O15="","",P15+N15)</f>
        <v>#REF!</v>
      </c>
      <c r="L15" s="30" t="str">
        <f t="shared" ref="L15:L34" si="8">IF(O15="","",Q15+N15)</f>
        <v>#REF!</v>
      </c>
      <c r="M15" s="30" t="str">
        <f t="shared" ref="M15:M34" si="9">IF(O15="","",R15+N15)</f>
        <v>#REF!</v>
      </c>
      <c r="N15" s="30">
        <v>2.0E-4</v>
      </c>
      <c r="O15" s="30" t="str">
        <f t="shared" ref="O15:O34" si="10">IF(#REF!=0,"",#REF!)</f>
        <v>#REF!</v>
      </c>
      <c r="P15" s="30" t="str">
        <f>IF($O15="","",COUNTIF('Planos de Ação - FxO'!$G$8:$G$107,$O15))</f>
        <v>#REF!</v>
      </c>
      <c r="Q15" s="30" t="str">
        <f>IF($O15="","",COUNTIFS('Planos de Ação - FxO'!$G$8:$G$107,$O15,'Planos de Ação - FxO'!$K$8:$K$107,"&lt;&gt;Atrasado"))</f>
        <v>#REF!</v>
      </c>
      <c r="R15" s="30" t="str">
        <f>IF($O15="","",COUNTIFS('Planos de Ação - FxO'!$G$8:$G$107,$O15,'Planos de Ação - FxO'!$K$8:$K$107,"=Atrasado"))</f>
        <v>#REF!</v>
      </c>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row>
    <row r="16" ht="34.5" customHeight="1">
      <c r="A16" s="30"/>
      <c r="G16" s="90"/>
      <c r="H16" s="90"/>
      <c r="I16" s="30"/>
      <c r="J16" s="30"/>
      <c r="K16" s="30" t="str">
        <f t="shared" si="7"/>
        <v>#REF!</v>
      </c>
      <c r="L16" s="30" t="str">
        <f t="shared" si="8"/>
        <v>#REF!</v>
      </c>
      <c r="M16" s="30" t="str">
        <f t="shared" si="9"/>
        <v>#REF!</v>
      </c>
      <c r="N16" s="30">
        <v>1.9E-4</v>
      </c>
      <c r="O16" s="30" t="str">
        <f t="shared" si="10"/>
        <v>#REF!</v>
      </c>
      <c r="P16" s="30" t="str">
        <f>IF($O16="","",COUNTIF('Planos de Ação - FxO'!$G$8:$G$107,$O16))</f>
        <v>#REF!</v>
      </c>
      <c r="Q16" s="30" t="str">
        <f>IF($O16="","",COUNTIFS('Planos de Ação - FxO'!$G$8:$G$107,$O16,'Planos de Ação - FxO'!$K$8:$K$107,"&lt;&gt;Atrasado"))</f>
        <v>#REF!</v>
      </c>
      <c r="R16" s="30" t="str">
        <f>IF($O16="","",COUNTIFS('Planos de Ação - FxO'!$G$8:$G$107,$O16,'Planos de Ação - FxO'!$K$8:$K$107,"=Atrasado"))</f>
        <v>#REF!</v>
      </c>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row>
    <row r="17" ht="34.5" customHeight="1">
      <c r="A17" s="30"/>
      <c r="G17" s="90"/>
      <c r="H17" s="90"/>
      <c r="I17" s="30"/>
      <c r="J17" s="30"/>
      <c r="K17" s="30" t="str">
        <f t="shared" si="7"/>
        <v>#REF!</v>
      </c>
      <c r="L17" s="30" t="str">
        <f t="shared" si="8"/>
        <v>#REF!</v>
      </c>
      <c r="M17" s="30" t="str">
        <f t="shared" si="9"/>
        <v>#REF!</v>
      </c>
      <c r="N17" s="30">
        <v>1.8E-4</v>
      </c>
      <c r="O17" s="30" t="str">
        <f t="shared" si="10"/>
        <v>#REF!</v>
      </c>
      <c r="P17" s="30" t="str">
        <f>IF($O17="","",COUNTIF('Planos de Ação - FxO'!$G$8:$G$107,$O17))</f>
        <v>#REF!</v>
      </c>
      <c r="Q17" s="30" t="str">
        <f>IF($O17="","",COUNTIFS('Planos de Ação - FxO'!$G$8:$G$107,$O17,'Planos de Ação - FxO'!$K$8:$K$107,"&lt;&gt;Atrasado"))</f>
        <v>#REF!</v>
      </c>
      <c r="R17" s="30" t="str">
        <f>IF($O17="","",COUNTIFS('Planos de Ação - FxO'!$G$8:$G$107,$O17,'Planos de Ação - FxO'!$K$8:$K$107,"=Atrasado"))</f>
        <v>#REF!</v>
      </c>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row>
    <row r="18" ht="34.5" customHeight="1">
      <c r="A18" s="30"/>
      <c r="G18" s="90"/>
      <c r="H18" s="90"/>
      <c r="I18" s="30"/>
      <c r="J18" s="30"/>
      <c r="K18" s="30" t="str">
        <f t="shared" si="7"/>
        <v>#REF!</v>
      </c>
      <c r="L18" s="30" t="str">
        <f t="shared" si="8"/>
        <v>#REF!</v>
      </c>
      <c r="M18" s="30" t="str">
        <f t="shared" si="9"/>
        <v>#REF!</v>
      </c>
      <c r="N18" s="30">
        <v>1.7E-4</v>
      </c>
      <c r="O18" s="30" t="str">
        <f t="shared" si="10"/>
        <v>#REF!</v>
      </c>
      <c r="P18" s="30" t="str">
        <f>IF($O18="","",COUNTIF('Planos de Ação - FxO'!$G$8:$G$107,$O18))</f>
        <v>#REF!</v>
      </c>
      <c r="Q18" s="30" t="str">
        <f>IF($O18="","",COUNTIFS('Planos de Ação - FxO'!$G$8:$G$107,$O18,'Planos de Ação - FxO'!$K$8:$K$107,"&lt;&gt;Atrasado"))</f>
        <v>#REF!</v>
      </c>
      <c r="R18" s="30" t="str">
        <f>IF($O18="","",COUNTIFS('Planos de Ação - FxO'!$G$8:$G$107,$O18,'Planos de Ação - FxO'!$K$8:$K$107,"=Atrasado"))</f>
        <v>#REF!</v>
      </c>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row>
    <row r="19" ht="34.5" customHeight="1">
      <c r="A19" s="30"/>
      <c r="G19" s="90"/>
      <c r="H19" s="90"/>
      <c r="I19" s="30"/>
      <c r="J19" s="30"/>
      <c r="K19" s="30" t="str">
        <f t="shared" si="7"/>
        <v>#REF!</v>
      </c>
      <c r="L19" s="30" t="str">
        <f t="shared" si="8"/>
        <v>#REF!</v>
      </c>
      <c r="M19" s="30" t="str">
        <f t="shared" si="9"/>
        <v>#REF!</v>
      </c>
      <c r="N19" s="30">
        <v>1.6E-4</v>
      </c>
      <c r="O19" s="30" t="str">
        <f t="shared" si="10"/>
        <v>#REF!</v>
      </c>
      <c r="P19" s="30" t="str">
        <f>IF($O19="","",COUNTIF('Planos de Ação - FxO'!$G$8:$G$107,$O19))</f>
        <v>#REF!</v>
      </c>
      <c r="Q19" s="30" t="str">
        <f>IF($O19="","",COUNTIFS('Planos de Ação - FxO'!$G$8:$G$107,$O19,'Planos de Ação - FxO'!$K$8:$K$107,"&lt;&gt;Atrasado"))</f>
        <v>#REF!</v>
      </c>
      <c r="R19" s="30" t="str">
        <f>IF($O19="","",COUNTIFS('Planos de Ação - FxO'!$G$8:$G$107,$O19,'Planos de Ação - FxO'!$K$8:$K$107,"=Atrasado"))</f>
        <v>#REF!</v>
      </c>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row>
    <row r="20" ht="34.5" customHeight="1">
      <c r="A20" s="30"/>
      <c r="G20" s="90"/>
      <c r="H20" s="90"/>
      <c r="I20" s="30"/>
      <c r="J20" s="30"/>
      <c r="K20" s="30" t="str">
        <f t="shared" si="7"/>
        <v>#REF!</v>
      </c>
      <c r="L20" s="30" t="str">
        <f t="shared" si="8"/>
        <v>#REF!</v>
      </c>
      <c r="M20" s="30" t="str">
        <f t="shared" si="9"/>
        <v>#REF!</v>
      </c>
      <c r="N20" s="30">
        <v>1.5E-4</v>
      </c>
      <c r="O20" s="30" t="str">
        <f t="shared" si="10"/>
        <v>#REF!</v>
      </c>
      <c r="P20" s="30" t="str">
        <f>IF($O20="","",COUNTIF('Planos de Ação - FxO'!$G$8:$G$107,$O20))</f>
        <v>#REF!</v>
      </c>
      <c r="Q20" s="30" t="str">
        <f>IF($O20="","",COUNTIFS('Planos de Ação - FxO'!$G$8:$G$107,$O20,'Planos de Ação - FxO'!$K$8:$K$107,"&lt;&gt;Atrasado"))</f>
        <v>#REF!</v>
      </c>
      <c r="R20" s="30" t="str">
        <f>IF($O20="","",COUNTIFS('Planos de Ação - FxO'!$G$8:$G$107,$O20,'Planos de Ação - FxO'!$K$8:$K$107,"=Atrasado"))</f>
        <v>#REF!</v>
      </c>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row>
    <row r="21" ht="34.5" customHeight="1">
      <c r="A21" s="30"/>
      <c r="G21" s="90"/>
      <c r="H21" s="90"/>
      <c r="I21" s="30"/>
      <c r="J21" s="30"/>
      <c r="K21" s="30" t="str">
        <f t="shared" si="7"/>
        <v>#REF!</v>
      </c>
      <c r="L21" s="30" t="str">
        <f t="shared" si="8"/>
        <v>#REF!</v>
      </c>
      <c r="M21" s="30" t="str">
        <f t="shared" si="9"/>
        <v>#REF!</v>
      </c>
      <c r="N21" s="30">
        <v>1.4E-4</v>
      </c>
      <c r="O21" s="30" t="str">
        <f t="shared" si="10"/>
        <v>#REF!</v>
      </c>
      <c r="P21" s="30" t="str">
        <f>IF($O21="","",COUNTIF('Planos de Ação - FxO'!$G$8:$G$107,$O21))</f>
        <v>#REF!</v>
      </c>
      <c r="Q21" s="30" t="str">
        <f>IF($O21="","",COUNTIFS('Planos de Ação - FxO'!$G$8:$G$107,$O21,'Planos de Ação - FxO'!$K$8:$K$107,"&lt;&gt;Atrasado"))</f>
        <v>#REF!</v>
      </c>
      <c r="R21" s="30" t="str">
        <f>IF($O21="","",COUNTIFS('Planos de Ação - FxO'!$G$8:$G$107,$O21,'Planos de Ação - FxO'!$K$8:$K$107,"=Atrasado"))</f>
        <v>#REF!</v>
      </c>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row>
    <row r="22" ht="34.5" customHeight="1">
      <c r="A22" s="30"/>
      <c r="B22" s="30"/>
      <c r="C22" s="306"/>
      <c r="D22" s="307"/>
      <c r="E22" s="307"/>
      <c r="F22" s="30"/>
      <c r="G22" s="35"/>
      <c r="H22" s="35"/>
      <c r="I22" s="30"/>
      <c r="J22" s="30"/>
      <c r="K22" s="30" t="str">
        <f t="shared" si="7"/>
        <v>#REF!</v>
      </c>
      <c r="L22" s="30" t="str">
        <f t="shared" si="8"/>
        <v>#REF!</v>
      </c>
      <c r="M22" s="30" t="str">
        <f t="shared" si="9"/>
        <v>#REF!</v>
      </c>
      <c r="N22" s="30">
        <v>1.3E-4</v>
      </c>
      <c r="O22" s="30" t="str">
        <f t="shared" si="10"/>
        <v>#REF!</v>
      </c>
      <c r="P22" s="30" t="str">
        <f>IF($O22="","",COUNTIF('Planos de Ação - FxO'!$G$8:$G$107,$O22))</f>
        <v>#REF!</v>
      </c>
      <c r="Q22" s="30" t="str">
        <f>IF($O22="","",COUNTIFS('Planos de Ação - FxO'!$G$8:$G$107,$O22,'Planos de Ação - FxO'!$K$8:$K$107,"&lt;&gt;Atrasado"))</f>
        <v>#REF!</v>
      </c>
      <c r="R22" s="30" t="str">
        <f>IF($O22="","",COUNTIFS('Planos de Ação - FxO'!$G$8:$G$107,$O22,'Planos de Ação - FxO'!$K$8:$K$107,"=Atrasado"))</f>
        <v>#REF!</v>
      </c>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row>
    <row r="23" ht="34.5" customHeight="1">
      <c r="A23" s="59"/>
      <c r="B23" s="30"/>
      <c r="C23" s="30"/>
      <c r="D23" s="30"/>
      <c r="E23" s="30"/>
      <c r="F23" s="30"/>
      <c r="G23" s="35"/>
      <c r="H23" s="35"/>
      <c r="I23" s="30"/>
      <c r="J23" s="30"/>
      <c r="K23" s="30" t="str">
        <f t="shared" si="7"/>
        <v>#REF!</v>
      </c>
      <c r="L23" s="30" t="str">
        <f t="shared" si="8"/>
        <v>#REF!</v>
      </c>
      <c r="M23" s="30" t="str">
        <f t="shared" si="9"/>
        <v>#REF!</v>
      </c>
      <c r="N23" s="30">
        <v>1.2E-4</v>
      </c>
      <c r="O23" s="30" t="str">
        <f t="shared" si="10"/>
        <v>#REF!</v>
      </c>
      <c r="P23" s="30" t="str">
        <f>IF($O23="","",COUNTIF('Planos de Ação - FxO'!$G$8:$G$107,$O23))</f>
        <v>#REF!</v>
      </c>
      <c r="Q23" s="30" t="str">
        <f>IF($O23="","",COUNTIFS('Planos de Ação - FxO'!$G$8:$G$107,$O23,'Planos de Ação - FxO'!$K$8:$K$107,"&lt;&gt;Atrasado"))</f>
        <v>#REF!</v>
      </c>
      <c r="R23" s="30" t="str">
        <f>IF($O23="","",COUNTIFS('Planos de Ação - FxO'!$G$8:$G$107,$O23,'Planos de Ação - FxO'!$K$8:$K$107,"=Atrasado"))</f>
        <v>#REF!</v>
      </c>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row>
    <row r="24" ht="34.5" customHeight="1">
      <c r="A24" s="59"/>
      <c r="B24" s="30"/>
      <c r="C24" s="30"/>
      <c r="D24" s="30"/>
      <c r="E24" s="30"/>
      <c r="F24" s="30"/>
      <c r="G24" s="35"/>
      <c r="H24" s="35"/>
      <c r="I24" s="30"/>
      <c r="J24" s="30"/>
      <c r="K24" s="30" t="str">
        <f t="shared" si="7"/>
        <v>#REF!</v>
      </c>
      <c r="L24" s="30" t="str">
        <f t="shared" si="8"/>
        <v>#REF!</v>
      </c>
      <c r="M24" s="30" t="str">
        <f t="shared" si="9"/>
        <v>#REF!</v>
      </c>
      <c r="N24" s="30">
        <v>1.1E-4</v>
      </c>
      <c r="O24" s="30" t="str">
        <f t="shared" si="10"/>
        <v>#REF!</v>
      </c>
      <c r="P24" s="30" t="str">
        <f>IF($O24="","",COUNTIF('Planos de Ação - FxO'!$G$8:$G$107,$O24))</f>
        <v>#REF!</v>
      </c>
      <c r="Q24" s="30" t="str">
        <f>IF($O24="","",COUNTIFS('Planos de Ação - FxO'!$G$8:$G$107,$O24,'Planos de Ação - FxO'!$K$8:$K$107,"&lt;&gt;Atrasado"))</f>
        <v>#REF!</v>
      </c>
      <c r="R24" s="30" t="str">
        <f>IF($O24="","",COUNTIFS('Planos de Ação - FxO'!$G$8:$G$107,$O24,'Planos de Ação - FxO'!$K$8:$K$107,"=Atrasado"))</f>
        <v>#REF!</v>
      </c>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row>
    <row r="25" ht="34.5" customHeight="1">
      <c r="A25" s="30"/>
      <c r="B25" s="30"/>
      <c r="C25" s="30"/>
      <c r="D25" s="30"/>
      <c r="E25" s="30"/>
      <c r="F25" s="30"/>
      <c r="G25" s="35"/>
      <c r="H25" s="35"/>
      <c r="I25" s="30"/>
      <c r="J25" s="30"/>
      <c r="K25" s="30" t="str">
        <f t="shared" si="7"/>
        <v>#REF!</v>
      </c>
      <c r="L25" s="30" t="str">
        <f t="shared" si="8"/>
        <v>#REF!</v>
      </c>
      <c r="M25" s="30" t="str">
        <f t="shared" si="9"/>
        <v>#REF!</v>
      </c>
      <c r="N25" s="30">
        <v>1.0E-4</v>
      </c>
      <c r="O25" s="30" t="str">
        <f t="shared" si="10"/>
        <v>#REF!</v>
      </c>
      <c r="P25" s="30" t="str">
        <f>IF($O25="","",COUNTIF('Planos de Ação - FxO'!$G$8:$G$107,$O25))</f>
        <v>#REF!</v>
      </c>
      <c r="Q25" s="30" t="str">
        <f>IF($O25="","",COUNTIFS('Planos de Ação - FxO'!$G$8:$G$107,$O25,'Planos de Ação - FxO'!$K$8:$K$107,"&lt;&gt;Atrasado"))</f>
        <v>#REF!</v>
      </c>
      <c r="R25" s="30" t="str">
        <f>IF($O25="","",COUNTIFS('Planos de Ação - FxO'!$G$8:$G$107,$O25,'Planos de Ação - FxO'!$K$8:$K$107,"=Atrasado"))</f>
        <v>#REF!</v>
      </c>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row>
    <row r="26" ht="34.5" customHeight="1">
      <c r="A26" s="30"/>
      <c r="B26" s="30"/>
      <c r="C26" s="30"/>
      <c r="D26" s="30"/>
      <c r="E26" s="30"/>
      <c r="F26" s="30"/>
      <c r="G26" s="35"/>
      <c r="H26" s="35"/>
      <c r="I26" s="30"/>
      <c r="J26" s="30"/>
      <c r="K26" s="30" t="str">
        <f t="shared" si="7"/>
        <v>#REF!</v>
      </c>
      <c r="L26" s="30" t="str">
        <f t="shared" si="8"/>
        <v>#REF!</v>
      </c>
      <c r="M26" s="30" t="str">
        <f t="shared" si="9"/>
        <v>#REF!</v>
      </c>
      <c r="N26" s="30">
        <v>9.0E-5</v>
      </c>
      <c r="O26" s="30" t="str">
        <f t="shared" si="10"/>
        <v>#REF!</v>
      </c>
      <c r="P26" s="30" t="str">
        <f>IF($O26="","",COUNTIF('Planos de Ação - FxO'!$G$8:$G$107,$O26))</f>
        <v>#REF!</v>
      </c>
      <c r="Q26" s="30" t="str">
        <f>IF($O26="","",COUNTIFS('Planos de Ação - FxO'!$G$8:$G$107,$O26,'Planos de Ação - FxO'!$K$8:$K$107,"&lt;&gt;Atrasado"))</f>
        <v>#REF!</v>
      </c>
      <c r="R26" s="30" t="str">
        <f>IF($O26="","",COUNTIFS('Planos de Ação - FxO'!$G$8:$G$107,$O26,'Planos de Ação - FxO'!$K$8:$K$107,"=Atrasado"))</f>
        <v>#REF!</v>
      </c>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row>
    <row r="27" ht="34.5" customHeight="1">
      <c r="A27" s="30"/>
      <c r="B27" s="30"/>
      <c r="C27" s="30"/>
      <c r="D27" s="30"/>
      <c r="E27" s="30"/>
      <c r="F27" s="30"/>
      <c r="G27" s="35"/>
      <c r="H27" s="35"/>
      <c r="I27" s="30"/>
      <c r="J27" s="30"/>
      <c r="K27" s="30" t="str">
        <f t="shared" si="7"/>
        <v>#REF!</v>
      </c>
      <c r="L27" s="30" t="str">
        <f t="shared" si="8"/>
        <v>#REF!</v>
      </c>
      <c r="M27" s="30" t="str">
        <f t="shared" si="9"/>
        <v>#REF!</v>
      </c>
      <c r="N27" s="30">
        <v>8.0E-5</v>
      </c>
      <c r="O27" s="30" t="str">
        <f t="shared" si="10"/>
        <v>#REF!</v>
      </c>
      <c r="P27" s="30" t="str">
        <f>IF($O27="","",COUNTIF('Planos de Ação - FxO'!$G$8:$G$107,$O27))</f>
        <v>#REF!</v>
      </c>
      <c r="Q27" s="30" t="str">
        <f>IF($O27="","",COUNTIFS('Planos de Ação - FxO'!$G$8:$G$107,$O27,'Planos de Ação - FxO'!$K$8:$K$107,"&lt;&gt;Atrasado"))</f>
        <v>#REF!</v>
      </c>
      <c r="R27" s="30" t="str">
        <f>IF($O27="","",COUNTIFS('Planos de Ação - FxO'!$G$8:$G$107,$O27,'Planos de Ação - FxO'!$K$8:$K$107,"=Atrasado"))</f>
        <v>#REF!</v>
      </c>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row>
    <row r="28" ht="34.5" customHeight="1">
      <c r="A28" s="30"/>
      <c r="B28" s="30"/>
      <c r="C28" s="30"/>
      <c r="D28" s="30"/>
      <c r="E28" s="30"/>
      <c r="F28" s="30"/>
      <c r="G28" s="35"/>
      <c r="H28" s="35"/>
      <c r="I28" s="30"/>
      <c r="J28" s="30"/>
      <c r="K28" s="30" t="str">
        <f t="shared" si="7"/>
        <v>#REF!</v>
      </c>
      <c r="L28" s="30" t="str">
        <f t="shared" si="8"/>
        <v>#REF!</v>
      </c>
      <c r="M28" s="30" t="str">
        <f t="shared" si="9"/>
        <v>#REF!</v>
      </c>
      <c r="N28" s="30">
        <v>7.0E-5</v>
      </c>
      <c r="O28" s="30" t="str">
        <f t="shared" si="10"/>
        <v>#REF!</v>
      </c>
      <c r="P28" s="30" t="str">
        <f>IF($O28="","",COUNTIF('Planos de Ação - FxO'!$G$8:$G$107,$O28))</f>
        <v>#REF!</v>
      </c>
      <c r="Q28" s="30" t="str">
        <f>IF($O28="","",COUNTIFS('Planos de Ação - FxO'!$G$8:$G$107,$O28,'Planos de Ação - FxO'!$K$8:$K$107,"&lt;&gt;Atrasado"))</f>
        <v>#REF!</v>
      </c>
      <c r="R28" s="30" t="str">
        <f>IF($O28="","",COUNTIFS('Planos de Ação - FxO'!$G$8:$G$107,$O28,'Planos de Ação - FxO'!$K$8:$K$107,"=Atrasado"))</f>
        <v>#REF!</v>
      </c>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row>
    <row r="29" ht="34.5" customHeight="1">
      <c r="A29" s="30"/>
      <c r="B29" s="30"/>
      <c r="C29" s="30"/>
      <c r="D29" s="30"/>
      <c r="E29" s="30"/>
      <c r="F29" s="30"/>
      <c r="G29" s="35"/>
      <c r="H29" s="35"/>
      <c r="I29" s="30"/>
      <c r="J29" s="30"/>
      <c r="K29" s="30" t="str">
        <f t="shared" si="7"/>
        <v>#REF!</v>
      </c>
      <c r="L29" s="30" t="str">
        <f t="shared" si="8"/>
        <v>#REF!</v>
      </c>
      <c r="M29" s="30" t="str">
        <f t="shared" si="9"/>
        <v>#REF!</v>
      </c>
      <c r="N29" s="30">
        <v>6.0E-5</v>
      </c>
      <c r="O29" s="30" t="str">
        <f t="shared" si="10"/>
        <v>#REF!</v>
      </c>
      <c r="P29" s="30" t="str">
        <f>IF($O29="","",COUNTIF('Planos de Ação - FxO'!$G$8:$G$107,$O29))</f>
        <v>#REF!</v>
      </c>
      <c r="Q29" s="30" t="str">
        <f>IF($O29="","",COUNTIFS('Planos de Ação - FxO'!$G$8:$G$107,$O29,'Planos de Ação - FxO'!$K$8:$K$107,"&lt;&gt;Atrasado"))</f>
        <v>#REF!</v>
      </c>
      <c r="R29" s="30" t="str">
        <f>IF($O29="","",COUNTIFS('Planos de Ação - FxO'!$G$8:$G$107,$O29,'Planos de Ação - FxO'!$K$8:$K$107,"=Atrasado"))</f>
        <v>#REF!</v>
      </c>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row>
    <row r="30" ht="34.5" customHeight="1">
      <c r="A30" s="30"/>
      <c r="B30" s="30"/>
      <c r="C30" s="30"/>
      <c r="D30" s="30"/>
      <c r="E30" s="30"/>
      <c r="F30" s="30"/>
      <c r="G30" s="35"/>
      <c r="H30" s="35"/>
      <c r="I30" s="30"/>
      <c r="J30" s="30"/>
      <c r="K30" s="30" t="str">
        <f t="shared" si="7"/>
        <v>#REF!</v>
      </c>
      <c r="L30" s="30" t="str">
        <f t="shared" si="8"/>
        <v>#REF!</v>
      </c>
      <c r="M30" s="30" t="str">
        <f t="shared" si="9"/>
        <v>#REF!</v>
      </c>
      <c r="N30" s="30">
        <v>5.0E-5</v>
      </c>
      <c r="O30" s="30" t="str">
        <f t="shared" si="10"/>
        <v>#REF!</v>
      </c>
      <c r="P30" s="30" t="str">
        <f>IF($O30="","",COUNTIF('Planos de Ação - FxO'!$G$8:$G$107,$O30))</f>
        <v>#REF!</v>
      </c>
      <c r="Q30" s="30" t="str">
        <f>IF($O30="","",COUNTIFS('Planos de Ação - FxO'!$G$8:$G$107,$O30,'Planos de Ação - FxO'!$K$8:$K$107,"&lt;&gt;Atrasado"))</f>
        <v>#REF!</v>
      </c>
      <c r="R30" s="30" t="str">
        <f>IF($O30="","",COUNTIFS('Planos de Ação - FxO'!$G$8:$G$107,$O30,'Planos de Ação - FxO'!$K$8:$K$107,"=Atrasado"))</f>
        <v>#REF!</v>
      </c>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row>
    <row r="31" ht="34.5" customHeight="1">
      <c r="A31" s="30"/>
      <c r="B31" s="30"/>
      <c r="C31" s="30"/>
      <c r="D31" s="30"/>
      <c r="E31" s="30"/>
      <c r="F31" s="30"/>
      <c r="G31" s="35"/>
      <c r="H31" s="35"/>
      <c r="I31" s="30"/>
      <c r="J31" s="30"/>
      <c r="K31" s="30" t="str">
        <f t="shared" si="7"/>
        <v>#REF!</v>
      </c>
      <c r="L31" s="30" t="str">
        <f t="shared" si="8"/>
        <v>#REF!</v>
      </c>
      <c r="M31" s="30" t="str">
        <f t="shared" si="9"/>
        <v>#REF!</v>
      </c>
      <c r="N31" s="30">
        <v>4.0E-5</v>
      </c>
      <c r="O31" s="30" t="str">
        <f t="shared" si="10"/>
        <v>#REF!</v>
      </c>
      <c r="P31" s="30" t="str">
        <f>IF($O31="","",COUNTIF('Planos de Ação - FxO'!$G$8:$G$107,$O31))</f>
        <v>#REF!</v>
      </c>
      <c r="Q31" s="30" t="str">
        <f>IF($O31="","",COUNTIFS('Planos de Ação - FxO'!$G$8:$G$107,$O31,'Planos de Ação - FxO'!$K$8:$K$107,"&lt;&gt;Atrasado"))</f>
        <v>#REF!</v>
      </c>
      <c r="R31" s="30" t="str">
        <f>IF($O31="","",COUNTIFS('Planos de Ação - FxO'!$G$8:$G$107,$O31,'Planos de Ação - FxO'!$K$8:$K$107,"=Atrasado"))</f>
        <v>#REF!</v>
      </c>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row>
    <row r="32" ht="34.5" customHeight="1">
      <c r="A32" s="30"/>
      <c r="B32" s="30"/>
      <c r="C32" s="30"/>
      <c r="D32" s="30"/>
      <c r="E32" s="30"/>
      <c r="F32" s="30"/>
      <c r="G32" s="35"/>
      <c r="H32" s="35"/>
      <c r="I32" s="30"/>
      <c r="J32" s="30"/>
      <c r="K32" s="30" t="str">
        <f t="shared" si="7"/>
        <v>#REF!</v>
      </c>
      <c r="L32" s="30" t="str">
        <f t="shared" si="8"/>
        <v>#REF!</v>
      </c>
      <c r="M32" s="30" t="str">
        <f t="shared" si="9"/>
        <v>#REF!</v>
      </c>
      <c r="N32" s="30">
        <v>3.0E-5</v>
      </c>
      <c r="O32" s="30" t="str">
        <f t="shared" si="10"/>
        <v>#REF!</v>
      </c>
      <c r="P32" s="30" t="str">
        <f>IF($O32="","",COUNTIF('Planos de Ação - FxO'!$G$8:$G$107,$O32))</f>
        <v>#REF!</v>
      </c>
      <c r="Q32" s="30" t="str">
        <f>IF($O32="","",COUNTIFS('Planos de Ação - FxO'!$G$8:$G$107,$O32,'Planos de Ação - FxO'!$K$8:$K$107,"&lt;&gt;Atrasado"))</f>
        <v>#REF!</v>
      </c>
      <c r="R32" s="30" t="str">
        <f>IF($O32="","",COUNTIFS('Planos de Ação - FxO'!$G$8:$G$107,$O32,'Planos de Ação - FxO'!$K$8:$K$107,"=Atrasado"))</f>
        <v>#REF!</v>
      </c>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row>
    <row r="33" ht="78.0" customHeight="1">
      <c r="A33" s="30"/>
      <c r="B33" s="308"/>
      <c r="C33" s="30"/>
      <c r="D33" s="30"/>
      <c r="E33" s="30"/>
      <c r="F33" s="30"/>
      <c r="G33" s="35"/>
      <c r="H33" s="35"/>
      <c r="I33" s="30"/>
      <c r="J33" s="30"/>
      <c r="K33" s="30" t="str">
        <f t="shared" si="7"/>
        <v>#REF!</v>
      </c>
      <c r="L33" s="30" t="str">
        <f t="shared" si="8"/>
        <v>#REF!</v>
      </c>
      <c r="M33" s="30" t="str">
        <f t="shared" si="9"/>
        <v>#REF!</v>
      </c>
      <c r="N33" s="30">
        <v>2.0E-5</v>
      </c>
      <c r="O33" s="30" t="str">
        <f t="shared" si="10"/>
        <v>#REF!</v>
      </c>
      <c r="P33" s="30" t="str">
        <f>IF($O33="","",COUNTIF('Planos de Ação - FxO'!$G$8:$G$107,$O33))</f>
        <v>#REF!</v>
      </c>
      <c r="Q33" s="30" t="str">
        <f>IF($O33="","",COUNTIFS('Planos de Ação - FxO'!$G$8:$G$107,$O33,'Planos de Ação - FxO'!$K$8:$K$107,"&lt;&gt;Atrasado"))</f>
        <v>#REF!</v>
      </c>
      <c r="R33" s="30" t="str">
        <f>IF($O33="","",COUNTIFS('Planos de Ação - FxO'!$G$8:$G$107,$O33,'Planos de Ação - FxO'!$K$8:$K$107,"=Atrasado"))</f>
        <v>#REF!</v>
      </c>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row>
    <row r="34" ht="45.0" customHeight="1">
      <c r="A34" s="30"/>
      <c r="B34" s="30"/>
      <c r="C34" s="30"/>
      <c r="D34" s="30"/>
      <c r="E34" s="30"/>
      <c r="F34" s="30"/>
      <c r="G34" s="35"/>
      <c r="H34" s="35"/>
      <c r="I34" s="30"/>
      <c r="J34" s="30"/>
      <c r="K34" s="30" t="str">
        <f t="shared" si="7"/>
        <v>#REF!</v>
      </c>
      <c r="L34" s="30" t="str">
        <f t="shared" si="8"/>
        <v>#REF!</v>
      </c>
      <c r="M34" s="30" t="str">
        <f t="shared" si="9"/>
        <v>#REF!</v>
      </c>
      <c r="N34" s="30">
        <v>1.0E-5</v>
      </c>
      <c r="O34" s="30" t="str">
        <f t="shared" si="10"/>
        <v>#REF!</v>
      </c>
      <c r="P34" s="30" t="str">
        <f>IF($O34="","",COUNTIF('Planos de Ação - FxO'!$G$8:$G$107,$O34))</f>
        <v>#REF!</v>
      </c>
      <c r="Q34" s="30" t="str">
        <f>IF($O34="","",COUNTIFS('Planos de Ação - FxO'!$G$8:$G$107,$O34,'Planos de Ação - FxO'!$K$8:$K$107,"&lt;&gt;Atrasado"))</f>
        <v>#REF!</v>
      </c>
      <c r="R34" s="30" t="str">
        <f>IF($O34="","",COUNTIFS('Planos de Ação - FxO'!$G$8:$G$107,$O34,'Planos de Ação - FxO'!$K$8:$K$107,"=Atrasado"))</f>
        <v>#REF!</v>
      </c>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row>
    <row r="35" ht="37.5" customHeight="1">
      <c r="A35" s="30"/>
      <c r="B35" s="30"/>
      <c r="C35" s="30"/>
      <c r="D35" s="30"/>
      <c r="E35" s="30"/>
      <c r="F35" s="30"/>
      <c r="G35" s="35"/>
      <c r="H35" s="35"/>
      <c r="I35" s="30"/>
      <c r="J35" s="30"/>
      <c r="K35" s="30"/>
      <c r="L35" s="30"/>
      <c r="M35" s="30"/>
      <c r="N35" s="30"/>
      <c r="O35" s="30"/>
      <c r="P35" s="58"/>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ht="37.5" customHeight="1">
      <c r="A36" s="30"/>
      <c r="B36" s="30"/>
      <c r="C36" s="30"/>
      <c r="D36" s="30"/>
      <c r="E36" s="30"/>
      <c r="F36" s="30"/>
      <c r="G36" s="35"/>
      <c r="H36" s="35"/>
      <c r="I36" s="30"/>
      <c r="J36" s="30"/>
      <c r="K36" s="30"/>
      <c r="L36" s="30"/>
      <c r="M36" s="30"/>
      <c r="N36" s="30"/>
      <c r="O36" s="30"/>
      <c r="P36" s="58"/>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row>
    <row r="37" ht="37.5" customHeight="1">
      <c r="A37" s="30"/>
      <c r="B37" s="30"/>
      <c r="C37" s="30"/>
      <c r="D37" s="30"/>
      <c r="E37" s="30"/>
      <c r="F37" s="30"/>
      <c r="G37" s="35"/>
      <c r="H37" s="35"/>
      <c r="I37" s="30"/>
      <c r="J37" s="30"/>
      <c r="K37" s="30"/>
      <c r="L37" s="30"/>
      <c r="M37" s="30"/>
      <c r="N37" s="30"/>
      <c r="O37" s="30"/>
      <c r="P37" s="58"/>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row>
    <row r="38" ht="37.5" customHeight="1">
      <c r="A38" s="30"/>
      <c r="B38" s="30"/>
      <c r="C38" s="30"/>
      <c r="D38" s="30"/>
      <c r="E38" s="30"/>
      <c r="F38" s="30"/>
      <c r="G38" s="35"/>
      <c r="H38" s="35"/>
      <c r="I38" s="30"/>
      <c r="J38" s="30"/>
      <c r="K38" s="30"/>
      <c r="L38" s="30"/>
      <c r="M38" s="30"/>
      <c r="N38" s="30"/>
      <c r="O38" s="30"/>
      <c r="P38" s="58"/>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row>
    <row r="39" ht="15.75" customHeight="1">
      <c r="A39" s="30"/>
      <c r="B39" s="30"/>
      <c r="C39" s="30"/>
      <c r="D39" s="126"/>
      <c r="E39" s="30"/>
      <c r="F39" s="126"/>
      <c r="G39" s="35"/>
      <c r="H39" s="35"/>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row>
    <row r="40" ht="15.75" customHeight="1">
      <c r="A40" s="30"/>
      <c r="B40" s="30"/>
      <c r="C40" s="30"/>
      <c r="D40" s="126"/>
      <c r="E40" s="30"/>
      <c r="F40" s="126"/>
      <c r="G40" s="35"/>
      <c r="H40" s="35"/>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row>
    <row r="41" ht="15.75" customHeight="1">
      <c r="A41" s="30"/>
      <c r="B41" s="30"/>
      <c r="C41" s="30"/>
      <c r="D41" s="126"/>
      <c r="E41" s="30"/>
      <c r="F41" s="126"/>
      <c r="G41" s="35"/>
      <c r="H41" s="35"/>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row>
    <row r="42" ht="15.75" customHeight="1">
      <c r="A42" s="30"/>
      <c r="B42" s="30"/>
      <c r="C42" s="30"/>
      <c r="D42" s="126"/>
      <c r="E42" s="30"/>
      <c r="F42" s="126"/>
      <c r="G42" s="35"/>
      <c r="H42" s="35"/>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row>
    <row r="43" ht="15.75" customHeight="1">
      <c r="A43" s="30"/>
      <c r="B43" s="30"/>
      <c r="C43" s="30"/>
      <c r="D43" s="126"/>
      <c r="E43" s="30"/>
      <c r="F43" s="126"/>
      <c r="G43" s="35"/>
      <c r="H43" s="35"/>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row>
    <row r="44" ht="15.75" customHeight="1">
      <c r="A44" s="30"/>
      <c r="B44" s="30"/>
      <c r="C44" s="30"/>
      <c r="D44" s="126"/>
      <c r="E44" s="30"/>
      <c r="F44" s="126"/>
      <c r="G44" s="35"/>
      <c r="H44" s="35"/>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row>
    <row r="45" ht="15.75" customHeight="1">
      <c r="A45" s="30"/>
      <c r="B45" s="30"/>
      <c r="C45" s="30"/>
      <c r="D45" s="126"/>
      <c r="E45" s="30"/>
      <c r="F45" s="126"/>
      <c r="G45" s="35"/>
      <c r="H45" s="35"/>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row>
    <row r="46" ht="15.75" customHeight="1">
      <c r="A46" s="30"/>
      <c r="B46" s="30"/>
      <c r="C46" s="30"/>
      <c r="D46" s="126"/>
      <c r="E46" s="30"/>
      <c r="F46" s="126"/>
      <c r="G46" s="35"/>
      <c r="H46" s="35"/>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row>
    <row r="47" ht="15.75" customHeight="1">
      <c r="A47" s="30"/>
      <c r="B47" s="30"/>
      <c r="C47" s="30"/>
      <c r="D47" s="126"/>
      <c r="E47" s="30"/>
      <c r="F47" s="126"/>
      <c r="G47" s="35"/>
      <c r="H47" s="35"/>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row>
    <row r="48" ht="15.75" customHeight="1">
      <c r="A48" s="30"/>
      <c r="B48" s="30"/>
      <c r="C48" s="30"/>
      <c r="D48" s="126"/>
      <c r="E48" s="30"/>
      <c r="F48" s="126"/>
      <c r="G48" s="35"/>
      <c r="H48" s="35"/>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row>
    <row r="49" ht="15.75" customHeight="1">
      <c r="A49" s="30"/>
      <c r="B49" s="30"/>
      <c r="C49" s="30"/>
      <c r="D49" s="126"/>
      <c r="E49" s="30"/>
      <c r="F49" s="126"/>
      <c r="G49" s="35"/>
      <c r="H49" s="35"/>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row>
    <row r="50" ht="15.75" customHeight="1">
      <c r="A50" s="30"/>
      <c r="B50" s="30"/>
      <c r="C50" s="30"/>
      <c r="D50" s="126"/>
      <c r="E50" s="30"/>
      <c r="F50" s="126"/>
      <c r="G50" s="35"/>
      <c r="H50" s="35"/>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row>
    <row r="51" ht="15.75" customHeight="1">
      <c r="A51" s="30"/>
      <c r="B51" s="30"/>
      <c r="C51" s="30"/>
      <c r="D51" s="126"/>
      <c r="E51" s="30"/>
      <c r="F51" s="126"/>
      <c r="G51" s="35"/>
      <c r="H51" s="35"/>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row>
    <row r="52" ht="15.75" customHeight="1">
      <c r="A52" s="30"/>
      <c r="B52" s="30"/>
      <c r="C52" s="30"/>
      <c r="D52" s="126"/>
      <c r="E52" s="30"/>
      <c r="F52" s="126"/>
      <c r="G52" s="35"/>
      <c r="H52" s="35"/>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row>
    <row r="53" ht="15.75" customHeight="1">
      <c r="A53" s="30"/>
      <c r="B53" s="30"/>
      <c r="C53" s="30"/>
      <c r="D53" s="126"/>
      <c r="E53" s="30"/>
      <c r="F53" s="126"/>
      <c r="G53" s="35"/>
      <c r="H53" s="35"/>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row>
    <row r="54" ht="15.75" customHeight="1">
      <c r="A54" s="30"/>
      <c r="B54" s="30"/>
      <c r="C54" s="30"/>
      <c r="D54" s="126"/>
      <c r="E54" s="30"/>
      <c r="F54" s="126"/>
      <c r="G54" s="35"/>
      <c r="H54" s="35"/>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row>
    <row r="55" ht="15.75" customHeight="1">
      <c r="A55" s="59"/>
      <c r="B55" s="30"/>
      <c r="C55" s="30"/>
      <c r="D55" s="126"/>
      <c r="E55" s="30"/>
      <c r="F55" s="126"/>
      <c r="G55" s="35"/>
      <c r="H55" s="35"/>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row>
    <row r="56" ht="15.75" customHeight="1">
      <c r="A56" s="59"/>
      <c r="B56" s="30"/>
      <c r="C56" s="30"/>
      <c r="D56" s="126"/>
      <c r="E56" s="30"/>
      <c r="F56" s="126"/>
      <c r="G56" s="35"/>
      <c r="H56" s="35"/>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row>
    <row r="57" ht="15.75" customHeight="1">
      <c r="A57" s="59"/>
      <c r="B57" s="30"/>
      <c r="C57" s="30"/>
      <c r="D57" s="126"/>
      <c r="E57" s="30"/>
      <c r="F57" s="126"/>
      <c r="G57" s="35"/>
      <c r="H57" s="35"/>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row>
    <row r="58" ht="15.75" customHeight="1">
      <c r="A58" s="30"/>
      <c r="B58" s="30"/>
      <c r="C58" s="30"/>
      <c r="D58" s="126"/>
      <c r="E58" s="30"/>
      <c r="F58" s="126"/>
      <c r="G58" s="35"/>
      <c r="H58" s="35"/>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row>
    <row r="59" ht="15.75" customHeight="1">
      <c r="A59" s="30"/>
      <c r="B59" s="30"/>
      <c r="C59" s="30"/>
      <c r="D59" s="126"/>
      <c r="E59" s="30"/>
      <c r="F59" s="126"/>
      <c r="G59" s="35"/>
      <c r="H59" s="35"/>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row>
    <row r="60" ht="15.75" customHeight="1">
      <c r="A60" s="30"/>
      <c r="B60" s="30"/>
      <c r="C60" s="30"/>
      <c r="D60" s="126"/>
      <c r="E60" s="30"/>
      <c r="F60" s="126"/>
      <c r="G60" s="35"/>
      <c r="H60" s="35"/>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row>
    <row r="61" ht="15.75" customHeight="1">
      <c r="A61" s="30"/>
      <c r="B61" s="30"/>
      <c r="C61" s="30"/>
      <c r="D61" s="126"/>
      <c r="E61" s="30"/>
      <c r="F61" s="126"/>
      <c r="G61" s="35"/>
      <c r="H61" s="35"/>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row>
    <row r="62" ht="15.75" customHeight="1">
      <c r="A62" s="30"/>
      <c r="B62" s="30"/>
      <c r="C62" s="30"/>
      <c r="D62" s="126"/>
      <c r="E62" s="30"/>
      <c r="F62" s="126"/>
      <c r="G62" s="35"/>
      <c r="H62" s="35"/>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row>
    <row r="63" ht="15.75" customHeight="1">
      <c r="A63" s="30"/>
      <c r="B63" s="30"/>
      <c r="C63" s="30"/>
      <c r="D63" s="126"/>
      <c r="E63" s="30"/>
      <c r="F63" s="126"/>
      <c r="G63" s="35"/>
      <c r="H63" s="35"/>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row>
    <row r="64" ht="15.75" customHeight="1">
      <c r="A64" s="30"/>
      <c r="B64" s="30"/>
      <c r="C64" s="30"/>
      <c r="D64" s="126"/>
      <c r="E64" s="30"/>
      <c r="F64" s="126"/>
      <c r="G64" s="35"/>
      <c r="H64" s="35"/>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row>
    <row r="65" ht="15.75" customHeight="1">
      <c r="A65" s="30"/>
      <c r="B65" s="30"/>
      <c r="C65" s="30"/>
      <c r="D65" s="126"/>
      <c r="E65" s="30"/>
      <c r="F65" s="126"/>
      <c r="G65" s="35"/>
      <c r="H65" s="35"/>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row>
    <row r="66" ht="15.75" customHeight="1">
      <c r="A66" s="30"/>
      <c r="B66" s="30"/>
      <c r="C66" s="30"/>
      <c r="D66" s="126"/>
      <c r="E66" s="30"/>
      <c r="F66" s="126"/>
      <c r="G66" s="35"/>
      <c r="H66" s="35"/>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row>
    <row r="67" ht="15.75" customHeight="1">
      <c r="A67" s="30"/>
      <c r="B67" s="30"/>
      <c r="C67" s="30"/>
      <c r="D67" s="126"/>
      <c r="E67" s="30"/>
      <c r="F67" s="126"/>
      <c r="G67" s="35"/>
      <c r="H67" s="35"/>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row>
    <row r="68" ht="15.75" customHeight="1">
      <c r="A68" s="30"/>
      <c r="B68" s="30"/>
      <c r="C68" s="30"/>
      <c r="D68" s="126"/>
      <c r="E68" s="30"/>
      <c r="F68" s="126"/>
      <c r="G68" s="35"/>
      <c r="H68" s="35"/>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row>
    <row r="69" ht="15.75" customHeight="1">
      <c r="A69" s="30"/>
      <c r="B69" s="30"/>
      <c r="C69" s="30"/>
      <c r="D69" s="126"/>
      <c r="E69" s="30"/>
      <c r="F69" s="126"/>
      <c r="G69" s="35"/>
      <c r="H69" s="35"/>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row>
    <row r="70" ht="15.75" customHeight="1">
      <c r="A70" s="30"/>
      <c r="B70" s="30"/>
      <c r="C70" s="30"/>
      <c r="D70" s="126"/>
      <c r="E70" s="30"/>
      <c r="F70" s="126"/>
      <c r="G70" s="35"/>
      <c r="H70" s="35"/>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row>
    <row r="71" ht="15.75" customHeight="1">
      <c r="A71" s="30"/>
      <c r="B71" s="30"/>
      <c r="C71" s="30"/>
      <c r="D71" s="126"/>
      <c r="E71" s="30"/>
      <c r="F71" s="126"/>
      <c r="G71" s="35"/>
      <c r="H71" s="35"/>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row>
    <row r="72" ht="15.75" customHeight="1">
      <c r="A72" s="30"/>
      <c r="B72" s="30"/>
      <c r="C72" s="30"/>
      <c r="D72" s="126"/>
      <c r="E72" s="30"/>
      <c r="F72" s="126"/>
      <c r="G72" s="35"/>
      <c r="H72" s="35"/>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row>
    <row r="73" ht="15.75" customHeight="1">
      <c r="A73" s="30"/>
      <c r="B73" s="30"/>
      <c r="C73" s="30"/>
      <c r="D73" s="126"/>
      <c r="E73" s="30"/>
      <c r="F73" s="126"/>
      <c r="G73" s="35"/>
      <c r="H73" s="35"/>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row>
    <row r="74" ht="15.75" customHeight="1">
      <c r="A74" s="30"/>
      <c r="B74" s="30"/>
      <c r="C74" s="30"/>
      <c r="D74" s="126"/>
      <c r="E74" s="30"/>
      <c r="F74" s="126"/>
      <c r="G74" s="35"/>
      <c r="H74" s="35"/>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row>
    <row r="75" ht="15.75" customHeight="1">
      <c r="A75" s="30"/>
      <c r="B75" s="30"/>
      <c r="C75" s="30"/>
      <c r="D75" s="126"/>
      <c r="E75" s="30"/>
      <c r="F75" s="126"/>
      <c r="G75" s="35"/>
      <c r="H75" s="35"/>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row>
    <row r="76" ht="15.75" customHeight="1">
      <c r="A76" s="30"/>
      <c r="B76" s="30"/>
      <c r="C76" s="30"/>
      <c r="D76" s="126"/>
      <c r="E76" s="30"/>
      <c r="F76" s="126"/>
      <c r="G76" s="35"/>
      <c r="H76" s="35"/>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row>
    <row r="77" ht="15.75" customHeight="1">
      <c r="A77" s="30"/>
      <c r="B77" s="30"/>
      <c r="C77" s="30"/>
      <c r="D77" s="126"/>
      <c r="E77" s="30"/>
      <c r="F77" s="126"/>
      <c r="G77" s="35"/>
      <c r="H77" s="35"/>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row>
    <row r="78" ht="15.75" customHeight="1">
      <c r="A78" s="30"/>
      <c r="B78" s="30"/>
      <c r="C78" s="30"/>
      <c r="D78" s="126"/>
      <c r="E78" s="30"/>
      <c r="F78" s="126"/>
      <c r="G78" s="35"/>
      <c r="H78" s="35"/>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row>
    <row r="79" ht="15.75" customHeight="1">
      <c r="A79" s="30"/>
      <c r="B79" s="30"/>
      <c r="C79" s="30"/>
      <c r="D79" s="126"/>
      <c r="E79" s="30"/>
      <c r="F79" s="126"/>
      <c r="G79" s="35"/>
      <c r="H79" s="35"/>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row>
    <row r="80" ht="15.75" customHeight="1">
      <c r="A80" s="30"/>
      <c r="B80" s="30"/>
      <c r="C80" s="30"/>
      <c r="D80" s="126"/>
      <c r="E80" s="30"/>
      <c r="F80" s="126"/>
      <c r="G80" s="35"/>
      <c r="H80" s="35"/>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row>
    <row r="81" ht="15.75" customHeight="1">
      <c r="A81" s="30"/>
      <c r="B81" s="30"/>
      <c r="C81" s="30"/>
      <c r="D81" s="126"/>
      <c r="E81" s="30"/>
      <c r="F81" s="126"/>
      <c r="G81" s="35"/>
      <c r="H81" s="35"/>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row>
    <row r="82" ht="15.75" customHeight="1">
      <c r="A82" s="30"/>
      <c r="B82" s="30"/>
      <c r="C82" s="30"/>
      <c r="D82" s="126"/>
      <c r="E82" s="30"/>
      <c r="F82" s="126"/>
      <c r="G82" s="35"/>
      <c r="H82" s="35"/>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row>
    <row r="83" ht="15.75" customHeight="1">
      <c r="A83" s="30"/>
      <c r="B83" s="30"/>
      <c r="C83" s="30"/>
      <c r="D83" s="126"/>
      <c r="E83" s="30"/>
      <c r="F83" s="126"/>
      <c r="G83" s="35"/>
      <c r="H83" s="35"/>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row>
    <row r="84" ht="15.75" customHeight="1">
      <c r="A84" s="30"/>
      <c r="B84" s="30"/>
      <c r="C84" s="30"/>
      <c r="D84" s="126"/>
      <c r="E84" s="30"/>
      <c r="F84" s="126"/>
      <c r="G84" s="35"/>
      <c r="H84" s="35"/>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row>
    <row r="85" ht="15.75" customHeight="1">
      <c r="A85" s="30"/>
      <c r="B85" s="30"/>
      <c r="C85" s="30"/>
      <c r="D85" s="126"/>
      <c r="E85" s="30"/>
      <c r="F85" s="126"/>
      <c r="G85" s="35"/>
      <c r="H85" s="35"/>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row>
    <row r="86" ht="15.75" customHeight="1">
      <c r="A86" s="30"/>
      <c r="B86" s="30"/>
      <c r="C86" s="30"/>
      <c r="D86" s="126"/>
      <c r="E86" s="30"/>
      <c r="F86" s="126"/>
      <c r="G86" s="35"/>
      <c r="H86" s="35"/>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row>
    <row r="87" ht="15.75" customHeight="1">
      <c r="A87" s="30"/>
      <c r="B87" s="30"/>
      <c r="C87" s="30"/>
      <c r="D87" s="126"/>
      <c r="E87" s="30"/>
      <c r="F87" s="126"/>
      <c r="G87" s="35"/>
      <c r="H87" s="35"/>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row>
    <row r="88" ht="15.75" customHeight="1">
      <c r="A88" s="30"/>
      <c r="B88" s="30"/>
      <c r="C88" s="30"/>
      <c r="D88" s="126"/>
      <c r="E88" s="30"/>
      <c r="F88" s="126"/>
      <c r="G88" s="35"/>
      <c r="H88" s="35"/>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row>
    <row r="89" ht="15.75" customHeight="1">
      <c r="A89" s="30"/>
      <c r="B89" s="30"/>
      <c r="C89" s="30"/>
      <c r="D89" s="126"/>
      <c r="E89" s="30"/>
      <c r="F89" s="126"/>
      <c r="G89" s="35"/>
      <c r="H89" s="35"/>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row>
    <row r="90" ht="15.75" customHeight="1">
      <c r="A90" s="30"/>
      <c r="B90" s="30"/>
      <c r="C90" s="30"/>
      <c r="D90" s="126"/>
      <c r="E90" s="30"/>
      <c r="F90" s="126"/>
      <c r="G90" s="35"/>
      <c r="H90" s="35"/>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row>
    <row r="91" ht="15.75" customHeight="1">
      <c r="A91" s="30"/>
      <c r="B91" s="30"/>
      <c r="C91" s="30"/>
      <c r="D91" s="126"/>
      <c r="E91" s="30"/>
      <c r="F91" s="126"/>
      <c r="G91" s="35"/>
      <c r="H91" s="35"/>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row>
    <row r="92" ht="15.75" customHeight="1">
      <c r="A92" s="30"/>
      <c r="B92" s="30"/>
      <c r="C92" s="30"/>
      <c r="D92" s="126"/>
      <c r="E92" s="30"/>
      <c r="F92" s="126"/>
      <c r="G92" s="35"/>
      <c r="H92" s="35"/>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row>
    <row r="93" ht="15.75" customHeight="1">
      <c r="A93" s="30"/>
      <c r="B93" s="30"/>
      <c r="C93" s="30"/>
      <c r="D93" s="126"/>
      <c r="E93" s="30"/>
      <c r="F93" s="126"/>
      <c r="G93" s="35"/>
      <c r="H93" s="35"/>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row>
    <row r="94" ht="15.75" customHeight="1">
      <c r="A94" s="30"/>
      <c r="B94" s="30"/>
      <c r="C94" s="30"/>
      <c r="D94" s="126"/>
      <c r="E94" s="30"/>
      <c r="F94" s="126"/>
      <c r="G94" s="35"/>
      <c r="H94" s="35"/>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row>
    <row r="95" ht="15.75" customHeight="1">
      <c r="A95" s="30"/>
      <c r="B95" s="30"/>
      <c r="C95" s="30"/>
      <c r="D95" s="126"/>
      <c r="E95" s="30"/>
      <c r="F95" s="126"/>
      <c r="G95" s="35"/>
      <c r="H95" s="35"/>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row>
    <row r="96" ht="15.75" customHeight="1">
      <c r="A96" s="30"/>
      <c r="B96" s="30"/>
      <c r="C96" s="30"/>
      <c r="D96" s="126"/>
      <c r="E96" s="30"/>
      <c r="F96" s="126"/>
      <c r="G96" s="35"/>
      <c r="H96" s="35"/>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row>
    <row r="97" ht="15.75" customHeight="1">
      <c r="A97" s="30"/>
      <c r="B97" s="30"/>
      <c r="C97" s="30"/>
      <c r="D97" s="126"/>
      <c r="E97" s="30"/>
      <c r="F97" s="126"/>
      <c r="G97" s="35"/>
      <c r="H97" s="35"/>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row>
    <row r="98" ht="15.75" customHeight="1">
      <c r="A98" s="30"/>
      <c r="B98" s="30"/>
      <c r="C98" s="30"/>
      <c r="D98" s="126"/>
      <c r="E98" s="30"/>
      <c r="F98" s="126"/>
      <c r="G98" s="35"/>
      <c r="H98" s="35"/>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row>
    <row r="99" ht="15.75" customHeight="1">
      <c r="A99" s="30"/>
      <c r="B99" s="30"/>
      <c r="C99" s="30"/>
      <c r="D99" s="126"/>
      <c r="E99" s="30"/>
      <c r="F99" s="126"/>
      <c r="G99" s="35"/>
      <c r="H99" s="35"/>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row>
    <row r="100" ht="15.75" customHeight="1">
      <c r="A100" s="30"/>
      <c r="B100" s="30"/>
      <c r="C100" s="30"/>
      <c r="D100" s="126"/>
      <c r="E100" s="30"/>
      <c r="F100" s="126"/>
      <c r="G100" s="35"/>
      <c r="H100" s="35"/>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row>
    <row r="101" ht="15.75" customHeight="1">
      <c r="A101" s="30"/>
      <c r="B101" s="30"/>
      <c r="C101" s="30"/>
      <c r="D101" s="126"/>
      <c r="E101" s="30"/>
      <c r="F101" s="126"/>
      <c r="G101" s="35"/>
      <c r="H101" s="35"/>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row>
    <row r="102" ht="15.75" customHeight="1">
      <c r="A102" s="30"/>
      <c r="B102" s="30"/>
      <c r="C102" s="30"/>
      <c r="D102" s="126"/>
      <c r="E102" s="30"/>
      <c r="F102" s="126"/>
      <c r="G102" s="35"/>
      <c r="H102" s="35"/>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row>
    <row r="103" ht="15.75" customHeight="1">
      <c r="A103" s="30"/>
      <c r="B103" s="30"/>
      <c r="C103" s="30"/>
      <c r="D103" s="126"/>
      <c r="E103" s="30"/>
      <c r="F103" s="126"/>
      <c r="G103" s="35"/>
      <c r="H103" s="35"/>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row>
    <row r="104" ht="15.75" customHeight="1">
      <c r="A104" s="30"/>
      <c r="B104" s="30"/>
      <c r="C104" s="30"/>
      <c r="D104" s="126"/>
      <c r="E104" s="30"/>
      <c r="F104" s="126"/>
      <c r="G104" s="35"/>
      <c r="H104" s="35"/>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row>
    <row r="105" ht="15.75" customHeight="1">
      <c r="A105" s="30"/>
      <c r="B105" s="30"/>
      <c r="C105" s="30"/>
      <c r="D105" s="126"/>
      <c r="E105" s="30"/>
      <c r="F105" s="126"/>
      <c r="G105" s="35"/>
      <c r="H105" s="35"/>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row>
    <row r="106" ht="15.75" customHeight="1">
      <c r="A106" s="30"/>
      <c r="B106" s="30"/>
      <c r="C106" s="30"/>
      <c r="D106" s="126"/>
      <c r="E106" s="30"/>
      <c r="F106" s="126"/>
      <c r="G106" s="35"/>
      <c r="H106" s="35"/>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row>
    <row r="107" ht="15.75" customHeight="1">
      <c r="A107" s="30"/>
      <c r="B107" s="30"/>
      <c r="C107" s="30"/>
      <c r="D107" s="126"/>
      <c r="E107" s="30"/>
      <c r="F107" s="126"/>
      <c r="G107" s="35"/>
      <c r="H107" s="35"/>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row>
    <row r="108" ht="15.75" customHeight="1">
      <c r="A108" s="30"/>
      <c r="B108" s="30"/>
      <c r="C108" s="30"/>
      <c r="D108" s="126"/>
      <c r="E108" s="30"/>
      <c r="F108" s="126"/>
      <c r="G108" s="35"/>
      <c r="H108" s="35"/>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row>
    <row r="109" ht="15.75" customHeight="1">
      <c r="A109" s="30"/>
      <c r="B109" s="30"/>
      <c r="C109" s="30"/>
      <c r="D109" s="126"/>
      <c r="E109" s="30"/>
      <c r="F109" s="126"/>
      <c r="G109" s="35"/>
      <c r="H109" s="35"/>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row>
    <row r="110" ht="15.75" customHeight="1">
      <c r="A110" s="30"/>
      <c r="B110" s="30"/>
      <c r="C110" s="30"/>
      <c r="D110" s="126"/>
      <c r="E110" s="30"/>
      <c r="F110" s="126"/>
      <c r="G110" s="35"/>
      <c r="H110" s="35"/>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row>
    <row r="111" ht="15.75" customHeight="1">
      <c r="A111" s="30"/>
      <c r="B111" s="30"/>
      <c r="C111" s="30"/>
      <c r="D111" s="126"/>
      <c r="E111" s="30"/>
      <c r="F111" s="126"/>
      <c r="G111" s="35"/>
      <c r="H111" s="35"/>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row>
    <row r="112" ht="15.75" customHeight="1">
      <c r="A112" s="30"/>
      <c r="B112" s="30"/>
      <c r="C112" s="30"/>
      <c r="D112" s="126"/>
      <c r="E112" s="30"/>
      <c r="F112" s="126"/>
      <c r="G112" s="35"/>
      <c r="H112" s="35"/>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row>
    <row r="113" ht="15.75" customHeight="1">
      <c r="A113" s="30"/>
      <c r="B113" s="30"/>
      <c r="C113" s="30"/>
      <c r="D113" s="126"/>
      <c r="E113" s="30"/>
      <c r="F113" s="126"/>
      <c r="G113" s="35"/>
      <c r="H113" s="35"/>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row>
    <row r="114" ht="15.75" customHeight="1">
      <c r="A114" s="30"/>
      <c r="B114" s="30"/>
      <c r="C114" s="30"/>
      <c r="D114" s="126"/>
      <c r="E114" s="30"/>
      <c r="F114" s="126"/>
      <c r="G114" s="35"/>
      <c r="H114" s="35"/>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row>
    <row r="115" ht="15.75" customHeight="1">
      <c r="A115" s="30"/>
      <c r="B115" s="30"/>
      <c r="C115" s="30"/>
      <c r="D115" s="126"/>
      <c r="E115" s="30"/>
      <c r="F115" s="126"/>
      <c r="G115" s="35"/>
      <c r="H115" s="35"/>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row>
    <row r="116" ht="15.75" customHeight="1">
      <c r="A116" s="30"/>
      <c r="B116" s="30"/>
      <c r="C116" s="30"/>
      <c r="D116" s="126"/>
      <c r="E116" s="30"/>
      <c r="F116" s="126"/>
      <c r="G116" s="35"/>
      <c r="H116" s="35"/>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row>
    <row r="117" ht="15.75" customHeight="1">
      <c r="A117" s="30"/>
      <c r="B117" s="30"/>
      <c r="C117" s="30"/>
      <c r="D117" s="126"/>
      <c r="E117" s="30"/>
      <c r="F117" s="126"/>
      <c r="G117" s="35"/>
      <c r="H117" s="35"/>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row>
    <row r="118" ht="15.75" customHeight="1">
      <c r="A118" s="30"/>
      <c r="B118" s="30"/>
      <c r="C118" s="30"/>
      <c r="D118" s="126"/>
      <c r="E118" s="30"/>
      <c r="F118" s="126"/>
      <c r="G118" s="35"/>
      <c r="H118" s="35"/>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row>
    <row r="119" ht="15.75" customHeight="1">
      <c r="A119" s="30"/>
      <c r="B119" s="30"/>
      <c r="C119" s="30"/>
      <c r="D119" s="126"/>
      <c r="E119" s="30"/>
      <c r="F119" s="126"/>
      <c r="G119" s="35"/>
      <c r="H119" s="35"/>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row>
    <row r="120" ht="15.75" customHeight="1">
      <c r="A120" s="30"/>
      <c r="B120" s="30"/>
      <c r="C120" s="30"/>
      <c r="D120" s="126"/>
      <c r="E120" s="30"/>
      <c r="F120" s="126"/>
      <c r="G120" s="35"/>
      <c r="H120" s="35"/>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row>
    <row r="121" ht="15.75" customHeight="1">
      <c r="A121" s="30"/>
      <c r="B121" s="30"/>
      <c r="C121" s="30"/>
      <c r="D121" s="126"/>
      <c r="E121" s="30"/>
      <c r="F121" s="126"/>
      <c r="G121" s="35"/>
      <c r="H121" s="35"/>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row>
    <row r="122" ht="15.75" customHeight="1">
      <c r="A122" s="30"/>
      <c r="B122" s="30"/>
      <c r="C122" s="30"/>
      <c r="D122" s="126"/>
      <c r="E122" s="30"/>
      <c r="F122" s="126"/>
      <c r="G122" s="35"/>
      <c r="H122" s="35"/>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row>
    <row r="123" ht="15.75" customHeight="1">
      <c r="A123" s="30"/>
      <c r="B123" s="30"/>
      <c r="C123" s="30"/>
      <c r="D123" s="126"/>
      <c r="E123" s="30"/>
      <c r="F123" s="126"/>
      <c r="G123" s="35"/>
      <c r="H123" s="35"/>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row>
    <row r="124" ht="15.75" customHeight="1">
      <c r="A124" s="30"/>
      <c r="B124" s="30"/>
      <c r="C124" s="30"/>
      <c r="D124" s="126"/>
      <c r="E124" s="30"/>
      <c r="F124" s="126"/>
      <c r="G124" s="35"/>
      <c r="H124" s="35"/>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row>
    <row r="125" ht="15.75" customHeight="1">
      <c r="A125" s="30"/>
      <c r="B125" s="30"/>
      <c r="C125" s="30"/>
      <c r="D125" s="126"/>
      <c r="E125" s="30"/>
      <c r="F125" s="126"/>
      <c r="G125" s="35"/>
      <c r="H125" s="35"/>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row>
    <row r="126" ht="15.75" customHeight="1">
      <c r="A126" s="30"/>
      <c r="B126" s="30"/>
      <c r="C126" s="30"/>
      <c r="D126" s="126"/>
      <c r="E126" s="30"/>
      <c r="F126" s="126"/>
      <c r="G126" s="35"/>
      <c r="H126" s="35"/>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row>
    <row r="127" ht="15.75" customHeight="1">
      <c r="A127" s="30"/>
      <c r="B127" s="30"/>
      <c r="C127" s="30"/>
      <c r="D127" s="126"/>
      <c r="E127" s="30"/>
      <c r="F127" s="126"/>
      <c r="G127" s="35"/>
      <c r="H127" s="35"/>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row>
    <row r="128" ht="15.75" customHeight="1">
      <c r="A128" s="30"/>
      <c r="B128" s="30"/>
      <c r="C128" s="30"/>
      <c r="D128" s="126"/>
      <c r="E128" s="30"/>
      <c r="F128" s="126"/>
      <c r="G128" s="35"/>
      <c r="H128" s="35"/>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row>
    <row r="129" ht="15.75" customHeight="1">
      <c r="A129" s="30"/>
      <c r="B129" s="30"/>
      <c r="C129" s="30"/>
      <c r="D129" s="126"/>
      <c r="E129" s="30"/>
      <c r="F129" s="126"/>
      <c r="G129" s="35"/>
      <c r="H129" s="35"/>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row>
    <row r="130" ht="15.75" customHeight="1">
      <c r="A130" s="30"/>
      <c r="B130" s="30"/>
      <c r="C130" s="30"/>
      <c r="D130" s="126"/>
      <c r="E130" s="30"/>
      <c r="F130" s="126"/>
      <c r="G130" s="35"/>
      <c r="H130" s="35"/>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row>
    <row r="131" ht="15.75" customHeight="1">
      <c r="A131" s="30"/>
      <c r="B131" s="30"/>
      <c r="C131" s="30"/>
      <c r="D131" s="126"/>
      <c r="E131" s="30"/>
      <c r="F131" s="126"/>
      <c r="G131" s="35"/>
      <c r="H131" s="35"/>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row>
    <row r="132" ht="15.75" customHeight="1">
      <c r="A132" s="30"/>
      <c r="B132" s="30"/>
      <c r="C132" s="30"/>
      <c r="D132" s="126"/>
      <c r="E132" s="30"/>
      <c r="F132" s="126"/>
      <c r="G132" s="35"/>
      <c r="H132" s="35"/>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row>
    <row r="133" ht="15.75" customHeight="1">
      <c r="A133" s="30"/>
      <c r="B133" s="30"/>
      <c r="C133" s="30"/>
      <c r="D133" s="126"/>
      <c r="E133" s="30"/>
      <c r="F133" s="126"/>
      <c r="G133" s="35"/>
      <c r="H133" s="35"/>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row>
    <row r="134" ht="15.75" customHeight="1">
      <c r="A134" s="30"/>
      <c r="B134" s="30"/>
      <c r="C134" s="30"/>
      <c r="D134" s="126"/>
      <c r="E134" s="30"/>
      <c r="F134" s="126"/>
      <c r="G134" s="35"/>
      <c r="H134" s="35"/>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row>
    <row r="135" ht="15.75" customHeight="1">
      <c r="A135" s="30"/>
      <c r="B135" s="30"/>
      <c r="C135" s="30"/>
      <c r="D135" s="126"/>
      <c r="E135" s="30"/>
      <c r="F135" s="126"/>
      <c r="G135" s="35"/>
      <c r="H135" s="35"/>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row>
    <row r="136" ht="15.75" customHeight="1">
      <c r="A136" s="30"/>
      <c r="B136" s="30"/>
      <c r="C136" s="30"/>
      <c r="D136" s="126"/>
      <c r="E136" s="30"/>
      <c r="F136" s="126"/>
      <c r="G136" s="35"/>
      <c r="H136" s="35"/>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row>
    <row r="137" ht="15.75" customHeight="1">
      <c r="A137" s="30"/>
      <c r="B137" s="30"/>
      <c r="C137" s="30"/>
      <c r="D137" s="126"/>
      <c r="E137" s="30"/>
      <c r="F137" s="126"/>
      <c r="G137" s="35"/>
      <c r="H137" s="35"/>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row>
    <row r="138" ht="15.75" customHeight="1">
      <c r="A138" s="30"/>
      <c r="B138" s="30"/>
      <c r="C138" s="30"/>
      <c r="D138" s="126"/>
      <c r="E138" s="30"/>
      <c r="F138" s="126"/>
      <c r="G138" s="35"/>
      <c r="H138" s="35"/>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row>
    <row r="139" ht="15.75" customHeight="1">
      <c r="A139" s="30"/>
      <c r="B139" s="30"/>
      <c r="C139" s="30"/>
      <c r="D139" s="126"/>
      <c r="E139" s="30"/>
      <c r="F139" s="126"/>
      <c r="G139" s="35"/>
      <c r="H139" s="35"/>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row>
    <row r="140" ht="15.75" customHeight="1">
      <c r="A140" s="30"/>
      <c r="B140" s="30"/>
      <c r="C140" s="30"/>
      <c r="D140" s="126"/>
      <c r="E140" s="30"/>
      <c r="F140" s="126"/>
      <c r="G140" s="35"/>
      <c r="H140" s="35"/>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row>
    <row r="141" ht="15.75" customHeight="1">
      <c r="A141" s="30"/>
      <c r="B141" s="30"/>
      <c r="C141" s="30"/>
      <c r="D141" s="126"/>
      <c r="E141" s="30"/>
      <c r="F141" s="126"/>
      <c r="G141" s="35"/>
      <c r="H141" s="35"/>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row>
    <row r="142" ht="15.75" customHeight="1">
      <c r="A142" s="30"/>
      <c r="B142" s="30"/>
      <c r="C142" s="30"/>
      <c r="D142" s="126"/>
      <c r="E142" s="30"/>
      <c r="F142" s="126"/>
      <c r="G142" s="35"/>
      <c r="H142" s="35"/>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row>
    <row r="143" ht="15.75" customHeight="1">
      <c r="A143" s="30"/>
      <c r="B143" s="30"/>
      <c r="C143" s="30"/>
      <c r="D143" s="126"/>
      <c r="E143" s="30"/>
      <c r="F143" s="126"/>
      <c r="G143" s="35"/>
      <c r="H143" s="35"/>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row>
    <row r="144" ht="15.75" customHeight="1">
      <c r="A144" s="30"/>
      <c r="B144" s="30"/>
      <c r="C144" s="30"/>
      <c r="D144" s="126"/>
      <c r="E144" s="30"/>
      <c r="F144" s="126"/>
      <c r="G144" s="35"/>
      <c r="H144" s="35"/>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row>
    <row r="145" ht="15.75" customHeight="1">
      <c r="A145" s="30"/>
      <c r="B145" s="30"/>
      <c r="C145" s="30"/>
      <c r="D145" s="126"/>
      <c r="E145" s="30"/>
      <c r="F145" s="126"/>
      <c r="G145" s="35"/>
      <c r="H145" s="35"/>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row>
    <row r="146" ht="15.75" customHeight="1">
      <c r="A146" s="30"/>
      <c r="B146" s="30"/>
      <c r="C146" s="30"/>
      <c r="D146" s="126"/>
      <c r="E146" s="30"/>
      <c r="F146" s="126"/>
      <c r="G146" s="35"/>
      <c r="H146" s="35"/>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row>
    <row r="147" ht="15.75" customHeight="1">
      <c r="A147" s="30"/>
      <c r="B147" s="30"/>
      <c r="C147" s="30"/>
      <c r="D147" s="126"/>
      <c r="E147" s="30"/>
      <c r="F147" s="126"/>
      <c r="G147" s="35"/>
      <c r="H147" s="35"/>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row>
    <row r="148" ht="15.75" customHeight="1">
      <c r="A148" s="30"/>
      <c r="B148" s="30"/>
      <c r="C148" s="30"/>
      <c r="D148" s="126"/>
      <c r="E148" s="30"/>
      <c r="F148" s="126"/>
      <c r="G148" s="35"/>
      <c r="H148" s="35"/>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row>
    <row r="149" ht="15.75" customHeight="1">
      <c r="A149" s="30"/>
      <c r="B149" s="30"/>
      <c r="C149" s="30"/>
      <c r="D149" s="126"/>
      <c r="E149" s="30"/>
      <c r="F149" s="126"/>
      <c r="G149" s="35"/>
      <c r="H149" s="35"/>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row>
    <row r="150" ht="15.75" customHeight="1">
      <c r="A150" s="30"/>
      <c r="B150" s="30"/>
      <c r="C150" s="30"/>
      <c r="D150" s="126"/>
      <c r="E150" s="30"/>
      <c r="F150" s="126"/>
      <c r="G150" s="35"/>
      <c r="H150" s="35"/>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row>
    <row r="151" ht="15.75" customHeight="1">
      <c r="A151" s="30"/>
      <c r="B151" s="30"/>
      <c r="C151" s="30"/>
      <c r="D151" s="126"/>
      <c r="E151" s="30"/>
      <c r="F151" s="126"/>
      <c r="G151" s="35"/>
      <c r="H151" s="35"/>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row>
    <row r="152" ht="15.75" customHeight="1">
      <c r="A152" s="30"/>
      <c r="B152" s="30"/>
      <c r="C152" s="30"/>
      <c r="D152" s="126"/>
      <c r="E152" s="30"/>
      <c r="F152" s="126"/>
      <c r="G152" s="35"/>
      <c r="H152" s="35"/>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row>
    <row r="153" ht="15.75" customHeight="1">
      <c r="A153" s="30"/>
      <c r="B153" s="30"/>
      <c r="C153" s="30"/>
      <c r="D153" s="126"/>
      <c r="E153" s="30"/>
      <c r="F153" s="126"/>
      <c r="G153" s="35"/>
      <c r="H153" s="35"/>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row>
    <row r="154" ht="15.75" customHeight="1">
      <c r="A154" s="30"/>
      <c r="B154" s="30"/>
      <c r="C154" s="30"/>
      <c r="D154" s="126"/>
      <c r="E154" s="30"/>
      <c r="F154" s="126"/>
      <c r="G154" s="35"/>
      <c r="H154" s="35"/>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row>
    <row r="155" ht="15.75" customHeight="1">
      <c r="A155" s="30"/>
      <c r="B155" s="30"/>
      <c r="C155" s="30"/>
      <c r="D155" s="126"/>
      <c r="E155" s="30"/>
      <c r="F155" s="126"/>
      <c r="G155" s="35"/>
      <c r="H155" s="35"/>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row>
    <row r="156" ht="15.75" customHeight="1">
      <c r="A156" s="30"/>
      <c r="D156" s="66"/>
      <c r="F156" s="66"/>
      <c r="G156" s="90"/>
      <c r="H156" s="9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row>
    <row r="157" ht="15.75" customHeight="1">
      <c r="A157" s="30"/>
      <c r="D157" s="66"/>
      <c r="F157" s="66"/>
      <c r="G157" s="90"/>
      <c r="H157" s="9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row>
    <row r="158" ht="15.75" customHeight="1">
      <c r="A158" s="30"/>
      <c r="D158" s="66"/>
      <c r="F158" s="66"/>
      <c r="G158" s="90"/>
      <c r="H158" s="9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row>
    <row r="159" ht="15.75" customHeight="1">
      <c r="A159" s="30"/>
      <c r="D159" s="66"/>
      <c r="F159" s="66"/>
      <c r="G159" s="90"/>
      <c r="H159" s="9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row>
    <row r="160" ht="15.75" customHeight="1">
      <c r="A160" s="30"/>
      <c r="D160" s="66"/>
      <c r="F160" s="66"/>
      <c r="G160" s="90"/>
      <c r="H160" s="9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row>
    <row r="161" ht="15.75" customHeight="1">
      <c r="A161" s="30"/>
      <c r="D161" s="66"/>
      <c r="F161" s="66"/>
      <c r="G161" s="90"/>
      <c r="H161" s="9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row>
    <row r="162" ht="15.75" customHeight="1">
      <c r="A162" s="30"/>
      <c r="D162" s="66"/>
      <c r="F162" s="66"/>
      <c r="G162" s="90"/>
      <c r="H162" s="9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row>
    <row r="163" ht="15.75" customHeight="1">
      <c r="A163" s="30"/>
      <c r="D163" s="66"/>
      <c r="F163" s="66"/>
      <c r="G163" s="90"/>
      <c r="H163" s="9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row>
    <row r="164" ht="15.75" customHeight="1">
      <c r="A164" s="30"/>
      <c r="D164" s="66"/>
      <c r="F164" s="66"/>
      <c r="G164" s="90"/>
      <c r="H164" s="9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row>
    <row r="165" ht="15.75" customHeight="1">
      <c r="A165" s="30"/>
      <c r="D165" s="66"/>
      <c r="F165" s="66"/>
      <c r="G165" s="90"/>
      <c r="H165" s="9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row>
    <row r="166" ht="15.75" customHeight="1">
      <c r="A166" s="30"/>
      <c r="D166" s="66"/>
      <c r="F166" s="66"/>
      <c r="G166" s="90"/>
      <c r="H166" s="9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row>
    <row r="167" ht="15.75" customHeight="1">
      <c r="A167" s="30"/>
      <c r="D167" s="66"/>
      <c r="F167" s="66"/>
      <c r="G167" s="90"/>
      <c r="H167" s="9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row>
    <row r="168" ht="15.75" customHeight="1">
      <c r="A168" s="30"/>
      <c r="D168" s="66"/>
      <c r="F168" s="66"/>
      <c r="G168" s="90"/>
      <c r="H168" s="9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row>
    <row r="169" ht="15.75" customHeight="1">
      <c r="A169" s="30"/>
      <c r="D169" s="66"/>
      <c r="F169" s="66"/>
      <c r="G169" s="90"/>
      <c r="H169" s="9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row>
    <row r="170" ht="15.75" customHeight="1">
      <c r="A170" s="30"/>
      <c r="D170" s="66"/>
      <c r="F170" s="66"/>
      <c r="G170" s="90"/>
      <c r="H170" s="9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row>
    <row r="171" ht="15.75" customHeight="1">
      <c r="A171" s="30"/>
      <c r="D171" s="66"/>
      <c r="F171" s="66"/>
      <c r="G171" s="90"/>
      <c r="H171" s="9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row>
    <row r="172" ht="15.75" customHeight="1">
      <c r="A172" s="30"/>
      <c r="D172" s="66"/>
      <c r="F172" s="66"/>
      <c r="G172" s="90"/>
      <c r="H172" s="9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row>
    <row r="173" ht="15.75" customHeight="1">
      <c r="A173" s="30"/>
      <c r="D173" s="66"/>
      <c r="F173" s="66"/>
      <c r="G173" s="90"/>
      <c r="H173" s="9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row>
    <row r="174" ht="15.75" customHeight="1">
      <c r="A174" s="30"/>
      <c r="D174" s="66"/>
      <c r="F174" s="66"/>
      <c r="G174" s="90"/>
      <c r="H174" s="9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row>
    <row r="175" ht="15.75" customHeight="1">
      <c r="A175" s="30"/>
      <c r="D175" s="66"/>
      <c r="F175" s="66"/>
      <c r="G175" s="90"/>
      <c r="H175" s="9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row>
    <row r="176" ht="15.75" customHeight="1">
      <c r="A176" s="30"/>
      <c r="D176" s="66"/>
      <c r="F176" s="66"/>
      <c r="G176" s="90"/>
      <c r="H176" s="9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row>
    <row r="177" ht="15.75" customHeight="1">
      <c r="A177" s="30"/>
      <c r="D177" s="66"/>
      <c r="F177" s="66"/>
      <c r="G177" s="90"/>
      <c r="H177" s="9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row>
    <row r="178" ht="15.75" customHeight="1">
      <c r="A178" s="30"/>
      <c r="D178" s="66"/>
      <c r="F178" s="66"/>
      <c r="G178" s="90"/>
      <c r="H178" s="9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row>
    <row r="179" ht="15.75" customHeight="1">
      <c r="A179" s="30"/>
      <c r="D179" s="66"/>
      <c r="F179" s="66"/>
      <c r="G179" s="90"/>
      <c r="H179" s="9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row>
    <row r="180" ht="15.75" customHeight="1">
      <c r="A180" s="30"/>
      <c r="D180" s="66"/>
      <c r="F180" s="66"/>
      <c r="G180" s="90"/>
      <c r="H180" s="9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row>
    <row r="181" ht="15.75" customHeight="1">
      <c r="A181" s="30"/>
      <c r="D181" s="66"/>
      <c r="F181" s="66"/>
      <c r="G181" s="90"/>
      <c r="H181" s="9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row>
    <row r="182" ht="15.75" customHeight="1">
      <c r="A182" s="30"/>
      <c r="D182" s="66"/>
      <c r="F182" s="66"/>
      <c r="G182" s="90"/>
      <c r="H182" s="9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row>
    <row r="183" ht="15.75" customHeight="1">
      <c r="A183" s="30"/>
      <c r="D183" s="66"/>
      <c r="F183" s="66"/>
      <c r="G183" s="90"/>
      <c r="H183" s="9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row>
    <row r="184" ht="15.75" customHeight="1">
      <c r="A184" s="30"/>
      <c r="D184" s="66"/>
      <c r="F184" s="66"/>
      <c r="G184" s="90"/>
      <c r="H184" s="9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row>
    <row r="185" ht="15.75" customHeight="1">
      <c r="A185" s="30"/>
      <c r="D185" s="66"/>
      <c r="F185" s="66"/>
      <c r="G185" s="90"/>
      <c r="H185" s="9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row>
    <row r="186" ht="15.75" customHeight="1">
      <c r="A186" s="30"/>
      <c r="D186" s="66"/>
      <c r="F186" s="66"/>
      <c r="G186" s="90"/>
      <c r="H186" s="9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row>
    <row r="187" ht="15.75" customHeight="1">
      <c r="A187" s="30"/>
      <c r="D187" s="66"/>
      <c r="F187" s="66"/>
      <c r="G187" s="90"/>
      <c r="H187" s="9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row>
    <row r="188" ht="15.75" customHeight="1">
      <c r="A188" s="30"/>
      <c r="D188" s="66"/>
      <c r="F188" s="66"/>
      <c r="G188" s="90"/>
      <c r="H188" s="9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row>
    <row r="189" ht="15.75" customHeight="1">
      <c r="A189" s="30"/>
      <c r="D189" s="66"/>
      <c r="F189" s="66"/>
      <c r="G189" s="90"/>
      <c r="H189" s="9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row>
    <row r="190" ht="15.75" customHeight="1">
      <c r="A190" s="30"/>
      <c r="D190" s="66"/>
      <c r="F190" s="66"/>
      <c r="G190" s="90"/>
      <c r="H190" s="9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row>
    <row r="191" ht="15.75" customHeight="1">
      <c r="A191" s="30"/>
      <c r="D191" s="66"/>
      <c r="F191" s="66"/>
      <c r="G191" s="90"/>
      <c r="H191" s="9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row>
    <row r="192" ht="15.75" customHeight="1">
      <c r="A192" s="30"/>
      <c r="D192" s="66"/>
      <c r="F192" s="66"/>
      <c r="G192" s="90"/>
      <c r="H192" s="9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row>
    <row r="193" ht="15.75" customHeight="1">
      <c r="A193" s="30"/>
      <c r="D193" s="66"/>
      <c r="F193" s="66"/>
      <c r="G193" s="90"/>
      <c r="H193" s="9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row>
    <row r="194" ht="15.75" customHeight="1">
      <c r="A194" s="30"/>
      <c r="D194" s="66"/>
      <c r="F194" s="66"/>
      <c r="G194" s="90"/>
      <c r="H194" s="9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row>
    <row r="195" ht="15.75" customHeight="1">
      <c r="A195" s="30"/>
      <c r="D195" s="66"/>
      <c r="F195" s="66"/>
      <c r="G195" s="90"/>
      <c r="H195" s="9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row>
    <row r="196" ht="15.75" customHeight="1">
      <c r="A196" s="30"/>
      <c r="D196" s="66"/>
      <c r="F196" s="66"/>
      <c r="G196" s="90"/>
      <c r="H196" s="9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row>
    <row r="197" ht="15.75" customHeight="1">
      <c r="A197" s="30"/>
      <c r="D197" s="66"/>
      <c r="F197" s="66"/>
      <c r="G197" s="90"/>
      <c r="H197" s="9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row>
    <row r="198" ht="15.75" customHeight="1">
      <c r="A198" s="30"/>
      <c r="D198" s="66"/>
      <c r="F198" s="66"/>
      <c r="G198" s="90"/>
      <c r="H198" s="9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row>
    <row r="199" ht="15.75" customHeight="1">
      <c r="A199" s="30"/>
      <c r="D199" s="66"/>
      <c r="F199" s="66"/>
      <c r="G199" s="90"/>
      <c r="H199" s="9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row>
    <row r="200" ht="15.75" customHeight="1">
      <c r="A200" s="30"/>
      <c r="D200" s="66"/>
      <c r="F200" s="66"/>
      <c r="G200" s="90"/>
      <c r="H200" s="9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row>
    <row r="201" ht="15.75" customHeight="1">
      <c r="A201" s="30"/>
      <c r="D201" s="66"/>
      <c r="F201" s="66"/>
      <c r="G201" s="90"/>
      <c r="H201" s="9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row>
    <row r="202" ht="15.75" customHeight="1">
      <c r="A202" s="30"/>
      <c r="D202" s="66"/>
      <c r="F202" s="66"/>
      <c r="G202" s="90"/>
      <c r="H202" s="9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row>
    <row r="203" ht="15.75" customHeight="1">
      <c r="A203" s="30"/>
      <c r="D203" s="66"/>
      <c r="F203" s="66"/>
      <c r="G203" s="90"/>
      <c r="H203" s="9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row>
    <row r="204" ht="15.75" customHeight="1">
      <c r="A204" s="30"/>
      <c r="D204" s="66"/>
      <c r="F204" s="66"/>
      <c r="G204" s="90"/>
      <c r="H204" s="9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row>
    <row r="205" ht="15.75" customHeight="1">
      <c r="A205" s="30"/>
      <c r="D205" s="66"/>
      <c r="F205" s="66"/>
      <c r="G205" s="90"/>
      <c r="H205" s="9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row>
    <row r="206" ht="15.75" customHeight="1">
      <c r="A206" s="30"/>
      <c r="D206" s="66"/>
      <c r="F206" s="66"/>
      <c r="G206" s="90"/>
      <c r="H206" s="9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row>
    <row r="207" ht="15.75" customHeight="1">
      <c r="A207" s="30"/>
      <c r="D207" s="66"/>
      <c r="F207" s="66"/>
      <c r="G207" s="90"/>
      <c r="H207" s="9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row>
    <row r="208" ht="15.75" customHeight="1">
      <c r="A208" s="30"/>
      <c r="D208" s="66"/>
      <c r="F208" s="66"/>
      <c r="G208" s="90"/>
      <c r="H208" s="9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row>
    <row r="209" ht="15.75" customHeight="1">
      <c r="A209" s="30"/>
      <c r="D209" s="66"/>
      <c r="F209" s="66"/>
      <c r="G209" s="90"/>
      <c r="H209" s="9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row>
    <row r="210" ht="15.75" customHeight="1">
      <c r="A210" s="30"/>
      <c r="D210" s="66"/>
      <c r="F210" s="66"/>
      <c r="G210" s="90"/>
      <c r="H210" s="9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row>
    <row r="211" ht="15.75" customHeight="1">
      <c r="A211" s="30"/>
      <c r="D211" s="66"/>
      <c r="F211" s="66"/>
      <c r="G211" s="90"/>
      <c r="H211" s="9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row>
    <row r="212" ht="15.75" customHeight="1">
      <c r="A212" s="30"/>
      <c r="D212" s="66"/>
      <c r="F212" s="66"/>
      <c r="G212" s="90"/>
      <c r="H212" s="9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row>
    <row r="213" ht="15.75" customHeight="1">
      <c r="A213" s="30"/>
      <c r="D213" s="66"/>
      <c r="F213" s="66"/>
      <c r="G213" s="90"/>
      <c r="H213" s="9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row>
    <row r="214" ht="15.75" customHeight="1">
      <c r="A214" s="30"/>
      <c r="D214" s="66"/>
      <c r="F214" s="66"/>
      <c r="G214" s="90"/>
      <c r="H214" s="9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row>
    <row r="215" ht="15.75" customHeight="1">
      <c r="A215" s="30"/>
      <c r="D215" s="66"/>
      <c r="F215" s="66"/>
      <c r="G215" s="90"/>
      <c r="H215" s="9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row>
    <row r="216" ht="15.75" customHeight="1">
      <c r="A216" s="30"/>
      <c r="D216" s="66"/>
      <c r="F216" s="66"/>
      <c r="G216" s="90"/>
      <c r="H216" s="9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row>
    <row r="217" ht="15.75" customHeight="1">
      <c r="A217" s="30"/>
      <c r="D217" s="66"/>
      <c r="F217" s="66"/>
      <c r="G217" s="90"/>
      <c r="H217" s="9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row>
    <row r="218" ht="15.75" customHeight="1">
      <c r="A218" s="30"/>
      <c r="D218" s="66"/>
      <c r="F218" s="66"/>
      <c r="G218" s="90"/>
      <c r="H218" s="9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row>
    <row r="219" ht="15.75" customHeight="1">
      <c r="A219" s="30"/>
      <c r="D219" s="66"/>
      <c r="F219" s="66"/>
      <c r="G219" s="90"/>
      <c r="H219" s="9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row>
    <row r="220" ht="15.75" customHeight="1">
      <c r="A220" s="30"/>
      <c r="D220" s="66"/>
      <c r="F220" s="66"/>
      <c r="G220" s="90"/>
      <c r="H220" s="9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row>
    <row r="221" ht="15.75" customHeight="1">
      <c r="A221" s="30"/>
      <c r="D221" s="66"/>
      <c r="F221" s="66"/>
      <c r="G221" s="90"/>
      <c r="H221" s="9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row>
    <row r="222" ht="15.75" customHeight="1">
      <c r="A222" s="30"/>
      <c r="D222" s="66"/>
      <c r="F222" s="66"/>
      <c r="G222" s="90"/>
      <c r="H222" s="9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row>
    <row r="223" ht="15.75" customHeight="1">
      <c r="A223" s="30"/>
      <c r="D223" s="66"/>
      <c r="F223" s="66"/>
      <c r="G223" s="90"/>
      <c r="H223" s="9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row>
    <row r="224" ht="15.75" customHeight="1">
      <c r="A224" s="30"/>
      <c r="D224" s="66"/>
      <c r="F224" s="66"/>
      <c r="G224" s="90"/>
      <c r="H224" s="9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row>
    <row r="225" ht="15.75" customHeight="1">
      <c r="A225" s="30"/>
      <c r="D225" s="66"/>
      <c r="F225" s="66"/>
      <c r="G225" s="90"/>
      <c r="H225" s="9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row>
    <row r="226" ht="15.75" customHeight="1">
      <c r="A226" s="30"/>
      <c r="D226" s="66"/>
      <c r="F226" s="66"/>
      <c r="G226" s="90"/>
      <c r="H226" s="9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row>
    <row r="227" ht="15.75" customHeight="1">
      <c r="A227" s="30"/>
      <c r="D227" s="66"/>
      <c r="F227" s="66"/>
      <c r="G227" s="90"/>
      <c r="H227" s="9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row>
    <row r="228" ht="15.75" customHeight="1">
      <c r="A228" s="30"/>
      <c r="D228" s="66"/>
      <c r="F228" s="66"/>
      <c r="G228" s="90"/>
      <c r="H228" s="9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row>
    <row r="229" ht="15.75" customHeight="1">
      <c r="A229" s="30"/>
      <c r="D229" s="66"/>
      <c r="F229" s="66"/>
      <c r="G229" s="90"/>
      <c r="H229" s="9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row>
    <row r="230" ht="15.75" customHeight="1">
      <c r="A230" s="30"/>
      <c r="D230" s="66"/>
      <c r="F230" s="66"/>
      <c r="G230" s="90"/>
      <c r="H230" s="9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row>
    <row r="231" ht="15.75" customHeight="1">
      <c r="A231" s="30"/>
      <c r="D231" s="66"/>
      <c r="F231" s="66"/>
      <c r="G231" s="90"/>
      <c r="H231" s="9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row>
    <row r="232" ht="15.75" customHeight="1">
      <c r="A232" s="30"/>
      <c r="D232" s="66"/>
      <c r="F232" s="66"/>
      <c r="G232" s="90"/>
      <c r="H232" s="9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row>
    <row r="233" ht="15.75" customHeight="1">
      <c r="A233" s="30"/>
      <c r="D233" s="66"/>
      <c r="F233" s="66"/>
      <c r="G233" s="90"/>
      <c r="H233" s="9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row>
    <row r="234" ht="15.75" customHeight="1">
      <c r="A234" s="30"/>
      <c r="D234" s="66"/>
      <c r="F234" s="66"/>
      <c r="G234" s="90"/>
      <c r="H234" s="9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D4"/>
    <mergeCell ref="C5:D5"/>
    <mergeCell ref="F5:H5"/>
    <mergeCell ref="C7:D7"/>
    <mergeCell ref="F7:G7"/>
    <mergeCell ref="C14:F14"/>
  </mergeCells>
  <conditionalFormatting sqref="E5">
    <cfRule type="cellIs" dxfId="4" priority="1" operator="greaterThanOrEqual">
      <formula>0.8</formula>
    </cfRule>
  </conditionalFormatting>
  <conditionalFormatting sqref="E5">
    <cfRule type="cellIs" dxfId="5" priority="2" operator="lessThan">
      <formula>0.5</formula>
    </cfRule>
  </conditionalFormatting>
  <conditionalFormatting sqref="E5">
    <cfRule type="cellIs" dxfId="11" priority="3" operator="between">
      <formula>0.5</formula>
      <formula>0.8</formula>
    </cfRule>
  </conditionalFormatting>
  <printOptions verticalCentered="1"/>
  <pageMargins bottom="0.7480314960629921" footer="0.0" header="0.0" left="0.2362204724409449" right="0.2362204724409449" top="0.7480314960629921"/>
  <pageSetup paperSize="9" scale="79"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52.29"/>
    <col customWidth="1" min="4" max="4" width="39.43"/>
    <col customWidth="1" min="5" max="6" width="44.29"/>
    <col customWidth="1" min="7" max="26" width="11.43"/>
  </cols>
  <sheetData>
    <row r="1" ht="14.25" customHeight="1">
      <c r="A1" s="64"/>
      <c r="B1" s="64"/>
      <c r="C1" s="64"/>
      <c r="D1" s="64"/>
      <c r="E1" s="64"/>
      <c r="F1" s="64"/>
      <c r="G1" s="64"/>
      <c r="H1" s="64"/>
      <c r="I1" s="64"/>
      <c r="J1" s="64"/>
      <c r="K1" s="64"/>
      <c r="L1" s="64"/>
      <c r="M1" s="64"/>
      <c r="N1" s="64"/>
      <c r="O1" s="64"/>
      <c r="P1" s="64"/>
      <c r="Q1" s="64"/>
      <c r="R1" s="64"/>
      <c r="S1" s="64"/>
      <c r="T1" s="64"/>
      <c r="U1" s="64"/>
      <c r="V1" s="64"/>
      <c r="W1" s="64"/>
      <c r="X1" s="64"/>
      <c r="Y1" s="64"/>
      <c r="Z1" s="64"/>
    </row>
    <row r="2" ht="14.25" customHeight="1">
      <c r="A2" s="64"/>
      <c r="B2" s="64"/>
      <c r="C2" s="309" t="s">
        <v>290</v>
      </c>
      <c r="D2" s="309" t="s">
        <v>291</v>
      </c>
      <c r="E2" s="309" t="s">
        <v>292</v>
      </c>
      <c r="F2" s="309" t="s">
        <v>293</v>
      </c>
      <c r="G2" s="64"/>
      <c r="H2" s="64"/>
      <c r="I2" s="64"/>
      <c r="J2" s="64"/>
      <c r="K2" s="64"/>
      <c r="L2" s="64"/>
      <c r="M2" s="64"/>
      <c r="N2" s="64"/>
      <c r="O2" s="64"/>
      <c r="P2" s="64"/>
      <c r="Q2" s="64"/>
      <c r="R2" s="64"/>
      <c r="S2" s="64"/>
      <c r="T2" s="64"/>
      <c r="U2" s="64"/>
      <c r="V2" s="64"/>
      <c r="W2" s="64"/>
      <c r="X2" s="64"/>
      <c r="Y2" s="64"/>
      <c r="Z2" s="64"/>
    </row>
    <row r="3" ht="96.75" customHeight="1">
      <c r="A3" s="64" t="str">
        <f t="shared" ref="A3:A4" si="1">#REF!</f>
        <v>#REF!</v>
      </c>
      <c r="B3" s="64" t="s">
        <v>294</v>
      </c>
      <c r="C3" s="310" t="s">
        <v>295</v>
      </c>
      <c r="D3" s="310" t="s">
        <v>296</v>
      </c>
      <c r="E3" s="310" t="s">
        <v>297</v>
      </c>
      <c r="F3" s="310" t="s">
        <v>298</v>
      </c>
      <c r="G3" s="310"/>
      <c r="H3" s="64"/>
      <c r="I3" s="64"/>
      <c r="J3" s="64"/>
      <c r="K3" s="64"/>
      <c r="L3" s="64"/>
      <c r="M3" s="64"/>
      <c r="N3" s="64"/>
      <c r="O3" s="64"/>
      <c r="P3" s="64"/>
      <c r="Q3" s="64"/>
      <c r="R3" s="64"/>
      <c r="S3" s="64"/>
      <c r="T3" s="64"/>
      <c r="U3" s="64"/>
      <c r="V3" s="64"/>
      <c r="W3" s="64"/>
      <c r="X3" s="64"/>
      <c r="Y3" s="64"/>
      <c r="Z3" s="64"/>
    </row>
    <row r="4" ht="96.75" customHeight="1">
      <c r="A4" s="64" t="str">
        <f t="shared" si="1"/>
        <v>#REF!</v>
      </c>
      <c r="B4" s="64" t="s">
        <v>299</v>
      </c>
      <c r="C4" s="310" t="s">
        <v>300</v>
      </c>
      <c r="D4" s="310" t="s">
        <v>301</v>
      </c>
      <c r="E4" s="310" t="s">
        <v>302</v>
      </c>
      <c r="F4" s="310" t="s">
        <v>303</v>
      </c>
      <c r="G4" s="64"/>
      <c r="H4" s="64"/>
      <c r="I4" s="64"/>
      <c r="J4" s="64"/>
      <c r="K4" s="64"/>
      <c r="L4" s="64"/>
      <c r="M4" s="64"/>
      <c r="N4" s="64"/>
      <c r="O4" s="64"/>
      <c r="P4" s="64"/>
      <c r="Q4" s="64"/>
      <c r="R4" s="64"/>
      <c r="S4" s="64"/>
      <c r="T4" s="64"/>
      <c r="U4" s="64"/>
      <c r="V4" s="64"/>
      <c r="W4" s="64"/>
      <c r="X4" s="64"/>
      <c r="Y4" s="64"/>
      <c r="Z4" s="64"/>
    </row>
    <row r="5" ht="14.25" customHeight="1">
      <c r="A5" s="64"/>
      <c r="B5" s="64"/>
      <c r="C5" s="64"/>
      <c r="D5" s="64"/>
      <c r="E5" s="64"/>
      <c r="F5" s="64"/>
      <c r="G5" s="64"/>
      <c r="H5" s="64"/>
      <c r="I5" s="64"/>
      <c r="J5" s="64"/>
      <c r="K5" s="64"/>
      <c r="L5" s="64"/>
      <c r="M5" s="64"/>
      <c r="N5" s="64"/>
      <c r="O5" s="64"/>
      <c r="P5" s="64"/>
      <c r="Q5" s="64"/>
      <c r="R5" s="64"/>
      <c r="S5" s="64"/>
      <c r="T5" s="64"/>
      <c r="U5" s="64"/>
      <c r="V5" s="64"/>
      <c r="W5" s="64"/>
      <c r="X5" s="64"/>
      <c r="Y5" s="64"/>
      <c r="Z5" s="64"/>
    </row>
    <row r="6" ht="14.25" customHeight="1">
      <c r="A6" s="64"/>
      <c r="B6" s="64"/>
      <c r="C6" s="309" t="s">
        <v>304</v>
      </c>
      <c r="D6" s="309" t="s">
        <v>305</v>
      </c>
      <c r="E6" s="64"/>
      <c r="F6" s="64"/>
      <c r="G6" s="64"/>
      <c r="H6" s="64"/>
      <c r="I6" s="64"/>
      <c r="J6" s="64"/>
      <c r="K6" s="64"/>
      <c r="L6" s="64"/>
      <c r="M6" s="64"/>
      <c r="N6" s="64"/>
      <c r="O6" s="64"/>
      <c r="P6" s="64"/>
      <c r="Q6" s="64"/>
      <c r="R6" s="64"/>
      <c r="S6" s="64"/>
      <c r="T6" s="64"/>
      <c r="U6" s="64"/>
      <c r="V6" s="64"/>
      <c r="W6" s="64"/>
      <c r="X6" s="64"/>
      <c r="Y6" s="64"/>
      <c r="Z6" s="64"/>
    </row>
    <row r="7" ht="15.0" customHeight="1">
      <c r="A7" s="64"/>
      <c r="B7" s="64"/>
      <c r="C7" s="311" t="s">
        <v>306</v>
      </c>
      <c r="D7" s="64" t="s">
        <v>307</v>
      </c>
      <c r="E7" s="64"/>
      <c r="F7" s="64"/>
      <c r="G7" s="64"/>
      <c r="H7" s="64"/>
      <c r="I7" s="64"/>
      <c r="J7" s="64"/>
      <c r="K7" s="64"/>
      <c r="L7" s="64"/>
      <c r="M7" s="64"/>
      <c r="N7" s="64"/>
      <c r="O7" s="64"/>
      <c r="P7" s="64"/>
      <c r="Q7" s="64"/>
      <c r="R7" s="64"/>
      <c r="S7" s="64"/>
      <c r="T7" s="64"/>
      <c r="U7" s="64"/>
      <c r="V7" s="64"/>
      <c r="W7" s="64"/>
      <c r="X7" s="64"/>
      <c r="Y7" s="64"/>
      <c r="Z7" s="64"/>
    </row>
    <row r="8" ht="15.0" customHeight="1">
      <c r="A8" s="64"/>
      <c r="B8" s="64"/>
      <c r="C8" s="311" t="s">
        <v>308</v>
      </c>
      <c r="D8" s="312" t="s">
        <v>309</v>
      </c>
      <c r="E8" s="64"/>
      <c r="F8" s="64"/>
      <c r="G8" s="64"/>
      <c r="H8" s="64"/>
      <c r="I8" s="64"/>
      <c r="J8" s="64"/>
      <c r="K8" s="64"/>
      <c r="L8" s="64"/>
      <c r="M8" s="64"/>
      <c r="N8" s="64"/>
      <c r="O8" s="64"/>
      <c r="P8" s="64"/>
      <c r="Q8" s="64"/>
      <c r="R8" s="64"/>
      <c r="S8" s="64"/>
      <c r="T8" s="64"/>
      <c r="U8" s="64"/>
      <c r="V8" s="64"/>
      <c r="W8" s="64"/>
      <c r="X8" s="64"/>
      <c r="Y8" s="64"/>
      <c r="Z8" s="64"/>
    </row>
    <row r="9" ht="15.0" customHeight="1">
      <c r="A9" s="64"/>
      <c r="B9" s="64"/>
      <c r="C9" s="64" t="s">
        <v>310</v>
      </c>
      <c r="D9" s="311" t="s">
        <v>311</v>
      </c>
      <c r="E9" s="64"/>
      <c r="F9" s="64"/>
      <c r="G9" s="64"/>
      <c r="H9" s="64"/>
      <c r="I9" s="64"/>
      <c r="J9" s="64"/>
      <c r="K9" s="64"/>
      <c r="L9" s="64"/>
      <c r="M9" s="64"/>
      <c r="N9" s="64"/>
      <c r="O9" s="64"/>
      <c r="P9" s="64"/>
      <c r="Q9" s="64"/>
      <c r="R9" s="64"/>
      <c r="S9" s="64"/>
      <c r="T9" s="64"/>
      <c r="U9" s="64"/>
      <c r="V9" s="64"/>
      <c r="W9" s="64"/>
      <c r="X9" s="64"/>
      <c r="Y9" s="64"/>
      <c r="Z9" s="64"/>
    </row>
    <row r="10" ht="15.0" customHeight="1">
      <c r="A10" s="64"/>
      <c r="B10" s="64"/>
      <c r="C10" s="64" t="s">
        <v>312</v>
      </c>
      <c r="D10" s="313" t="s">
        <v>313</v>
      </c>
      <c r="E10" s="64"/>
      <c r="F10" s="64"/>
      <c r="G10" s="64"/>
      <c r="H10" s="64"/>
      <c r="I10" s="64"/>
      <c r="J10" s="64"/>
      <c r="K10" s="64"/>
      <c r="L10" s="64"/>
      <c r="M10" s="64"/>
      <c r="N10" s="64"/>
      <c r="O10" s="64"/>
      <c r="P10" s="64"/>
      <c r="Q10" s="64"/>
      <c r="R10" s="64"/>
      <c r="S10" s="64"/>
      <c r="T10" s="64"/>
      <c r="U10" s="64"/>
      <c r="V10" s="64"/>
      <c r="W10" s="64"/>
      <c r="X10" s="64"/>
      <c r="Y10" s="64"/>
      <c r="Z10" s="64"/>
    </row>
    <row r="11" ht="15.0" customHeight="1">
      <c r="A11" s="64"/>
      <c r="B11" s="64"/>
      <c r="C11" s="64" t="s">
        <v>314</v>
      </c>
      <c r="D11" s="313" t="s">
        <v>315</v>
      </c>
      <c r="E11" s="64"/>
      <c r="F11" s="64"/>
      <c r="G11" s="64"/>
      <c r="H11" s="64"/>
      <c r="I11" s="64"/>
      <c r="J11" s="64"/>
      <c r="K11" s="64"/>
      <c r="L11" s="64"/>
      <c r="M11" s="64"/>
      <c r="N11" s="64"/>
      <c r="O11" s="64"/>
      <c r="P11" s="64"/>
      <c r="Q11" s="64"/>
      <c r="R11" s="64"/>
      <c r="S11" s="64"/>
      <c r="T11" s="64"/>
      <c r="U11" s="64"/>
      <c r="V11" s="64"/>
      <c r="W11" s="64"/>
      <c r="X11" s="64"/>
      <c r="Y11" s="64"/>
      <c r="Z11" s="64"/>
    </row>
    <row r="12" ht="15.0" customHeight="1">
      <c r="A12" s="64"/>
      <c r="B12" s="64"/>
      <c r="C12" s="64" t="s">
        <v>316</v>
      </c>
      <c r="D12" s="314" t="s">
        <v>317</v>
      </c>
      <c r="E12" s="64"/>
      <c r="F12" s="64"/>
      <c r="G12" s="64"/>
      <c r="H12" s="64"/>
      <c r="I12" s="64"/>
      <c r="J12" s="64"/>
      <c r="K12" s="64"/>
      <c r="L12" s="64"/>
      <c r="M12" s="64"/>
      <c r="N12" s="64"/>
      <c r="O12" s="64"/>
      <c r="P12" s="64"/>
      <c r="Q12" s="64"/>
      <c r="R12" s="64"/>
      <c r="S12" s="64"/>
      <c r="T12" s="64"/>
      <c r="U12" s="64"/>
      <c r="V12" s="64"/>
      <c r="W12" s="64"/>
      <c r="X12" s="64"/>
      <c r="Y12" s="64"/>
      <c r="Z12" s="64"/>
    </row>
    <row r="13" ht="15.0" customHeight="1">
      <c r="A13" s="64"/>
      <c r="B13" s="64"/>
      <c r="C13" s="64" t="s">
        <v>318</v>
      </c>
      <c r="D13" s="313" t="s">
        <v>319</v>
      </c>
      <c r="E13" s="64"/>
      <c r="F13" s="64"/>
      <c r="G13" s="64"/>
      <c r="H13" s="64"/>
      <c r="I13" s="64"/>
      <c r="J13" s="64"/>
      <c r="K13" s="64"/>
      <c r="L13" s="64"/>
      <c r="M13" s="64"/>
      <c r="N13" s="64"/>
      <c r="O13" s="64"/>
      <c r="P13" s="64"/>
      <c r="Q13" s="64"/>
      <c r="R13" s="64"/>
      <c r="S13" s="64"/>
      <c r="T13" s="64"/>
      <c r="U13" s="64"/>
      <c r="V13" s="64"/>
      <c r="W13" s="64"/>
      <c r="X13" s="64"/>
      <c r="Y13" s="64"/>
      <c r="Z13" s="64"/>
    </row>
    <row r="14" ht="15.0" customHeight="1">
      <c r="A14" s="64"/>
      <c r="B14" s="64"/>
      <c r="C14" s="64" t="s">
        <v>320</v>
      </c>
      <c r="D14" s="312" t="s">
        <v>321</v>
      </c>
      <c r="E14" s="64"/>
      <c r="F14" s="64"/>
      <c r="G14" s="64"/>
      <c r="H14" s="64"/>
      <c r="I14" s="64"/>
      <c r="J14" s="64"/>
      <c r="K14" s="64"/>
      <c r="L14" s="64"/>
      <c r="M14" s="64"/>
      <c r="N14" s="64"/>
      <c r="O14" s="64"/>
      <c r="P14" s="64"/>
      <c r="Q14" s="64"/>
      <c r="R14" s="64"/>
      <c r="S14" s="64"/>
      <c r="T14" s="64"/>
      <c r="U14" s="64"/>
      <c r="V14" s="64"/>
      <c r="W14" s="64"/>
      <c r="X14" s="64"/>
      <c r="Y14" s="64"/>
      <c r="Z14" s="64"/>
    </row>
    <row r="15" ht="15.0" customHeight="1">
      <c r="A15" s="64"/>
      <c r="B15" s="64"/>
      <c r="C15" s="64" t="s">
        <v>322</v>
      </c>
      <c r="D15" s="315" t="s">
        <v>323</v>
      </c>
      <c r="E15" s="64"/>
      <c r="F15" s="64"/>
      <c r="G15" s="64"/>
      <c r="H15" s="64"/>
      <c r="I15" s="64"/>
      <c r="J15" s="64"/>
      <c r="K15" s="64"/>
      <c r="L15" s="64"/>
      <c r="M15" s="64"/>
      <c r="N15" s="64"/>
      <c r="O15" s="64"/>
      <c r="P15" s="64"/>
      <c r="Q15" s="64"/>
      <c r="R15" s="64"/>
      <c r="S15" s="64"/>
      <c r="T15" s="64"/>
      <c r="U15" s="64"/>
      <c r="V15" s="64"/>
      <c r="W15" s="64"/>
      <c r="X15" s="64"/>
      <c r="Y15" s="64"/>
      <c r="Z15" s="64"/>
    </row>
    <row r="16" ht="15.0" customHeight="1">
      <c r="A16" s="64"/>
      <c r="B16" s="64"/>
      <c r="C16" s="64" t="s">
        <v>324</v>
      </c>
      <c r="D16" s="316" t="s">
        <v>325</v>
      </c>
      <c r="E16" s="64"/>
      <c r="F16" s="64"/>
      <c r="G16" s="64"/>
      <c r="H16" s="64"/>
      <c r="I16" s="64"/>
      <c r="J16" s="64"/>
      <c r="K16" s="64"/>
      <c r="L16" s="64"/>
      <c r="M16" s="64"/>
      <c r="N16" s="64"/>
      <c r="O16" s="64"/>
      <c r="P16" s="64"/>
      <c r="Q16" s="64"/>
      <c r="R16" s="64"/>
      <c r="S16" s="64"/>
      <c r="T16" s="64"/>
      <c r="U16" s="64"/>
      <c r="V16" s="64"/>
      <c r="W16" s="64"/>
      <c r="X16" s="64"/>
      <c r="Y16" s="64"/>
      <c r="Z16" s="64"/>
    </row>
    <row r="17" ht="15.0" customHeight="1">
      <c r="A17" s="64"/>
      <c r="B17" s="64"/>
      <c r="C17" s="64" t="s">
        <v>326</v>
      </c>
      <c r="D17" s="64" t="s">
        <v>327</v>
      </c>
      <c r="E17" s="64"/>
      <c r="F17" s="64"/>
      <c r="G17" s="64"/>
      <c r="H17" s="64"/>
      <c r="I17" s="64"/>
      <c r="J17" s="64"/>
      <c r="K17" s="64"/>
      <c r="L17" s="64"/>
      <c r="M17" s="64"/>
      <c r="N17" s="64"/>
      <c r="O17" s="64"/>
      <c r="P17" s="64"/>
      <c r="Q17" s="64"/>
      <c r="R17" s="64"/>
      <c r="S17" s="64"/>
      <c r="T17" s="64"/>
      <c r="U17" s="64"/>
      <c r="V17" s="64"/>
      <c r="W17" s="64"/>
      <c r="X17" s="64"/>
      <c r="Y17" s="64"/>
      <c r="Z17" s="64"/>
    </row>
    <row r="18" ht="15.0" customHeight="1">
      <c r="A18" s="64"/>
      <c r="B18" s="64"/>
      <c r="C18" s="64" t="s">
        <v>328</v>
      </c>
      <c r="D18" s="64" t="s">
        <v>329</v>
      </c>
      <c r="E18" s="64"/>
      <c r="F18" s="64"/>
      <c r="G18" s="64"/>
      <c r="H18" s="64"/>
      <c r="I18" s="64"/>
      <c r="J18" s="64"/>
      <c r="K18" s="64"/>
      <c r="L18" s="64"/>
      <c r="M18" s="64"/>
      <c r="N18" s="64"/>
      <c r="O18" s="64"/>
      <c r="P18" s="64"/>
      <c r="Q18" s="64"/>
      <c r="R18" s="64"/>
      <c r="S18" s="64"/>
      <c r="T18" s="64"/>
      <c r="U18" s="64"/>
      <c r="V18" s="64"/>
      <c r="W18" s="64"/>
      <c r="X18" s="64"/>
      <c r="Y18" s="64"/>
      <c r="Z18" s="64"/>
    </row>
    <row r="19" ht="15.0" customHeight="1">
      <c r="A19" s="64"/>
      <c r="B19" s="64"/>
      <c r="C19" s="64" t="s">
        <v>330</v>
      </c>
      <c r="D19" s="64" t="s">
        <v>331</v>
      </c>
      <c r="E19" s="64"/>
      <c r="F19" s="64"/>
      <c r="G19" s="64"/>
      <c r="H19" s="64"/>
      <c r="I19" s="64"/>
      <c r="J19" s="64"/>
      <c r="K19" s="64"/>
      <c r="L19" s="64"/>
      <c r="M19" s="64"/>
      <c r="N19" s="64"/>
      <c r="O19" s="64"/>
      <c r="P19" s="64"/>
      <c r="Q19" s="64"/>
      <c r="R19" s="64"/>
      <c r="S19" s="64"/>
      <c r="T19" s="64"/>
      <c r="U19" s="64"/>
      <c r="V19" s="64"/>
      <c r="W19" s="64"/>
      <c r="X19" s="64"/>
      <c r="Y19" s="64"/>
      <c r="Z19" s="64"/>
    </row>
    <row r="20" ht="15.0" customHeight="1">
      <c r="A20" s="64"/>
      <c r="B20" s="64"/>
      <c r="C20" s="64" t="s">
        <v>332</v>
      </c>
      <c r="D20" s="64" t="s">
        <v>333</v>
      </c>
      <c r="E20" s="64"/>
      <c r="F20" s="64"/>
      <c r="G20" s="64"/>
      <c r="H20" s="64"/>
      <c r="I20" s="64"/>
      <c r="J20" s="64"/>
      <c r="K20" s="64"/>
      <c r="L20" s="64"/>
      <c r="M20" s="64"/>
      <c r="N20" s="64"/>
      <c r="O20" s="64"/>
      <c r="P20" s="64"/>
      <c r="Q20" s="64"/>
      <c r="R20" s="64"/>
      <c r="S20" s="64"/>
      <c r="T20" s="64"/>
      <c r="U20" s="64"/>
      <c r="V20" s="64"/>
      <c r="W20" s="64"/>
      <c r="X20" s="64"/>
      <c r="Y20" s="64"/>
      <c r="Z20" s="64"/>
    </row>
    <row r="21" ht="15.0" customHeight="1">
      <c r="A21" s="64"/>
      <c r="B21" s="64"/>
      <c r="C21" s="64" t="s">
        <v>334</v>
      </c>
      <c r="D21" s="64" t="s">
        <v>335</v>
      </c>
      <c r="E21" s="64"/>
      <c r="F21" s="64"/>
      <c r="G21" s="64"/>
      <c r="H21" s="64"/>
      <c r="I21" s="64"/>
      <c r="J21" s="64"/>
      <c r="K21" s="64"/>
      <c r="L21" s="64"/>
      <c r="M21" s="64"/>
      <c r="N21" s="64"/>
      <c r="O21" s="64"/>
      <c r="P21" s="64"/>
      <c r="Q21" s="64"/>
      <c r="R21" s="64"/>
      <c r="S21" s="64"/>
      <c r="T21" s="64"/>
      <c r="U21" s="64"/>
      <c r="V21" s="64"/>
      <c r="W21" s="64"/>
      <c r="X21" s="64"/>
      <c r="Y21" s="64"/>
      <c r="Z21" s="64"/>
    </row>
    <row r="22" ht="15.0"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5.0"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4.2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4.2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4.2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4.2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4.2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4.2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4.2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4.2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4.2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4.2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4.2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4.2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4.2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4.2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4.2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4.2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4.2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4.2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4.2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4.2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4.2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4.2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4.2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4.2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4.2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4.2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4.2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4.2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4.2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4.2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4.2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4.2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4.2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4.2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4.2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4.2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4.2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4.2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4.2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4.2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4.2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4.2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4.2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4.2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4.2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4.2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4.2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4.2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4.2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4.2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4.2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4.2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4.2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4.2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4.2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4.2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4.2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4.2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4.2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4.2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4.2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4.2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4.2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4.2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4.2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4.2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4.2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4.2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4.2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4.2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4.2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4.2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4.2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4.2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4.2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4.2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4.2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4.2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4.2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4.2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4.2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4.2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4.2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4.2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4.2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4.2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4.2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4.2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4.2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4.2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4.2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4.2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4.2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4.2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4.2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4.2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4.2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4.2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4.2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4.2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4.2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4.2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4.2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4.2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4.2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4.2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4.2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4.2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4.2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4.2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4.2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4.2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4.2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4.2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4.2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4.2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4.2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4.2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4.2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4.2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4.2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4.2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4.2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4.2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4.2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4.2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4.2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4.2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4.2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4.2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4.2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4.2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4.2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4.2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4.2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4.2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4.2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4.2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4.2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4.2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4.2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4.2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4.2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4.2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4.2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4.2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4.2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4.2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4.2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4.2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4.2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4.2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4.2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4.2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4.2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4.2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4.2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4.2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4.2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4.2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4.2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4.2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4.2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4.2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4.2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4.2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4.2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4.2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4.2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4.2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4.2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4.2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4.2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4.2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4.2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4.2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4.2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4.2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4.2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4.2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4.2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4.2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4.2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4.2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4.2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4.2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4.2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4.2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4.2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4.2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4.2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4.2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4.2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4.2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4.2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4.2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4.2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4.2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