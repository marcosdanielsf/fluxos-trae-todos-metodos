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Forças" sheetId="2" r:id="rId5"/>
    <sheet state="visible" name="Fraquezas" sheetId="3" r:id="rId6"/>
    <sheet state="visible" name="Oportunidades" sheetId="4" r:id="rId7"/>
    <sheet state="visible" name="Ameaças" sheetId="5" r:id="rId8"/>
    <sheet state="visible" name="Matriz SWOT" sheetId="6" r:id="rId9"/>
    <sheet state="visible" name="Cruzamento" sheetId="7" r:id="rId10"/>
    <sheet state="visible" name="Objetivos Estratégicos " sheetId="8" r:id="rId11"/>
    <sheet state="visible" name="Desdobramentos" sheetId="9" r:id="rId12"/>
    <sheet state="visible" name="Planos de Ação - FxO" sheetId="10" r:id="rId13"/>
    <sheet state="visible" name="Resultados SWOT Gráficos" sheetId="11" r:id="rId14"/>
    <sheet state="visible" name="GPA" sheetId="12" r:id="rId15"/>
    <sheet state="visible" name="Painel Estratégico " sheetId="13" r:id="rId16"/>
    <sheet state="visible" name="Imprimir" sheetId="14" r:id="rId17"/>
    <sheet state="hidden" name="Dúvidas e Respostas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Nessa tabela você terá seus fatores internos classificados dos mais pontuados para os menos.</t>
      </text>
    </comment>
    <comment authorId="0" ref="C12">
      <text>
        <t xml:space="preserve">Nessa tabela você terá seus fatores externos classificados dos mais pontuados para os menos.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Selecione uma de suas forças ou fraquezas para relacionar a uma oportunidade ou ameaça. Isso ajudará a definir os tipos de planos de ação a desenvolver.</t>
      </text>
    </comment>
    <comment authorId="0" ref="D7">
      <text>
        <t xml:space="preserve">Aqui você vê se o item é uma força ou fraqueza na sua SWOT.</t>
      </text>
    </comment>
    <comment authorId="0" ref="E7">
      <text>
        <t xml:space="preserve">Selecione uma oportunidade ou ameaça para relacionar ao item força ou fraqueza. Isso ajudará a definir os tipos de planos de ação a desenvolver.</t>
      </text>
    </comment>
    <comment authorId="0" ref="F7">
      <text>
        <t xml:space="preserve">Aqui você vê se o item é uma oportunidade ou ameaça na sua SWOT.</t>
      </text>
    </comment>
    <comment authorId="0" ref="G7">
      <text>
        <t xml:space="preserve">Aqui você verá o tipo de estratégia que você deverá procurar desenvolver nos seus planos de ação.
Verde - Uma força relacionada a uma oportunidade. Isto pode representar uma ótima possibilidade de criar vantagens competitivas.
Amarelo - Você precisa ter atenção. Você pode estar perdendo uma oportunidade por conta de uma fraqueza ou o ambiente pode estar prejudicando uma de suas forças.
Vermelho - Você tem uma fraqueza relacionada a uma ameaça. Isto pode significar que você precisará pensar em novas estratégias no mercado e até processos internos.</t>
      </text>
    </comment>
    <comment authorId="0" ref="H7">
      <text>
        <t xml:space="preserve">Aqui você verá uma recomendação sobre o tipo de plano de ação que você deve criar para cada tipo de estratégia.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Aqui você definirá os planos de ação aplicáveis a cada um dos principais itens da sua SWOT.</t>
      </text>
    </comment>
    <comment authorId="0" ref="D6">
      <text>
        <t xml:space="preserve">Estes são os principais itens da sua SWOT.</t>
      </text>
    </comment>
    <comment authorId="0" ref="E6">
      <text>
        <t xml:space="preserve">Aqui você vê se o item é uma força, fraqueza, oportunidade ou ameaça na sua SWOT.</t>
      </text>
    </comment>
    <comment authorId="0" ref="F6">
      <text>
        <t xml:space="preserve">Aqui você deve definir os responsáveis por cada plano de ação.</t>
      </text>
    </comment>
    <comment authorId="0" ref="G6">
      <text>
        <t xml:space="preserve">Aqui você vê a área a qual o plano de ação está definido de acordo com o responsável selecionado.</t>
      </text>
    </comment>
    <comment authorId="0" ref="H6">
      <text>
        <t xml:space="preserve">A previsão de início pode ser também a data efetiva de início, caso você esteja preenchendo a planilha após o início da execução do plano de ação.</t>
      </text>
    </comment>
    <comment authorId="0" ref="I6">
      <text>
        <t xml:space="preserve">A previsão de fim pode ser também a data efetiva de término da execução do plano de ação, caso você esteja preenchendo a planilha após após esta atividade. Contudo, é ideal que você planeje primeiro para que você possa avaliar e analisar o andamento da execução.</t>
      </text>
    </comment>
    <comment authorId="0" ref="J6">
      <text>
        <t xml:space="preserve">Selecione o momento atual do andamento da execução do plano de ação. O plano pode estar não iniciado, em andamento ou concluído.</t>
      </text>
    </comment>
    <comment authorId="0" ref="K6">
      <text>
        <t xml:space="preserve">Este é um status geral da execução do seu plano de ação. Se vermelho, indica que a execução está atrasada e que você precisa tomar alguma atitude com relação a ao plano de ação em questão.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A partir das análises anteriores, criamos um índice para medir a favorabilidade do seu negócio. De acordo com o resultado, veja a dica personalizada para você embaixo do gráfico.</t>
      </text>
    </comment>
    <comment authorId="0" ref="C11">
      <text>
        <t xml:space="preserve">Aqui você encontrará dicas da My Direction para manter ou melhorar o seu resultado. Fique atento!</t>
      </text>
    </comment>
    <comment authorId="0" ref="C17">
      <text>
        <t xml:space="preserve">Representação gráfica da sua matriz SWOT.</t>
      </text>
    </comment>
    <comment authorId="0" ref="H17">
      <text>
        <t xml:space="preserve">Representação gráfica da sua matriz SWOT.</t>
      </text>
    </comment>
    <comment authorId="0" ref="C24">
      <text>
        <t xml:space="preserve">Veja aqui suas forças ranqueadas por grau de importância.</t>
      </text>
    </comment>
    <comment authorId="0" ref="H24">
      <text>
        <t xml:space="preserve">Veja aqui suas forças ranqueadas por grau de importância.</t>
      </text>
    </comment>
    <comment authorId="0" ref="C32">
      <text>
        <t xml:space="preserve">Todas as suas oportunidades em rank.</t>
      </text>
    </comment>
    <comment authorId="0" ref="H32">
      <text>
        <t xml:space="preserve">Todas as suas ameaças em rank.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Este é um resultado de gestão. Ele indica o quanto você está usando a página de planos de ação para melhorar o seu negócio.</t>
      </text>
    </comment>
    <comment authorId="0" ref="C7">
      <text>
        <t xml:space="preserve">Representação gráfica dos status dos seus planos de ação.</t>
      </text>
    </comment>
    <comment authorId="0" ref="F7">
      <text>
        <t xml:space="preserve">Representação gráfica dos seus planos de ação conformes.</t>
      </text>
    </comment>
    <comment authorId="0" ref="C14">
      <text>
        <t xml:space="preserve">É importante ter seus planos de ação bem distribuídos, muito embora possa não ser necessário ou possível. 
Neste gráfico você vê a quantidade de planos de ação para as 5 áreas mais carregadas.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1">
      <text>
        <t xml:space="preserve">Representação gráfica dos status dos seus planos de ação.</t>
      </text>
    </comment>
    <comment authorId="0" ref="K51">
      <text>
        <t xml:space="preserve">Representação gráfica dos seus planos de ação conformes.</t>
      </text>
    </comment>
    <comment authorId="0" ref="D60">
      <text>
        <t xml:space="preserve">Cuidado para não sobrecarregar demais uma só área da empresa. É legal ter seus planos de ação bem distribuídos, muito embora possa não ser necessário ou possível. Neste gráfico você vê a quantidade de planos de ação para as 5 áreas mais carregadas.</t>
      </text>
    </comment>
  </commentList>
</comments>
</file>

<file path=xl/sharedStrings.xml><?xml version="1.0" encoding="utf-8"?>
<sst xmlns="http://schemas.openxmlformats.org/spreadsheetml/2006/main" count="630" uniqueCount="268">
  <si>
    <t>Com esta planilha você conseguirá fazer uma Análise SWOT Organizacional de acordo com os seus objetivos a curto prazo. Coloque detalhadamente os fatores internos (forças e fraquezas) e fatores externos (oportunidades e ameaças) quanto a gestão de seu negócio/ projeto para extrair as melhores e maiores reflexões possíveis.</t>
  </si>
  <si>
    <r>
      <rPr>
        <rFont val="Calibri"/>
        <b/>
        <color rgb="FF595959"/>
        <sz val="12.0"/>
      </rPr>
      <t xml:space="preserve">       IMPORTANTE:</t>
    </r>
    <r>
      <rPr>
        <rFont val="Calibri"/>
        <b/>
        <color rgb="FF660066"/>
        <sz val="12.0"/>
      </rPr>
      <t xml:space="preserve"> </t>
    </r>
    <r>
      <rPr>
        <rFont val="Calibri"/>
        <b/>
        <color rgb="FF14B1E7"/>
        <sz val="12.0"/>
      </rPr>
      <t>LEIA OS PASSOS E ENTENDA A PLANILHA</t>
    </r>
  </si>
  <si>
    <t>Passo 1</t>
  </si>
  <si>
    <t>FATORES INTERNOS</t>
  </si>
  <si>
    <t>Segundo a metodologia da análise SWOT a matriz é composta por elementos que compõem o ambiente interno e externo da empresa</t>
  </si>
  <si>
    <t>Forças: defina a lista com as suas forças, o que faz com que os clientes optem por  seu negócio; qual disponibilidade de recursos imprescindíveis para a manutenção dos serviços ou produtos; o que diferencia seu negócio dos demais.</t>
  </si>
  <si>
    <t>Fraquezas: defina a lista com as  suas fraquezas (altos custos com transporte; maiores gastos com a manutenção de equipamentos, colaboradores com valor/hora mais caro etc).</t>
  </si>
  <si>
    <t>Passo 2</t>
  </si>
  <si>
    <t>FATORES EXTERNOS</t>
  </si>
  <si>
    <r>
      <rPr>
        <rFont val="Arial"/>
        <color rgb="FF7F7F7F"/>
        <sz val="11.0"/>
      </rPr>
      <t xml:space="preserve">Após ter definido os fatores internos, defina os seus </t>
    </r>
    <r>
      <rPr>
        <rFont val="Arial"/>
        <b/>
        <color rgb="FF7F7F7F"/>
        <sz val="11.0"/>
      </rPr>
      <t>fatores externos</t>
    </r>
    <r>
      <rPr>
        <rFont val="Arial"/>
        <color rgb="FF7F7F7F"/>
        <sz val="11.0"/>
      </rPr>
      <t>: oportunidades e ameaças.</t>
    </r>
  </si>
  <si>
    <r>
      <rPr>
        <rFont val="Arial"/>
        <b/>
        <color rgb="FF7F7F7F"/>
        <sz val="11.0"/>
      </rPr>
      <t>Oportunidades:</t>
    </r>
    <r>
      <rPr>
        <rFont val="Arial"/>
        <color rgb="FF7F7F7F"/>
        <sz val="11.0"/>
      </rPr>
      <t xml:space="preserve"> defina a lista com as oportunidades (fatores econômicos, oportunidades que estão surgindo e mudanças do mercado que podem favorecer seus clientes).</t>
    </r>
  </si>
  <si>
    <r>
      <rPr>
        <rFont val="Arial"/>
        <b/>
        <color rgb="FF7F7F7F"/>
        <sz val="11.0"/>
      </rPr>
      <t>Ameaças:</t>
    </r>
    <r>
      <rPr>
        <rFont val="Arial"/>
        <color rgb="FF7F7F7F"/>
        <sz val="11.0"/>
      </rPr>
      <t xml:space="preserve"> defina a lista com as ameaças identificadas no mercado (cenário no qual se concentram todos os fatores desfavoráveis para a empresa). Assim, além da ausência de controle sobre as questões, elas se apresentam como grandes ameaças para o negócio.</t>
    </r>
  </si>
  <si>
    <t>Passo 3</t>
  </si>
  <si>
    <t>MATRIZ SWOT</t>
  </si>
  <si>
    <t>Nesta parte da planilha será possível visualizar a visão geral da sua pontuação para as forças, fraquezas, oportunidades e ameaças. A partir desta visão, você terá o retorno da planilha sobre o seu momento profissional atual (desenvolvimento, manutenção, crescimento e sobrevivência). Além dos indicadores, veja também a lista com todas as forças, fraquezas, ameaças e oportunidades hierarquizadas, de acordo com sua pontuação.</t>
  </si>
  <si>
    <t>Passo 4</t>
  </si>
  <si>
    <t>CRUZAMENTOS</t>
  </si>
  <si>
    <t>Uma vez definido seus fatores internos e externos, chegou a hora de cruzar os dados combinando suas forças e fraquezas com ameças e oportunidades. Você pode traçar planos de ação para as combinações.</t>
  </si>
  <si>
    <t>Passo 5</t>
  </si>
  <si>
    <t>OBJETIVOS ESTRATÉGICOS</t>
  </si>
  <si>
    <t>Objetivo é o resultado desejado pela organização que ao ser atingindo sustenta o seu sucesso ao longo de um período de tempo.</t>
  </si>
  <si>
    <t>Passo 6</t>
  </si>
  <si>
    <t>DESDOBRAMENTOS</t>
  </si>
  <si>
    <t>Como os objetivos estratégicos se aplicam a realidade da empresa? Onde eles serão atingidos? Nessa etapa entenderemos o papel de cada aspecto da empresa para alcançar esses objetivos e atingir assim os resultados esperados.</t>
  </si>
  <si>
    <t>Passo 7</t>
  </si>
  <si>
    <t>PLANOS DE AÇÃO</t>
  </si>
  <si>
    <t>Crie planos de ação de acordo com os principais itens da Análise SWOT e dos Cruzamentos feitas para obter grandes melhorias no curto e longo prazos.</t>
  </si>
  <si>
    <t>Passo 8</t>
  </si>
  <si>
    <t>RESULTADOS SWOT</t>
  </si>
  <si>
    <t>Veja os resultados da SWOT como Índice de Favorabilidade, Análise Individual dos Fatores Internos e Externose gráficos da Matriz SWOT.</t>
  </si>
  <si>
    <t>Passo 9</t>
  </si>
  <si>
    <t>RESULTADOS PLANOS DE AÇÃO</t>
  </si>
  <si>
    <t>Veja os resultados dos seus planos de ação graficamente.</t>
  </si>
  <si>
    <r>
      <rPr>
        <rFont val="Arial"/>
        <b/>
        <color rgb="FF7F7F7F"/>
        <sz val="11.0"/>
      </rPr>
      <t>Gráficos:</t>
    </r>
    <r>
      <rPr>
        <rFont val="Arial"/>
        <color rgb="FF7F7F7F"/>
        <sz val="11.0"/>
      </rPr>
      <t xml:space="preserve"> gráficos de desenvolvimento de planos de ação, status e conformidade dos planos em execução.</t>
    </r>
  </si>
  <si>
    <r>
      <rPr>
        <rFont val="Arial"/>
        <b/>
        <color rgb="FF7F7F7F"/>
        <sz val="11.0"/>
      </rPr>
      <t>Análise por Área:</t>
    </r>
    <r>
      <rPr>
        <rFont val="Arial"/>
        <color rgb="FF7F7F7F"/>
        <sz val="11.0"/>
      </rPr>
      <t xml:space="preserve"> veja a análise geral em relação aos planos de ação com cada status e o desempenho geral delas.</t>
    </r>
  </si>
  <si>
    <t>Passo 10</t>
  </si>
  <si>
    <t>PAINEL DE CONTROLE</t>
  </si>
  <si>
    <t>Passo 11</t>
  </si>
  <si>
    <t>RELATÓRIO DE IMPRESSÃO</t>
  </si>
  <si>
    <t>Imprima somente o que importa. Esta parte gera um relatório formatado para impressão com seu plano de ação para todas as combinações entre forças, fraquezas, oportunidades e ameaças. Além disso, tenha os gráficos, a lista hierarquizada, o ínidice de favorabilidade e as dicas.</t>
  </si>
  <si>
    <t>Item</t>
  </si>
  <si>
    <t>Importância</t>
  </si>
  <si>
    <t>Intensidade</t>
  </si>
  <si>
    <t>Tendência</t>
  </si>
  <si>
    <t>Pontuação</t>
  </si>
  <si>
    <t>Ex.: A marca é reconhecida no mercado</t>
  </si>
  <si>
    <t>Ex.: Importante</t>
  </si>
  <si>
    <t>Ex.: Média</t>
  </si>
  <si>
    <t>Ex.: Mantém</t>
  </si>
  <si>
    <t>Ex.: 27</t>
  </si>
  <si>
    <t>dasd</t>
  </si>
  <si>
    <t>Pouco importante</t>
  </si>
  <si>
    <t>Média</t>
  </si>
  <si>
    <t>Melhora muito</t>
  </si>
  <si>
    <t>Sem importância</t>
  </si>
  <si>
    <t>Importante</t>
  </si>
  <si>
    <t>Muito importante</t>
  </si>
  <si>
    <t>Totalmente importante</t>
  </si>
  <si>
    <t>Muito forte</t>
  </si>
  <si>
    <t>Forte</t>
  </si>
  <si>
    <t>Fraca</t>
  </si>
  <si>
    <t>Muito fraca</t>
  </si>
  <si>
    <t>Melhora</t>
  </si>
  <si>
    <t>Pontuação geral das suas Forças</t>
  </si>
  <si>
    <t>→</t>
  </si>
  <si>
    <t>Mantém</t>
  </si>
  <si>
    <t>Piora</t>
  </si>
  <si>
    <t>Piora muito</t>
  </si>
  <si>
    <t>Pontuação geral das suas Fraquezas</t>
  </si>
  <si>
    <t>Urgência</t>
  </si>
  <si>
    <t>Ex.: Existem mercados inexplorados</t>
  </si>
  <si>
    <t>Ex.: Urgente</t>
  </si>
  <si>
    <t>Nada urgente</t>
  </si>
  <si>
    <t>Pouco urgente</t>
  </si>
  <si>
    <t>Urgente</t>
  </si>
  <si>
    <t>Muito urgente</t>
  </si>
  <si>
    <t>Pra ontem</t>
  </si>
  <si>
    <t>Pontuação geral das suas Oportunidades</t>
  </si>
  <si>
    <t>Pontuação geral das suas Ameaças</t>
  </si>
  <si>
    <t>1. Fatores internos</t>
  </si>
  <si>
    <t>1.1 Top 5 Forças</t>
  </si>
  <si>
    <t>1.2 Top 5 Fraquezas</t>
  </si>
  <si>
    <t>Força</t>
  </si>
  <si>
    <t>Fraqueza</t>
  </si>
  <si>
    <t>2. Fatores externos</t>
  </si>
  <si>
    <t>2.1 Top 5 Oportunidades</t>
  </si>
  <si>
    <t>2.2 Top 5 Ameaças</t>
  </si>
  <si>
    <t>Oportunidade</t>
  </si>
  <si>
    <t>Ameaça</t>
  </si>
  <si>
    <r>
      <rPr>
        <rFont val="Calibri"/>
        <b/>
        <color rgb="FF333333"/>
        <sz val="12.0"/>
      </rPr>
      <t>Importante:</t>
    </r>
    <r>
      <rPr>
        <rFont val="Calibri"/>
        <color rgb="FF623F99"/>
        <sz val="12.0"/>
      </rPr>
      <t xml:space="preserve"> </t>
    </r>
    <r>
      <rPr>
        <rFont val="Calibri"/>
        <color rgb="FF7F7F7F"/>
        <sz val="12.0"/>
      </rPr>
      <t>Veja o potencial ofensivo e desenvolva a melhor estratégia para impulsionar suas forças e resuzir as fraquezas relacionando-as com oportunidades e ameaças. Apenas as 5 principais forças, fraquezas, oportunidades e ameaças (as mais bem pontuadas em "Fatores internos" e "Fatores externos") estão sendo exibidas para que você tenha foco e objetividade nas ações.</t>
    </r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</si>
  <si>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</si>
  <si>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</si>
  <si>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</si>
  <si>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</si>
  <si>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</si>
  <si>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</si>
  <si>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</si>
  <si>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</si>
  <si>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</si>
  <si>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Forças e Fraquezas</t>
  </si>
  <si>
    <t>No seu negócio</t>
  </si>
  <si>
    <t>Oportunidades e Ameaças</t>
  </si>
  <si>
    <t>Tipo de estratégia</t>
  </si>
  <si>
    <t>Recomendação</t>
  </si>
  <si>
    <t>Ex.: O portfólio de produtos/serviços é variado</t>
  </si>
  <si>
    <t>Ex.: Força</t>
  </si>
  <si>
    <t>Ex.: Aproveita avanço tecnológico</t>
  </si>
  <si>
    <t>Ex.: Ameaça</t>
  </si>
  <si>
    <t>Ex.: Estratégia ofensiva</t>
  </si>
  <si>
    <t>Ex.: Procure criar planos de ação para desenvolver as vantagens competitivas.</t>
  </si>
  <si>
    <t>ForçaOportunidade</t>
  </si>
  <si>
    <t>Estratégia ofensiva</t>
  </si>
  <si>
    <t>Procure criar planos de ação para desenvolver as vantagens competitivas.</t>
  </si>
  <si>
    <t>ForçaAmeaça</t>
  </si>
  <si>
    <t>Estratégia de confronto</t>
  </si>
  <si>
    <t>Procure elaborar planos de ação para modificar o ambiente a favor do seu negócio.</t>
  </si>
  <si>
    <t>FraquezaOportunidade</t>
  </si>
  <si>
    <t>Estratégia de reforço</t>
  </si>
  <si>
    <t>Procure criar planos de ação para aproveitar melhor as oportunidades que o ambiente proporciona.</t>
  </si>
  <si>
    <t>FraquezaAmeaça</t>
  </si>
  <si>
    <t>Estratégia defensiva</t>
  </si>
  <si>
    <t>Isto pode ser um sinal de que você precisará fazer profundas mudanças para proteger a empresa.</t>
  </si>
  <si>
    <t>PERSPECTIVA</t>
  </si>
  <si>
    <t>Nº</t>
  </si>
  <si>
    <t>OBJETIVO</t>
  </si>
  <si>
    <t>INDICADOR</t>
  </si>
  <si>
    <t>RESPONSÁVEL</t>
  </si>
  <si>
    <t>META 2022</t>
  </si>
  <si>
    <t>META 2023</t>
  </si>
  <si>
    <t>META 2024</t>
  </si>
  <si>
    <t>META 2025</t>
  </si>
  <si>
    <t>PERIODICIDADE</t>
  </si>
  <si>
    <t>FINANÇAS</t>
  </si>
  <si>
    <t>CLIENTES</t>
  </si>
  <si>
    <t>PROCESSOS INTERNOS</t>
  </si>
  <si>
    <t>APRENDIZADO E CRESCIMENTO</t>
  </si>
  <si>
    <t>CONDIÇÃO</t>
  </si>
  <si>
    <t>RESULTADO</t>
  </si>
  <si>
    <t>META</t>
  </si>
  <si>
    <t>SOMA</t>
  </si>
  <si>
    <t>REALIZADO</t>
  </si>
  <si>
    <r>
      <rPr>
        <rFont val="Calibri"/>
        <b/>
        <color rgb="FF333333"/>
        <sz val="12.0"/>
      </rPr>
      <t>Importante:</t>
    </r>
    <r>
      <rPr>
        <rFont val="Calibri"/>
        <color rgb="FF333333"/>
        <sz val="12.0"/>
      </rPr>
      <t xml:space="preserve"> </t>
    </r>
    <r>
      <rPr>
        <rFont val="Calibri"/>
        <color rgb="FF7F7F7F"/>
        <sz val="12.0"/>
      </rPr>
      <t>Desenvolva planos de ação para impulsionar os itens da SWOT.
Apenas os 20 principais itens (os mais bem pontuados) estão sendo exibidos para que você tenha foco e objetividade nas ações.</t>
    </r>
  </si>
  <si>
    <t>Junho</t>
  </si>
  <si>
    <t>Julho</t>
  </si>
  <si>
    <t>Agosto</t>
  </si>
  <si>
    <t>Planos de ação</t>
  </si>
  <si>
    <t>Itens</t>
  </si>
  <si>
    <t>Responsável</t>
  </si>
  <si>
    <t>Área</t>
  </si>
  <si>
    <t>Previsão início</t>
  </si>
  <si>
    <t>Previsão fim</t>
  </si>
  <si>
    <t>Andamento</t>
  </si>
  <si>
    <t>Status</t>
  </si>
  <si>
    <t>Ex.: Aumentar a divulgação da empresa</t>
  </si>
  <si>
    <t>Ex.: O serviço é de qualidade</t>
  </si>
  <si>
    <t>Ex.: Luis Carlos Almeida</t>
  </si>
  <si>
    <t>Ex.: Merketing</t>
  </si>
  <si>
    <t>Ex.: 01/01/2016</t>
  </si>
  <si>
    <t>Ex.: 31/12/2016</t>
  </si>
  <si>
    <t>Ex.: Concluído</t>
  </si>
  <si>
    <t>Ex.: Atrasado</t>
  </si>
  <si>
    <t>Índice de favorabilidade</t>
  </si>
  <si>
    <t>Favorável - Se a sua análise está correta, vale a pena continuar a fazer o que você está fazendo apenas adicionando ações de melhorias de forças e oportunidades e medidas de contenção de possíveis fraquezas e ameaças.</t>
  </si>
  <si>
    <t>Seu índice é</t>
  </si>
  <si>
    <t>Muito Desfavorável - O cenário para crescimento do seu negócio é muito desfavorável, talvez seja o momento de pensar em uma mudança estratégica drástica.</t>
  </si>
  <si>
    <t>CONTA DE MÉDIA</t>
  </si>
  <si>
    <t>Desfavorável - Uma análise SWOT desfavorável não quer dizer que você precisa desistir do seu negócio, mas é importante pensar em planos de ações direcionados à mitigar as principais ameaças e para diminuir o peso negativo de algumas fraquezas.</t>
  </si>
  <si>
    <t>Equilíbrio - Com um cenário equilibrado vale a pena investir mais tempo de análise para saber se o seu foco será interno ou externo.</t>
  </si>
  <si>
    <t>Muito Favorável - Se a sua análise está correta, vale muito a pena continuar a fazer exatamente o que você está fazendo apenas adicionando ações de melhorias de forças e oportunidades e medidas de contenção de possíveis fraquezas e ameaças.</t>
  </si>
  <si>
    <t>Análise geral dos fatores internos e externos</t>
  </si>
  <si>
    <t>RANK</t>
  </si>
  <si>
    <t>Forças</t>
  </si>
  <si>
    <t>Sobrevivência</t>
  </si>
  <si>
    <t>fraquezas</t>
  </si>
  <si>
    <t>ameaças</t>
  </si>
  <si>
    <t>Fraquezas</t>
  </si>
  <si>
    <t>Manutenção</t>
  </si>
  <si>
    <t>forças</t>
  </si>
  <si>
    <t>Oportunidades</t>
  </si>
  <si>
    <t>Crescimento</t>
  </si>
  <si>
    <t>oportunidades</t>
  </si>
  <si>
    <t>Ameaças</t>
  </si>
  <si>
    <t>Desenvolvimento</t>
  </si>
  <si>
    <t>Gráficos radar da análise SWOT</t>
  </si>
  <si>
    <t>Análise das forças</t>
  </si>
  <si>
    <t>Análise das fraquezas</t>
  </si>
  <si>
    <t>Análise das oportunidades</t>
  </si>
  <si>
    <t>Análise das ameaças</t>
  </si>
  <si>
    <t>Se você busca melhores resultados, é preciso atuar em mais itens criando planos de ação eficientes para cada um deles!</t>
  </si>
  <si>
    <t>Não está ruim, mas é preciso ter atenção. Se você busca resultados melhores no seu negócio, talvez seja necessário atuar em mais itens criando ainda mais planos de ação!</t>
  </si>
  <si>
    <t>Legal, você criou planos de ação para todos ou quase todos os itens. Se tudo correr bem, você obterá resultados brevemente. Parabéns!</t>
  </si>
  <si>
    <t>No prazo</t>
  </si>
  <si>
    <t>Desenvolvimento de planos de ação</t>
  </si>
  <si>
    <t>Atrasado</t>
  </si>
  <si>
    <t>Status dos seus planos de ação</t>
  </si>
  <si>
    <t>Conformidade do dos planos de ação</t>
  </si>
  <si>
    <t>Aguardando</t>
  </si>
  <si>
    <t>Adiantado</t>
  </si>
  <si>
    <t>Em andamento</t>
  </si>
  <si>
    <t>Concluído</t>
  </si>
  <si>
    <t>Top 5: Áreas com mais planos de ação x Número de planos de ação atrasados</t>
  </si>
  <si>
    <t>Total de planos de ação</t>
  </si>
  <si>
    <t>Total conforme</t>
  </si>
  <si>
    <t>Total atrasado</t>
  </si>
  <si>
    <t>MÊS</t>
  </si>
  <si>
    <t>MENSAL</t>
  </si>
  <si>
    <t>ACUMULADO</t>
  </si>
  <si>
    <t>UNI MEDIDA</t>
  </si>
  <si>
    <t>ORIENTAÇÃO</t>
  </si>
  <si>
    <t>%</t>
  </si>
  <si>
    <t>PESO</t>
  </si>
  <si>
    <t>% TOTAL</t>
  </si>
  <si>
    <t>R$</t>
  </si>
  <si>
    <t>MAIS</t>
  </si>
  <si>
    <t>MÉDIA</t>
  </si>
  <si>
    <t xml:space="preserve">Para toda essa sua Análise SWOT Pessoal aparecer no seu relatório final, é se suma importância que você imprima essa página em PDF,  e depois faça o download no local indicado na atividade.
</t>
  </si>
  <si>
    <t>Você deverá fazer a impressão em formato de pdf a partir da página 2, pois a página 1 é essa explicação.</t>
  </si>
  <si>
    <r>
      <rPr>
        <rFont val="Calibri"/>
        <b/>
        <color theme="1"/>
        <sz val="24.0"/>
      </rPr>
      <t>1.</t>
    </r>
    <r>
      <rPr>
        <rFont val="Calibri"/>
        <color theme="1"/>
        <sz val="24.0"/>
      </rPr>
      <t xml:space="preserve"> Resultados SWOT</t>
    </r>
  </si>
  <si>
    <r>
      <rPr>
        <rFont val="Calibri"/>
        <b/>
        <color theme="1"/>
        <sz val="22.0"/>
      </rPr>
      <t>2.</t>
    </r>
    <r>
      <rPr>
        <rFont val="Calibri"/>
        <color theme="1"/>
        <sz val="22.0"/>
      </rPr>
      <t xml:space="preserve"> Resultados planos de ação</t>
    </r>
  </si>
  <si>
    <t>1. Resultados SWOT</t>
  </si>
  <si>
    <t>Índice geral dos fatores internos e externos</t>
  </si>
  <si>
    <t>2. Resultados planos de ação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</si>
  <si>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</si>
  <si>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</si>
  <si>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</si>
  <si>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</si>
  <si>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</si>
  <si>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</si>
  <si>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</si>
  <si>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Legal, você tem mais recebimentos do que pagamentos para entrar em caixa. Só tome cuidado com o índice de inadimplência dos seus devedores para não transformar essa projeção em um resultado real ruim</t>
  </si>
  <si>
    <t>Sua necessidade de caixa para o mês que vem é menor do que você tem acumulado. Sua empresa está indo bem, mas fique de olho nos meses futuros para não ter surpresas!</t>
  </si>
  <si>
    <t>Negativo</t>
  </si>
  <si>
    <t>Suas despesas estão maiores que as suas receitas, isso significa que esse mês foi de prejuízo. Você já sabe os motivos? Vale a pena olhar suas despesas no DRE para ter certeza que o resultado ruim não se repetirá.</t>
  </si>
  <si>
    <t>Tome cuidado, seu resultado mensal piorou do mês passado para esse. Esse mês é sempre ruim ou aconteceu alguma coisa que fez seu resultado piorar?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</si>
  <si>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</si>
  <si>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</si>
  <si>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Pergunta</t>
  </si>
  <si>
    <t>Resposta</t>
  </si>
  <si>
    <t>1. O que significa SWOT?</t>
  </si>
  <si>
    <r>
      <rPr>
        <rFont val="Calibri"/>
        <color theme="1"/>
        <sz val="11.0"/>
      </rPr>
      <t>O termo </t>
    </r>
    <r>
      <rPr>
        <rFont val="Arial"/>
        <b/>
        <color rgb="FF333333"/>
        <sz val="11.0"/>
      </rPr>
      <t>SWOT</t>
    </r>
    <r>
      <rPr>
        <rFont val="Arial"/>
        <color rgb="FF333333"/>
        <sz val="11.0"/>
      </rPr>
      <t> é uma sigla oriunda do idioma </t>
    </r>
    <r>
      <rPr>
        <rFont val="Arial"/>
        <color rgb="FF000080"/>
        <sz val="11.0"/>
      </rPr>
      <t>inglês</t>
    </r>
    <r>
      <rPr>
        <rFont val="Arial"/>
        <color rgb="FF333333"/>
        <sz val="11.0"/>
      </rPr>
      <t>, e é um </t>
    </r>
    <r>
      <rPr>
        <rFont val="Arial"/>
        <color rgb="FF000080"/>
        <sz val="11.0"/>
      </rPr>
      <t>acrónimo</t>
    </r>
    <r>
      <rPr>
        <rFont val="Arial"/>
        <color rgb="FF333333"/>
        <sz val="11.0"/>
      </rPr>
      <t> de Forças (</t>
    </r>
    <r>
      <rPr>
        <rFont val="Arial"/>
        <b/>
        <color rgb="FF333333"/>
        <sz val="11.0"/>
      </rPr>
      <t>S</t>
    </r>
    <r>
      <rPr>
        <rFont val="Arial"/>
        <color rgb="FF333333"/>
        <sz val="11.0"/>
      </rPr>
      <t>trengths), Fraquezas (</t>
    </r>
    <r>
      <rPr>
        <rFont val="Arial"/>
        <b/>
        <color rgb="FF333333"/>
        <sz val="11.0"/>
      </rPr>
      <t>W</t>
    </r>
    <r>
      <rPr>
        <rFont val="Arial"/>
        <color rgb="FF333333"/>
        <sz val="11.0"/>
      </rPr>
      <t>eaknesses), Oportunidades (</t>
    </r>
    <r>
      <rPr>
        <rFont val="Arial"/>
        <b/>
        <color rgb="FF333333"/>
        <sz val="11.0"/>
      </rPr>
      <t>O</t>
    </r>
    <r>
      <rPr>
        <rFont val="Arial"/>
        <color rgb="FF333333"/>
        <sz val="11.0"/>
      </rPr>
      <t>pportunities) e Ameaças (</t>
    </r>
    <r>
      <rPr>
        <rFont val="Arial"/>
        <b/>
        <color rgb="FF333333"/>
        <sz val="11.0"/>
      </rPr>
      <t>T</t>
    </r>
    <r>
      <rPr>
        <rFont val="Arial"/>
        <color rgb="FF333333"/>
        <sz val="11.0"/>
      </rPr>
      <t>hreats).</t>
    </r>
  </si>
  <si>
    <t>2. O que é análise SWOT?</t>
  </si>
  <si>
    <r>
      <rPr>
        <rFont val="Arial"/>
        <color rgb="FF252525"/>
        <sz val="11.0"/>
      </rPr>
      <t>A </t>
    </r>
    <r>
      <rPr>
        <rFont val="Arial"/>
        <b/>
        <color rgb="FF333333"/>
        <sz val="11.0"/>
      </rPr>
      <t>Análise SWOT</t>
    </r>
    <r>
      <rPr>
        <rFont val="Arial"/>
        <color rgb="FF333333"/>
        <sz val="11.0"/>
      </rPr>
      <t> ou </t>
    </r>
    <r>
      <rPr>
        <rFont val="Arial"/>
        <b/>
        <color rgb="FF333333"/>
        <sz val="11.0"/>
      </rPr>
      <t>Análise FOFA ou FFOA (Forças, Fraquezas, Oportunidades e Ameaças)</t>
    </r>
    <r>
      <rPr>
        <rFont val="Arial"/>
        <color rgb="FF333333"/>
        <sz val="11.0"/>
      </rPr>
      <t> (em </t>
    </r>
    <r>
      <rPr>
        <rFont val="Arial"/>
        <color rgb="FF000080"/>
        <sz val="11.0"/>
      </rPr>
      <t>português</t>
    </r>
    <r>
      <rPr>
        <rFont val="Arial"/>
        <color rgb="FF333333"/>
        <sz val="11.0"/>
      </rPr>
      <t>) é uma ferramenta utilizada para fazer análise de cenário (ou análise de ambiente), sendo usada como base para </t>
    </r>
    <r>
      <rPr>
        <rFont val="Arial"/>
        <color rgb="FF000080"/>
        <sz val="11.0"/>
      </rPr>
      <t>gestão</t>
    </r>
    <r>
      <rPr>
        <rFont val="Arial"/>
        <color rgb="FF333333"/>
        <sz val="11.0"/>
      </rPr>
      <t> e </t>
    </r>
    <r>
      <rPr>
        <rFont val="Arial"/>
        <color rgb="FF000080"/>
        <sz val="11.0"/>
      </rPr>
      <t>planejamento estratégico</t>
    </r>
    <r>
      <rPr>
        <rFont val="Arial"/>
        <color rgb="FF333333"/>
        <sz val="11.0"/>
      </rPr>
      <t> de uma </t>
    </r>
    <r>
      <rPr>
        <rFont val="Arial"/>
        <color rgb="FF000080"/>
        <sz val="11.0"/>
      </rPr>
      <t>corporação</t>
    </r>
    <r>
      <rPr>
        <rFont val="Arial"/>
        <color rgb="FF333333"/>
        <sz val="11.0"/>
      </rPr>
      <t> ou </t>
    </r>
    <r>
      <rPr>
        <rFont val="Arial"/>
        <color rgb="FF000080"/>
        <sz val="11.0"/>
      </rPr>
      <t>empresa</t>
    </r>
    <r>
      <rPr>
        <rFont val="Arial"/>
        <color rgb="FF333333"/>
        <sz val="11.0"/>
      </rPr>
      <t>, mas podendo, devido a sua simplicidade, ser utilizada para qualquer tipo de análise de cenário, desde a criação de um </t>
    </r>
    <r>
      <rPr>
        <rFont val="Arial"/>
        <i/>
        <color rgb="FF000080"/>
        <sz val="11.0"/>
      </rPr>
      <t>blog</t>
    </r>
    <r>
      <rPr>
        <rFont val="Arial"/>
        <color rgb="FF333333"/>
        <sz val="11.0"/>
      </rPr>
      <t> à gestão de uma </t>
    </r>
    <r>
      <rPr>
        <rFont val="Arial"/>
        <color rgb="FF000080"/>
        <sz val="11.0"/>
      </rPr>
      <t>multinacional</t>
    </r>
    <r>
      <rPr>
        <rFont val="Arial"/>
        <color rgb="FF333333"/>
        <sz val="11.0"/>
      </rPr>
      <t>.</t>
    </r>
  </si>
  <si>
    <t>4. O que são fatores internos?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</si>
  <si>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</si>
  <si>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6. O que são forças?</t>
  </si>
  <si>
    <r>
      <rPr>
        <rFont val="Arial"/>
        <b/>
        <i/>
        <color rgb="FF252525"/>
        <sz val="11.0"/>
      </rPr>
      <t>Forças</t>
    </r>
    <r>
      <rPr>
        <rFont val="Arial"/>
        <b val="0"/>
        <i val="0"/>
        <color rgb="FF333333"/>
        <sz val="11.0"/>
      </rPr>
      <t> - Vantagens internas da empresa em relação às empresas concorrentes.</t>
    </r>
  </si>
  <si>
    <t>7. O que são fraquezas?</t>
  </si>
  <si>
    <r>
      <rPr>
        <rFont val="Arial"/>
        <b/>
        <i/>
        <color rgb="FF252525"/>
        <sz val="11.0"/>
      </rPr>
      <t>Fraquezas</t>
    </r>
    <r>
      <rPr>
        <rFont val="Arial"/>
        <b val="0"/>
        <i val="0"/>
        <color rgb="FF333333"/>
        <sz val="11.0"/>
      </rPr>
      <t> - Desvantagens internas da empresa em relação às empresas concorrentes.</t>
    </r>
  </si>
  <si>
    <t>5. O que são fatores externos?</t>
  </si>
  <si>
    <t>Tratam-se das características e mudanças que o mercado como um todo pode apresentar que poderão beneficiar ou atrapalhar seu negócio. Oportunidades são as positivas e Ameaças são as negativas.</t>
  </si>
  <si>
    <t>6. O que são oportunidades?</t>
  </si>
  <si>
    <r>
      <rPr>
        <rFont val="Arial"/>
        <b/>
        <i/>
        <color rgb="FF252525"/>
        <sz val="11.0"/>
      </rPr>
      <t>Oportunidades</t>
    </r>
    <r>
      <rPr>
        <rFont val="Arial"/>
        <b val="0"/>
        <i val="0"/>
        <color rgb="FF333333"/>
        <sz val="11.0"/>
      </rPr>
      <t> - Aspectos positivos do mercado com potencial de fazer crescer a vantagem competitiva da empresa.</t>
    </r>
  </si>
  <si>
    <t>7. O que são ameaças?</t>
  </si>
  <si>
    <t>Ameaças - Aspectos positivos do mercado com potencial de comprometer a vantagem competitiva da empresa.</t>
  </si>
  <si>
    <t>8. O que são cruzamentos de dados?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</si>
  <si>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</si>
  <si>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</si>
  <si>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</si>
  <si>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8. 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</si>
  <si>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</si>
  <si>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9. Posso remover linhas?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</si>
  <si>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</si>
  <si>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10. Essa planilha pode ser apresentada para instituições financeiras?</t>
  </si>
  <si>
    <t>Sim. Porém esses dados não garantem aprovações ou reprovações por parte dessas instituições. Sendo usados como dados complementares.</t>
  </si>
  <si>
    <t>11. Para que servem os alertas?</t>
  </si>
  <si>
    <t>Eles são avisos sobre como a sua projeção está. A partir deles, você pode refinar suas projeções e pensar em medidas mais agressivas para tornar seu projeto mais agressivo.</t>
  </si>
  <si>
    <t>12. Como desbloquear a planilha?</t>
  </si>
  <si>
    <t>Basta entrar no menu superior "Revisão" e escolher o item desproteger planilha no grupo Alterações. As planilhas não possuem senhas, apenas estão bloqueadas para melhorar a usabilidade delas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</si>
</sst>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"/>
    <numFmt numFmtId="165" formatCode="_-&quot;R$&quot;\ * #,##0.00_-;\-&quot;R$&quot;\ * #,##0.00_-;_-&quot;R$&quot;\ * &quot;-&quot;??_-;_-@"/>
    <numFmt numFmtId="166" formatCode="0,000"/>
  </numFmts>
  <fonts count="62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/>
    <font>
      <sz val="11.0"/>
      <color rgb="FF7030A0"/>
      <name val="Calibri"/>
    </font>
    <font>
      <sz val="11.0"/>
      <color rgb="FF7F7F7F"/>
      <name val="Calibri"/>
    </font>
    <font>
      <b/>
      <sz val="12.0"/>
      <color rgb="FF595959"/>
      <name val="Calibri"/>
    </font>
    <font>
      <sz val="11.0"/>
      <color rgb="FF333333"/>
      <name val="Arial"/>
    </font>
    <font>
      <b/>
      <sz val="14.0"/>
      <color theme="0"/>
      <name val="Calibri"/>
    </font>
    <font>
      <b/>
      <sz val="18.0"/>
      <color rgb="FF14B1E7"/>
      <name val="Calibri"/>
    </font>
    <font>
      <sz val="11.0"/>
      <color rgb="FF7F7F7F"/>
      <name val="Arial"/>
    </font>
    <font>
      <sz val="11.0"/>
      <color theme="0"/>
      <name val="Calibri"/>
    </font>
    <font>
      <sz val="14.0"/>
      <color rgb="FF3366CC"/>
      <name val="Calibri"/>
    </font>
    <font>
      <sz val="11.0"/>
      <color rgb="FF3D3C40"/>
      <name val="Arial"/>
    </font>
    <font>
      <sz val="18.0"/>
      <color rgb="FF333333"/>
      <name val="Calibri"/>
    </font>
    <font>
      <sz val="18.0"/>
      <color theme="1"/>
      <name val="Calibri"/>
    </font>
    <font>
      <sz val="10.0"/>
      <color rgb="FF595959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b/>
      <i/>
      <sz val="12.0"/>
      <color rgb="FF999999"/>
      <name val="Calibri"/>
    </font>
    <font>
      <sz val="12.0"/>
      <color rgb="FF3F3F3F"/>
      <name val="Calibri"/>
    </font>
    <font>
      <b/>
      <sz val="16.0"/>
      <color theme="0"/>
      <name val="Calibri"/>
    </font>
    <font>
      <b/>
      <sz val="20.0"/>
      <color theme="0"/>
      <name val="Calibri"/>
    </font>
    <font>
      <sz val="11.0"/>
      <color rgb="FFFF0000"/>
      <name val="Calibri"/>
    </font>
    <font>
      <sz val="12.0"/>
      <color rgb="FF333333"/>
      <name val="Calibri"/>
    </font>
    <font>
      <sz val="11.0"/>
      <color rgb="FF3F3F3F"/>
      <name val="Calibri"/>
    </font>
    <font>
      <b/>
      <sz val="20.0"/>
      <color rgb="FF9CC2E5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24.0"/>
      <color rgb="FF9CC2E5"/>
      <name val="Calibri"/>
    </font>
    <font>
      <sz val="18.0"/>
      <color theme="0"/>
      <name val="Calibri"/>
    </font>
    <font>
      <sz val="10.0"/>
      <color theme="0"/>
      <name val="Calibri"/>
    </font>
    <font>
      <b/>
      <sz val="16.0"/>
      <color theme="1"/>
      <name val="Calibri"/>
    </font>
    <font>
      <b/>
      <sz val="16.0"/>
      <color rgb="FF666666"/>
      <name val="Calibri"/>
    </font>
    <font>
      <sz val="36.0"/>
      <color theme="1"/>
      <name val="Calibri"/>
    </font>
    <font>
      <sz val="12.0"/>
      <color rgb="FF623F99"/>
      <name val="Calibri"/>
    </font>
    <font>
      <sz val="14.0"/>
      <color theme="0"/>
      <name val="Calibri"/>
    </font>
    <font>
      <sz val="12.0"/>
      <color rgb="FF7F7F7F"/>
      <name val="Calibri"/>
    </font>
    <font>
      <sz val="14.0"/>
      <color rgb="FF757070"/>
      <name val="Calibri"/>
    </font>
    <font>
      <b/>
      <sz val="16.0"/>
      <color rgb="FF623F99"/>
      <name val="Calibri"/>
    </font>
    <font>
      <sz val="12.0"/>
      <color rgb="FF006100"/>
      <name val="Calibri"/>
    </font>
    <font>
      <sz val="12.0"/>
      <color rgb="FF9C0006"/>
      <name val="Calibri"/>
    </font>
    <font>
      <sz val="48.0"/>
      <color theme="1"/>
      <name val="Calibri"/>
    </font>
    <font>
      <b/>
      <sz val="16.0"/>
      <color rgb="FF14B1E7"/>
      <name val="Calibri"/>
    </font>
    <font>
      <sz val="24.0"/>
      <color theme="1"/>
      <name val="Calibri"/>
    </font>
    <font>
      <sz val="22.0"/>
      <color theme="1"/>
      <name val="Calibri"/>
    </font>
    <font>
      <b/>
      <u/>
      <sz val="28.0"/>
      <color theme="1"/>
      <name val="Calibri"/>
    </font>
    <font>
      <b/>
      <sz val="24.0"/>
      <color rgb="FF14B1E7"/>
      <name val="Calibri"/>
    </font>
    <font>
      <b/>
      <sz val="24.0"/>
      <color rgb="FF666666"/>
      <name val="Calibri"/>
    </font>
    <font>
      <b/>
      <sz val="24.0"/>
      <color rgb="FF623F99"/>
      <name val="Calibri"/>
    </font>
    <font>
      <sz val="14.0"/>
      <color theme="1"/>
      <name val="Calibri"/>
    </font>
    <font>
      <sz val="16.0"/>
      <color theme="0"/>
      <name val="Calibri"/>
    </font>
    <font>
      <sz val="50.0"/>
      <color theme="1"/>
      <name val="Calibri"/>
    </font>
    <font>
      <sz val="16.0"/>
      <color rgb="FF7F7F7F"/>
      <name val="Calibri"/>
    </font>
    <font>
      <sz val="14.0"/>
      <color rgb="FF3F3F3F"/>
      <name val="Calibri"/>
    </font>
    <font>
      <b/>
      <u/>
      <sz val="28.0"/>
      <color rgb="FF623F99"/>
      <name val="Calibri"/>
    </font>
    <font>
      <sz val="11.0"/>
      <color rgb="FF252525"/>
      <name val="Arial"/>
    </font>
    <font>
      <b/>
      <i/>
      <sz val="11.0"/>
      <color rgb="FF252525"/>
      <name val="Arial"/>
    </font>
    <font>
      <b/>
      <sz val="11.0"/>
      <color rgb="FF252525"/>
      <name val="Arial"/>
    </font>
    <font>
      <sz val="10.0"/>
      <color rgb="FF444444"/>
      <name val="Open Sans"/>
    </font>
  </fonts>
  <fills count="2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F44CA"/>
        <bgColor rgb="FF0F44CA"/>
      </patternFill>
    </fill>
    <fill>
      <patternFill patternType="solid">
        <fgColor rgb="FFECF0F1"/>
        <bgColor rgb="FFECF0F1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rgb="FFEAEAEA"/>
      </patternFill>
    </fill>
    <fill>
      <patternFill patternType="solid">
        <fgColor rgb="FF336699"/>
        <bgColor rgb="FF336699"/>
      </patternFill>
    </fill>
    <fill>
      <patternFill patternType="solid">
        <fgColor rgb="FF669966"/>
        <bgColor rgb="FF669966"/>
      </patternFill>
    </fill>
    <fill>
      <patternFill patternType="solid">
        <fgColor rgb="FFFF6666"/>
        <bgColor rgb="FFFF6666"/>
      </patternFill>
    </fill>
    <fill>
      <patternFill patternType="solid">
        <fgColor rgb="FF66CC66"/>
        <bgColor rgb="FF66CC66"/>
      </patternFill>
    </fill>
    <fill>
      <patternFill patternType="solid">
        <fgColor rgb="FFFF9797"/>
        <bgColor rgb="FFFF9797"/>
      </patternFill>
    </fill>
    <fill>
      <patternFill patternType="solid">
        <fgColor rgb="FFBFBFBF"/>
        <bgColor rgb="FFBFBFBF"/>
      </patternFill>
    </fill>
    <fill>
      <patternFill patternType="solid">
        <fgColor rgb="FFEEEEEE"/>
        <bgColor rgb="FFEEEEEE"/>
      </patternFill>
    </fill>
    <fill>
      <patternFill patternType="solid">
        <fgColor rgb="FFDEEAF6"/>
        <bgColor rgb="FFDEEAF6"/>
      </patternFill>
    </fill>
    <fill>
      <patternFill patternType="solid">
        <fgColor rgb="FF14B1E7"/>
        <bgColor rgb="FF14B1E7"/>
      </patternFill>
    </fill>
    <fill>
      <patternFill patternType="solid">
        <fgColor rgb="FFBDD6EE"/>
        <bgColor rgb="FFBDD6E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6699CC"/>
        <bgColor rgb="FF6699CC"/>
      </patternFill>
    </fill>
  </fills>
  <borders count="92">
    <border/>
    <border>
      <left/>
      <right/>
      <top/>
      <bottom/>
    </border>
    <border>
      <left/>
      <top/>
    </border>
    <border>
      <top/>
    </border>
    <border>
      <left/>
    </border>
    <border>
      <left style="medium">
        <color rgb="FF0F44CA"/>
      </left>
      <top style="medium">
        <color rgb="FF0F44CA"/>
      </top>
    </border>
    <border>
      <top style="medium">
        <color rgb="FF0F44CA"/>
      </top>
    </border>
    <border>
      <right style="medium">
        <color rgb="FF0F44CA"/>
      </right>
      <top style="medium">
        <color rgb="FF0F44CA"/>
      </top>
    </border>
    <border>
      <left style="medium">
        <color rgb="FF0F44CA"/>
      </left>
    </border>
    <border>
      <right style="medium">
        <color rgb="FF0F44CA"/>
      </right>
    </border>
    <border>
      <left/>
      <top/>
      <bottom/>
    </border>
    <border>
      <top/>
      <bottom/>
    </border>
    <border>
      <left style="medium">
        <color rgb="FF0F44CA"/>
      </left>
      <bottom style="medium">
        <color rgb="FF0F44CA"/>
      </bottom>
    </border>
    <border>
      <bottom style="medium">
        <color rgb="FF0F44CA"/>
      </bottom>
    </border>
    <border>
      <right style="medium">
        <color rgb="FF0F44CA"/>
      </right>
      <bottom style="medium">
        <color rgb="FF0F44CA"/>
      </bottom>
    </border>
    <border>
      <left/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/>
      <right style="thick">
        <color theme="0"/>
      </right>
      <top/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/>
      <top/>
      <bottom style="thin">
        <color rgb="FFD8D8D8"/>
      </bottom>
    </border>
    <border>
      <left style="thick">
        <color theme="0"/>
      </left>
      <top style="thick">
        <color theme="0"/>
      </top>
      <bottom style="thick">
        <color theme="0"/>
      </bottom>
    </border>
    <border>
      <top style="thick">
        <color theme="0"/>
      </top>
      <bottom style="thick">
        <color theme="0"/>
      </bottom>
    </border>
    <border>
      <left/>
      <right/>
      <top style="thick">
        <color theme="0"/>
      </top>
      <bottom/>
    </border>
    <border>
      <right style="thick">
        <color theme="0"/>
      </right>
      <top style="thick">
        <color theme="0"/>
      </top>
      <bottom style="thick">
        <color theme="0"/>
      </bottom>
    </border>
    <border>
      <left/>
      <right/>
      <top/>
      <bottom style="thin">
        <color rgb="FF000000"/>
      </bottom>
    </border>
    <border>
      <top style="thick">
        <color theme="0"/>
      </top>
    </border>
    <border>
      <bottom style="thin">
        <color rgb="FF000000"/>
      </bottom>
    </border>
    <border>
      <left/>
      <right/>
      <top/>
    </border>
    <border>
      <left/>
      <right/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/>
      <right/>
      <top style="thick">
        <color theme="0"/>
      </top>
      <bottom style="thick">
        <color theme="0"/>
      </bottom>
    </border>
    <border>
      <left style="thin">
        <color rgb="FFD8D8D8"/>
      </left>
      <right/>
      <top style="thick">
        <color theme="0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ck">
        <color theme="0"/>
      </right>
      <top style="thick">
        <color theme="0"/>
      </top>
      <bottom style="thin">
        <color rgb="FFD8D8D8"/>
      </bottom>
    </border>
    <border>
      <left/>
      <right/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theme="0"/>
      </right>
      <top style="thin">
        <color rgb="FFD8D8D8"/>
      </top>
      <bottom style="thin">
        <color rgb="FFD8D8D8"/>
      </bottom>
    </border>
    <border>
      <left style="thick">
        <color theme="0"/>
      </left>
      <bottom style="thick">
        <color theme="0"/>
      </bottom>
    </border>
    <border>
      <left style="medium">
        <color rgb="FF0F44CA"/>
      </left>
      <right style="thick">
        <color theme="0"/>
      </right>
      <top style="thick">
        <color theme="0"/>
      </top>
    </border>
    <border>
      <left style="thick">
        <color theme="0"/>
      </left>
      <top style="thick">
        <color theme="0"/>
      </top>
    </border>
    <border>
      <right style="medium">
        <color rgb="FF0F44CA"/>
      </right>
      <top style="thick">
        <color theme="0"/>
      </top>
    </border>
    <border>
      <left style="medium">
        <color rgb="FF0F44CA"/>
      </left>
      <right style="thick">
        <color theme="0"/>
      </right>
      <top/>
    </border>
    <border>
      <left style="thick">
        <color theme="0"/>
      </left>
    </border>
    <border>
      <left style="medium">
        <color rgb="FF0F44CA"/>
      </left>
      <right style="thick">
        <color theme="0"/>
      </right>
      <bottom style="thick">
        <color theme="0"/>
      </bottom>
    </border>
    <border>
      <bottom style="thick">
        <color theme="0"/>
      </bottom>
    </border>
    <border>
      <right style="medium">
        <color rgb="FF0F44CA"/>
      </right>
      <bottom style="thick">
        <color theme="0"/>
      </bottom>
    </border>
    <border>
      <left style="medium">
        <color rgb="FF0F44CA"/>
      </left>
      <top style="thick">
        <color theme="0"/>
      </top>
      <bottom style="thick">
        <color theme="0"/>
      </bottom>
    </border>
    <border>
      <right style="medium">
        <color rgb="FF0F44CA"/>
      </right>
      <top style="thick">
        <color theme="0"/>
      </top>
      <bottom style="thick">
        <color theme="0"/>
      </bottom>
    </border>
    <border>
      <left style="medium">
        <color rgb="FF0F44CA"/>
      </left>
      <right style="thick">
        <color theme="0"/>
      </right>
      <top style="thick">
        <color theme="0"/>
      </top>
      <bottom style="thick">
        <color theme="0"/>
      </bottom>
    </border>
    <border>
      <right style="thick">
        <color theme="0"/>
      </right>
      <bottom style="thick">
        <color theme="0"/>
      </bottom>
    </border>
    <border>
      <left style="thick">
        <color theme="0"/>
      </left>
      <top/>
      <bottom/>
    </border>
    <border>
      <left style="medium">
        <color rgb="FF0F44CA"/>
      </left>
      <top/>
      <bottom style="thick">
        <color theme="0"/>
      </bottom>
    </border>
    <border>
      <right style="thick">
        <color theme="0"/>
      </right>
      <top/>
      <bottom style="thick">
        <color theme="0"/>
      </bottom>
    </border>
    <border>
      <left style="thick">
        <color theme="0"/>
      </left>
      <top/>
      <bottom style="thick">
        <color theme="0"/>
      </bottom>
    </border>
    <border>
      <right style="medium">
        <color rgb="FF0F44CA"/>
      </right>
      <top/>
      <bottom style="thick">
        <color theme="0"/>
      </bottom>
    </border>
    <border>
      <left style="medium">
        <color rgb="FF0F44CA"/>
      </left>
      <top/>
      <bottom style="medium">
        <color rgb="FF0F44CA"/>
      </bottom>
    </border>
    <border>
      <right style="thick">
        <color theme="0"/>
      </right>
      <top/>
      <bottom style="medium">
        <color rgb="FF0F44CA"/>
      </bottom>
    </border>
    <border>
      <left style="thick">
        <color theme="0"/>
      </left>
      <top/>
      <bottom style="medium">
        <color rgb="FF0F44CA"/>
      </bottom>
    </border>
    <border>
      <right style="medium">
        <color rgb="FF0F44CA"/>
      </right>
      <top/>
      <bottom style="medium">
        <color rgb="FF0F44CA"/>
      </bottom>
    </border>
    <border>
      <left style="thick">
        <color theme="0"/>
      </left>
      <right/>
      <top/>
      <bottom/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top/>
      <bottom style="thick">
        <color theme="0"/>
      </bottom>
    </border>
    <border>
      <top/>
      <bottom style="thick">
        <color theme="0"/>
      </bottom>
    </border>
    <border>
      <right style="medium">
        <color rgb="FF000000"/>
      </right>
      <top/>
      <bottom style="thick">
        <color theme="0"/>
      </bottom>
    </border>
    <border>
      <left style="medium">
        <color rgb="FF000000"/>
      </left>
      <right style="thick">
        <color theme="0"/>
      </right>
      <top style="thick">
        <color theme="0"/>
      </top>
    </border>
    <border>
      <right style="medium">
        <color rgb="FF000000"/>
      </right>
      <top style="thick">
        <color theme="0"/>
      </top>
    </border>
    <border>
      <left style="medium">
        <color rgb="FF000000"/>
      </left>
      <right style="thick">
        <color theme="0"/>
      </right>
      <top/>
      <bottom style="thick">
        <color theme="0"/>
      </bottom>
    </border>
    <border>
      <right style="medium">
        <color rgb="FF000000"/>
      </right>
      <bottom style="thick">
        <color theme="0"/>
      </bottom>
    </border>
    <border>
      <left style="medium">
        <color rgb="FF000000"/>
      </left>
      <right style="thick">
        <color theme="0"/>
      </right>
      <top style="thick">
        <color theme="0"/>
      </top>
      <bottom style="thick">
        <color theme="0"/>
      </bottom>
    </border>
    <border>
      <right style="medium">
        <color rgb="FF000000"/>
      </right>
      <top style="thick">
        <color theme="0"/>
      </top>
      <bottom style="thick">
        <color theme="0"/>
      </bottom>
    </border>
    <border>
      <left style="medium">
        <color rgb="FF000000"/>
      </left>
      <top style="thick">
        <color theme="0"/>
      </top>
      <bottom style="thick">
        <color theme="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1" fillId="2" fontId="4" numFmtId="0" xfId="0" applyAlignment="1" applyBorder="1" applyFont="1">
      <alignment horizontal="left" vertical="center"/>
    </xf>
    <xf borderId="4" fillId="0" fontId="3" numFmtId="0" xfId="0" applyBorder="1" applyFont="1"/>
    <xf borderId="5" fillId="0" fontId="1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6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10" fillId="3" fontId="8" numFmtId="0" xfId="0" applyAlignment="1" applyBorder="1" applyFill="1" applyFont="1">
      <alignment horizontal="left" vertical="center"/>
    </xf>
    <xf borderId="11" fillId="0" fontId="3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2" fontId="11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 vertical="center"/>
    </xf>
    <xf borderId="13" fillId="0" fontId="3" numFmtId="0" xfId="0" applyBorder="1" applyFont="1"/>
    <xf borderId="1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" fillId="2" fontId="1" numFmtId="0" xfId="0" applyBorder="1" applyFont="1"/>
    <xf borderId="1" fillId="2" fontId="9" numFmtId="0" xfId="0" applyBorder="1" applyFont="1"/>
    <xf borderId="1" fillId="2" fontId="14" numFmtId="0" xfId="0" applyBorder="1" applyFont="1"/>
    <xf borderId="1" fillId="2" fontId="15" numFmtId="0" xfId="0" applyBorder="1" applyFont="1"/>
    <xf borderId="1" fillId="2" fontId="11" numFmtId="0" xfId="0" applyBorder="1" applyFont="1"/>
    <xf borderId="1" fillId="2" fontId="4" numFmtId="0" xfId="0" applyBorder="1" applyFont="1"/>
    <xf borderId="1" fillId="2" fontId="14" numFmtId="0" xfId="0" applyAlignment="1" applyBorder="1" applyFont="1">
      <alignment vertical="top"/>
    </xf>
    <xf borderId="1" fillId="2" fontId="16" numFmtId="0" xfId="0" applyAlignment="1" applyBorder="1" applyFont="1">
      <alignment vertical="center"/>
    </xf>
    <xf borderId="1" fillId="2" fontId="17" numFmtId="0" xfId="0" applyAlignment="1" applyBorder="1" applyFont="1">
      <alignment vertical="center"/>
    </xf>
    <xf borderId="1" fillId="2" fontId="18" numFmtId="0" xfId="0" applyBorder="1" applyFont="1"/>
    <xf borderId="15" fillId="3" fontId="19" numFmtId="0" xfId="0" applyAlignment="1" applyBorder="1" applyFont="1">
      <alignment horizontal="left" shrinkToFit="0" vertical="center" wrapText="1"/>
    </xf>
    <xf borderId="16" fillId="3" fontId="19" numFmtId="0" xfId="0" applyAlignment="1" applyBorder="1" applyFont="1">
      <alignment horizontal="center" vertical="center"/>
    </xf>
    <xf borderId="16" fillId="3" fontId="19" numFmtId="0" xfId="0" applyAlignment="1" applyBorder="1" applyFont="1">
      <alignment horizontal="center" shrinkToFit="0" vertical="center" wrapText="1"/>
    </xf>
    <xf borderId="1" fillId="2" fontId="20" numFmtId="0" xfId="0" applyBorder="1" applyFont="1"/>
    <xf borderId="17" fillId="4" fontId="21" numFmtId="0" xfId="0" applyAlignment="1" applyBorder="1" applyFill="1" applyFont="1">
      <alignment horizontal="left" vertical="center"/>
    </xf>
    <xf borderId="18" fillId="4" fontId="21" numFmtId="4" xfId="0" applyAlignment="1" applyBorder="1" applyFont="1" applyNumberFormat="1">
      <alignment horizontal="center" vertical="center"/>
    </xf>
    <xf borderId="18" fillId="4" fontId="21" numFmtId="9" xfId="0" applyAlignment="1" applyBorder="1" applyFont="1" applyNumberFormat="1">
      <alignment horizontal="center" vertical="center"/>
    </xf>
    <xf borderId="18" fillId="4" fontId="21" numFmtId="0" xfId="0" applyAlignment="1" applyBorder="1" applyFont="1">
      <alignment horizontal="center" vertical="center"/>
    </xf>
    <xf borderId="19" fillId="5" fontId="18" numFmtId="164" xfId="0" applyAlignment="1" applyBorder="1" applyFill="1" applyFont="1" applyNumberFormat="1">
      <alignment horizontal="left" readingOrder="0" shrinkToFit="0" vertical="center" wrapText="1"/>
    </xf>
    <xf borderId="20" fillId="5" fontId="18" numFmtId="164" xfId="0" applyAlignment="1" applyBorder="1" applyFont="1" applyNumberFormat="1">
      <alignment horizontal="center" readingOrder="0" vertical="center"/>
    </xf>
    <xf borderId="21" fillId="5" fontId="18" numFmtId="164" xfId="0" applyAlignment="1" applyBorder="1" applyFont="1" applyNumberFormat="1">
      <alignment horizontal="center" readingOrder="0" vertical="center"/>
    </xf>
    <xf borderId="16" fillId="6" fontId="22" numFmtId="1" xfId="0" applyAlignment="1" applyBorder="1" applyFill="1" applyFont="1" applyNumberFormat="1">
      <alignment horizontal="center" vertical="center"/>
    </xf>
    <xf borderId="1" fillId="2" fontId="11" numFmtId="1" xfId="0" applyBorder="1" applyFont="1" applyNumberFormat="1"/>
    <xf borderId="1" fillId="2" fontId="11" numFmtId="164" xfId="0" applyBorder="1" applyFont="1" applyNumberFormat="1"/>
    <xf borderId="1" fillId="2" fontId="1" numFmtId="164" xfId="0" applyBorder="1" applyFont="1" applyNumberFormat="1"/>
    <xf borderId="19" fillId="5" fontId="18" numFmtId="164" xfId="0" applyAlignment="1" applyBorder="1" applyFont="1" applyNumberFormat="1">
      <alignment horizontal="left" shrinkToFit="0" vertical="center" wrapText="1"/>
    </xf>
    <xf borderId="20" fillId="5" fontId="18" numFmtId="164" xfId="0" applyAlignment="1" applyBorder="1" applyFont="1" applyNumberFormat="1">
      <alignment horizontal="center" vertical="center"/>
    </xf>
    <xf borderId="21" fillId="5" fontId="18" numFmtId="164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/>
    </xf>
    <xf borderId="22" fillId="7" fontId="23" numFmtId="0" xfId="0" applyAlignment="1" applyBorder="1" applyFill="1" applyFont="1">
      <alignment horizontal="left" shrinkToFit="0" vertical="center" wrapText="1"/>
    </xf>
    <xf borderId="23" fillId="0" fontId="3" numFmtId="0" xfId="0" applyBorder="1" applyFont="1"/>
    <xf borderId="15" fillId="7" fontId="24" numFmtId="0" xfId="0" applyAlignment="1" applyBorder="1" applyFont="1">
      <alignment horizontal="right" shrinkToFit="0" vertical="center" wrapText="1"/>
    </xf>
    <xf borderId="16" fillId="7" fontId="23" numFmtId="1" xfId="0" applyAlignment="1" applyBorder="1" applyFont="1" applyNumberFormat="1">
      <alignment horizontal="center" shrinkToFit="0" vertical="center" wrapText="1"/>
    </xf>
    <xf borderId="0" fillId="0" fontId="1" numFmtId="0" xfId="0" applyFont="1"/>
    <xf borderId="1" fillId="2" fontId="1" numFmtId="1" xfId="0" applyBorder="1" applyFont="1" applyNumberFormat="1"/>
    <xf borderId="0" fillId="0" fontId="25" numFmtId="0" xfId="0" applyFont="1"/>
    <xf borderId="0" fillId="0" fontId="18" numFmtId="0" xfId="0" applyFont="1"/>
    <xf borderId="16" fillId="3" fontId="19" numFmtId="0" xfId="0" applyAlignment="1" applyBorder="1" applyFont="1">
      <alignment horizontal="left" shrinkToFit="0" vertical="center" wrapText="1"/>
    </xf>
    <xf borderId="18" fillId="4" fontId="21" numFmtId="0" xfId="0" applyAlignment="1" applyBorder="1" applyFont="1">
      <alignment horizontal="left" vertical="center"/>
    </xf>
    <xf borderId="20" fillId="5" fontId="18" numFmtId="164" xfId="0" applyAlignment="1" applyBorder="1" applyFont="1" applyNumberFormat="1">
      <alignment horizontal="left" shrinkToFit="0" vertical="center" wrapText="1"/>
    </xf>
    <xf borderId="24" fillId="2" fontId="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16" fillId="7" fontId="23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left"/>
    </xf>
    <xf borderId="1" fillId="2" fontId="15" numFmtId="0" xfId="0" applyAlignment="1" applyBorder="1" applyFont="1">
      <alignment horizontal="left"/>
    </xf>
    <xf borderId="1" fillId="2" fontId="14" numFmtId="0" xfId="0" applyAlignment="1" applyBorder="1" applyFont="1">
      <alignment vertical="center"/>
    </xf>
    <xf borderId="1" fillId="2" fontId="16" numFmtId="0" xfId="0" applyAlignment="1" applyBorder="1" applyFont="1">
      <alignment horizontal="left" vertical="center"/>
    </xf>
    <xf borderId="1" fillId="2" fontId="17" numFmtId="0" xfId="0" applyAlignment="1" applyBorder="1" applyFont="1">
      <alignment horizontal="left" vertical="center"/>
    </xf>
    <xf borderId="26" fillId="2" fontId="1" numFmtId="164" xfId="0" applyBorder="1" applyFont="1" applyNumberFormat="1"/>
    <xf borderId="0" fillId="0" fontId="20" numFmtId="0" xfId="0" applyFont="1"/>
    <xf borderId="0" fillId="0" fontId="11" numFmtId="0" xfId="0" applyFont="1"/>
    <xf borderId="0" fillId="0" fontId="11" numFmtId="1" xfId="0" applyFont="1" applyNumberFormat="1"/>
    <xf borderId="0" fillId="0" fontId="11" numFmtId="164" xfId="0" applyFont="1" applyNumberFormat="1"/>
    <xf borderId="0" fillId="0" fontId="1" numFmtId="164" xfId="0" applyFont="1" applyNumberFormat="1"/>
    <xf borderId="27" fillId="0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0" fillId="0" fontId="1" numFmtId="1" xfId="0" applyFont="1" applyNumberFormat="1"/>
    <xf borderId="28" fillId="0" fontId="1" numFmtId="164" xfId="0" applyBorder="1" applyFont="1" applyNumberFormat="1"/>
    <xf borderId="29" fillId="2" fontId="1" numFmtId="0" xfId="0" applyAlignment="1" applyBorder="1" applyFont="1">
      <alignment horizontal="center" shrinkToFit="0" vertical="center" wrapText="1"/>
    </xf>
    <xf borderId="29" fillId="2" fontId="9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center" vertical="center"/>
    </xf>
    <xf borderId="30" fillId="0" fontId="3" numFmtId="0" xfId="0" applyBorder="1" applyFont="1"/>
    <xf borderId="1" fillId="2" fontId="1" numFmtId="0" xfId="0" applyAlignment="1" applyBorder="1" applyFont="1">
      <alignment horizontal="center" vertical="center"/>
    </xf>
    <xf borderId="0" fillId="0" fontId="15" numFmtId="0" xfId="0" applyAlignment="1" applyFont="1">
      <alignment horizontal="left" vertical="center"/>
    </xf>
    <xf borderId="31" fillId="8" fontId="20" numFmtId="0" xfId="0" applyAlignment="1" applyBorder="1" applyFill="1" applyFont="1">
      <alignment horizontal="left" shrinkToFit="0" vertical="center" wrapText="1"/>
    </xf>
    <xf borderId="15" fillId="8" fontId="20" numFmtId="1" xfId="0" applyAlignment="1" applyBorder="1" applyFont="1" applyNumberFormat="1">
      <alignment horizontal="center" shrinkToFit="0" vertical="center" wrapText="1"/>
    </xf>
    <xf borderId="32" fillId="9" fontId="20" numFmtId="0" xfId="0" applyAlignment="1" applyBorder="1" applyFill="1" applyFont="1">
      <alignment horizontal="left" shrinkToFit="0" vertical="center" wrapText="1"/>
    </xf>
    <xf borderId="15" fillId="9" fontId="20" numFmtId="1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vertical="center"/>
    </xf>
    <xf borderId="1" fillId="2" fontId="1" numFmtId="1" xfId="0" applyAlignment="1" applyBorder="1" applyFont="1" applyNumberFormat="1">
      <alignment vertical="center"/>
    </xf>
    <xf borderId="1" fillId="2" fontId="18" numFmtId="0" xfId="0" applyAlignment="1" applyBorder="1" applyFont="1">
      <alignment vertical="center"/>
    </xf>
    <xf borderId="31" fillId="10" fontId="20" numFmtId="164" xfId="0" applyAlignment="1" applyBorder="1" applyFill="1" applyFont="1" applyNumberFormat="1">
      <alignment horizontal="left" shrinkToFit="0" vertical="center" wrapText="1"/>
    </xf>
    <xf borderId="15" fillId="10" fontId="20" numFmtId="1" xfId="0" applyAlignment="1" applyBorder="1" applyFont="1" applyNumberFormat="1">
      <alignment horizontal="center" vertical="center"/>
    </xf>
    <xf borderId="32" fillId="11" fontId="20" numFmtId="164" xfId="0" applyAlignment="1" applyBorder="1" applyFill="1" applyFont="1" applyNumberFormat="1">
      <alignment horizontal="left" shrinkToFit="0" vertical="center" wrapText="1"/>
    </xf>
    <xf borderId="15" fillId="11" fontId="20" numFmtId="1" xfId="0" applyAlignment="1" applyBorder="1" applyFont="1" applyNumberFormat="1">
      <alignment horizontal="center" shrinkToFit="0" vertical="center" wrapText="1"/>
    </xf>
    <xf borderId="31" fillId="10" fontId="20" numFmtId="0" xfId="0" applyAlignment="1" applyBorder="1" applyFont="1">
      <alignment horizontal="left" shrinkToFit="0" vertical="center" wrapText="1"/>
    </xf>
    <xf borderId="15" fillId="10" fontId="20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2" fillId="11" fontId="20" numFmtId="0" xfId="0" applyAlignment="1" applyBorder="1" applyFont="1">
      <alignment horizontal="left" shrinkToFit="0" vertical="center" wrapText="1"/>
    </xf>
    <xf borderId="15" fillId="11" fontId="20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vertical="center"/>
    </xf>
    <xf borderId="1" fillId="2" fontId="25" numFmtId="0" xfId="0" applyBorder="1" applyFont="1"/>
    <xf borderId="0" fillId="0" fontId="25" numFmtId="0" xfId="0" applyAlignment="1" applyFont="1">
      <alignment horizontal="center" vertical="center"/>
    </xf>
    <xf borderId="29" fillId="2" fontId="14" numFmtId="0" xfId="0" applyAlignment="1" applyBorder="1" applyFont="1">
      <alignment horizontal="left" vertical="center"/>
    </xf>
    <xf borderId="0" fillId="0" fontId="26" numFmtId="0" xfId="0" applyAlignment="1" applyFont="1">
      <alignment horizontal="left" shrinkToFit="0" wrapText="1"/>
    </xf>
    <xf borderId="0" fillId="0" fontId="27" numFmtId="0" xfId="0" applyFont="1"/>
    <xf borderId="18" fillId="4" fontId="21" numFmtId="9" xfId="0" applyAlignment="1" applyBorder="1" applyFont="1" applyNumberFormat="1">
      <alignment horizontal="left" shrinkToFit="0" vertical="center" wrapText="1"/>
    </xf>
    <xf borderId="18" fillId="4" fontId="21" numFmtId="0" xfId="0" applyAlignment="1" applyBorder="1" applyFont="1">
      <alignment horizontal="left" shrinkToFit="0" vertical="center" wrapText="1"/>
    </xf>
    <xf borderId="33" fillId="5" fontId="22" numFmtId="164" xfId="0" applyAlignment="1" applyBorder="1" applyFont="1" applyNumberFormat="1">
      <alignment horizontal="left" shrinkToFit="0" vertical="center" wrapText="1"/>
    </xf>
    <xf borderId="16" fillId="4" fontId="22" numFmtId="0" xfId="0" applyAlignment="1" applyBorder="1" applyFont="1">
      <alignment horizontal="left" vertical="center"/>
    </xf>
    <xf borderId="16" fillId="4" fontId="22" numFmtId="0" xfId="0" applyAlignment="1" applyBorder="1" applyFont="1">
      <alignment horizontal="left" shrinkToFit="0" vertical="center" wrapText="1"/>
    </xf>
    <xf borderId="34" fillId="5" fontId="22" numFmtId="164" xfId="0" applyAlignment="1" applyBorder="1" applyFont="1" applyNumberFormat="1">
      <alignment horizontal="left" shrinkToFit="0" vertical="center" wrapText="1"/>
    </xf>
    <xf borderId="1" fillId="2" fontId="11" numFmtId="0" xfId="0" applyAlignment="1" applyBorder="1" applyFont="1">
      <alignment horizontal="center" vertical="center"/>
    </xf>
    <xf borderId="10" fillId="2" fontId="28" numFmtId="0" xfId="0" applyAlignment="1" applyBorder="1" applyFont="1">
      <alignment horizontal="center" vertical="center"/>
    </xf>
    <xf borderId="10" fillId="2" fontId="29" numFmtId="0" xfId="0" applyAlignment="1" applyBorder="1" applyFont="1">
      <alignment horizontal="center" vertical="center"/>
    </xf>
    <xf borderId="35" fillId="12" fontId="30" numFmtId="0" xfId="0" applyAlignment="1" applyBorder="1" applyFill="1" applyFont="1">
      <alignment horizontal="center" vertical="center"/>
    </xf>
    <xf borderId="36" fillId="12" fontId="30" numFmtId="17" xfId="0" applyAlignment="1" applyBorder="1" applyFont="1" applyNumberFormat="1">
      <alignment horizontal="center" vertical="center"/>
    </xf>
    <xf borderId="36" fillId="12" fontId="30" numFmtId="0" xfId="0" applyAlignment="1" applyBorder="1" applyFont="1">
      <alignment horizontal="center" vertical="center"/>
    </xf>
    <xf borderId="37" fillId="3" fontId="29" numFmtId="0" xfId="0" applyAlignment="1" applyBorder="1" applyFont="1">
      <alignment horizontal="center" textRotation="90" vertical="center"/>
    </xf>
    <xf borderId="36" fillId="5" fontId="1" numFmtId="0" xfId="0" applyAlignment="1" applyBorder="1" applyFont="1">
      <alignment horizontal="center" vertical="center"/>
    </xf>
    <xf borderId="36" fillId="5" fontId="1" numFmtId="0" xfId="0" applyBorder="1" applyFont="1"/>
    <xf borderId="38" fillId="0" fontId="3" numFmtId="0" xfId="0" applyBorder="1" applyFont="1"/>
    <xf borderId="39" fillId="0" fontId="3" numFmtId="0" xfId="0" applyBorder="1" applyFont="1"/>
    <xf borderId="1" fillId="2" fontId="30" numFmtId="0" xfId="0" applyAlignment="1" applyBorder="1" applyFont="1">
      <alignment horizontal="center" vertical="center"/>
    </xf>
    <xf borderId="36" fillId="5" fontId="1" numFmtId="9" xfId="0" applyBorder="1" applyFont="1" applyNumberFormat="1"/>
    <xf borderId="37" fillId="3" fontId="29" numFmtId="0" xfId="0" applyAlignment="1" applyBorder="1" applyFont="1">
      <alignment horizontal="center" shrinkToFit="0" textRotation="90" vertical="center" wrapText="1"/>
    </xf>
    <xf borderId="1" fillId="2" fontId="11" numFmtId="0" xfId="0" applyAlignment="1" applyBorder="1" applyFont="1">
      <alignment vertical="center"/>
    </xf>
    <xf borderId="1" fillId="2" fontId="11" numFmtId="0" xfId="0" applyAlignment="1" applyBorder="1" applyFont="1">
      <alignment shrinkToFit="0" vertical="center" wrapText="1"/>
    </xf>
    <xf borderId="10" fillId="2" fontId="31" numFmtId="0" xfId="0" applyAlignment="1" applyBorder="1" applyFont="1">
      <alignment horizontal="center" vertical="center"/>
    </xf>
    <xf borderId="40" fillId="2" fontId="1" numFmtId="0" xfId="0" applyBorder="1" applyFont="1"/>
    <xf borderId="1" fillId="2" fontId="1" numFmtId="0" xfId="0" applyAlignment="1" applyBorder="1" applyFont="1">
      <alignment shrinkToFit="0" vertical="center" wrapText="1"/>
    </xf>
    <xf borderId="36" fillId="13" fontId="30" numFmtId="0" xfId="0" applyAlignment="1" applyBorder="1" applyFill="1" applyFont="1">
      <alignment horizontal="center" vertical="center"/>
    </xf>
    <xf borderId="36" fillId="13" fontId="30" numFmtId="0" xfId="0" applyAlignment="1" applyBorder="1" applyFont="1">
      <alignment horizontal="center" shrinkToFit="0" vertical="center" wrapText="1"/>
    </xf>
    <xf borderId="36" fillId="13" fontId="30" numFmtId="17" xfId="0" applyAlignment="1" applyBorder="1" applyFont="1" applyNumberFormat="1">
      <alignment horizontal="center" vertical="center"/>
    </xf>
    <xf borderId="37" fillId="14" fontId="1" numFmtId="0" xfId="0" applyAlignment="1" applyBorder="1" applyFill="1" applyFont="1">
      <alignment horizontal="center" vertical="center"/>
    </xf>
    <xf borderId="36" fillId="14" fontId="1" numFmtId="0" xfId="0" applyAlignment="1" applyBorder="1" applyFont="1">
      <alignment horizontal="center" vertical="center"/>
    </xf>
    <xf borderId="36" fillId="14" fontId="1" numFmtId="0" xfId="0" applyAlignment="1" applyBorder="1" applyFont="1">
      <alignment horizontal="center" shrinkToFit="0" vertical="center" wrapText="1"/>
    </xf>
    <xf borderId="36" fillId="3" fontId="11" numFmtId="165" xfId="0" applyAlignment="1" applyBorder="1" applyFont="1" applyNumberFormat="1">
      <alignment horizontal="center" vertical="center"/>
    </xf>
    <xf borderId="36" fillId="5" fontId="1" numFmtId="165" xfId="0" applyAlignment="1" applyBorder="1" applyFont="1" applyNumberFormat="1">
      <alignment horizontal="center" readingOrder="0" vertical="center"/>
    </xf>
    <xf borderId="36" fillId="3" fontId="11" numFmtId="0" xfId="0" applyAlignment="1" applyBorder="1" applyFont="1">
      <alignment horizontal="center" vertical="center"/>
    </xf>
    <xf borderId="36" fillId="5" fontId="1" numFmtId="166" xfId="0" applyAlignment="1" applyBorder="1" applyFont="1" applyNumberForma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vertical="center"/>
    </xf>
    <xf borderId="36" fillId="2" fontId="1" numFmtId="0" xfId="0" applyAlignment="1" applyBorder="1" applyFont="1">
      <alignment horizontal="center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41" fillId="5" fontId="1" numFmtId="166" xfId="0" applyAlignment="1" applyBorder="1" applyFont="1" applyNumberFormat="1">
      <alignment horizontal="center" vertical="center"/>
    </xf>
    <xf borderId="36" fillId="3" fontId="11" numFmtId="166" xfId="0" applyAlignment="1" applyBorder="1" applyFont="1" applyNumberFormat="1">
      <alignment horizontal="center" vertical="center"/>
    </xf>
    <xf borderId="35" fillId="2" fontId="1" numFmtId="0" xfId="0" applyAlignment="1" applyBorder="1" applyFont="1">
      <alignment vertical="center"/>
    </xf>
    <xf borderId="1" fillId="2" fontId="32" numFmtId="0" xfId="0" applyBorder="1" applyFont="1"/>
    <xf borderId="1" fillId="2" fontId="33" numFmtId="0" xfId="0" applyAlignment="1" applyBorder="1" applyFont="1">
      <alignment vertical="center"/>
    </xf>
    <xf borderId="0" fillId="0" fontId="22" numFmtId="0" xfId="0" applyFont="1"/>
    <xf borderId="42" fillId="0" fontId="22" numFmtId="0" xfId="0" applyAlignment="1" applyBorder="1" applyFont="1">
      <alignment horizontal="left" shrinkToFit="0" vertical="center" wrapText="1"/>
    </xf>
    <xf borderId="43" fillId="5" fontId="22" numFmtId="164" xfId="0" applyAlignment="1" applyBorder="1" applyFont="1" applyNumberFormat="1">
      <alignment horizontal="left" shrinkToFit="0" vertical="center" wrapText="1"/>
    </xf>
    <xf borderId="19" fillId="5" fontId="22" numFmtId="14" xfId="0" applyAlignment="1" applyBorder="1" applyFont="1" applyNumberFormat="1">
      <alignment horizontal="center" shrinkToFit="0" vertical="center" wrapText="1"/>
    </xf>
    <xf borderId="20" fillId="5" fontId="22" numFmtId="14" xfId="0" applyAlignment="1" applyBorder="1" applyFont="1" applyNumberFormat="1">
      <alignment horizontal="center" shrinkToFit="0" vertical="center" wrapText="1"/>
    </xf>
    <xf borderId="44" fillId="5" fontId="22" numFmtId="0" xfId="0" applyAlignment="1" applyBorder="1" applyFont="1">
      <alignment horizontal="center" shrinkToFit="0" vertical="center" wrapText="1"/>
    </xf>
    <xf borderId="0" fillId="0" fontId="27" numFmtId="164" xfId="0" applyFont="1" applyNumberFormat="1"/>
    <xf borderId="45" fillId="0" fontId="22" numFmtId="0" xfId="0" applyAlignment="1" applyBorder="1" applyFont="1">
      <alignment horizontal="left" shrinkToFit="0" vertical="center" wrapText="1"/>
    </xf>
    <xf borderId="2" fillId="2" fontId="9" numFmtId="0" xfId="0" applyAlignment="1" applyBorder="1" applyFont="1">
      <alignment horizontal="left" vertical="center"/>
    </xf>
    <xf borderId="5" fillId="0" fontId="34" numFmtId="0" xfId="0" applyAlignment="1" applyBorder="1" applyFont="1">
      <alignment horizontal="left" vertical="center"/>
    </xf>
    <xf borderId="6" fillId="0" fontId="35" numFmtId="0" xfId="0" applyAlignment="1" applyBorder="1" applyFont="1">
      <alignment vertical="center"/>
    </xf>
    <xf borderId="6" fillId="0" fontId="11" numFmtId="0" xfId="0" applyBorder="1" applyFont="1"/>
    <xf borderId="6" fillId="0" fontId="1" numFmtId="0" xfId="0" applyBorder="1" applyFont="1"/>
    <xf borderId="7" fillId="0" fontId="1" numFmtId="0" xfId="0" applyBorder="1" applyFont="1"/>
    <xf borderId="46" fillId="0" fontId="23" numFmtId="0" xfId="0" applyAlignment="1" applyBorder="1" applyFont="1">
      <alignment horizontal="left" vertical="center"/>
    </xf>
    <xf borderId="8" fillId="0" fontId="1" numFmtId="0" xfId="0" applyBorder="1" applyFont="1"/>
    <xf borderId="9" fillId="0" fontId="1" numFmtId="0" xfId="0" applyBorder="1" applyFont="1"/>
    <xf borderId="47" fillId="0" fontId="18" numFmtId="0" xfId="0" applyAlignment="1" applyBorder="1" applyFont="1">
      <alignment horizontal="center"/>
    </xf>
    <xf borderId="48" fillId="6" fontId="22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49" fillId="0" fontId="3" numFmtId="0" xfId="0" applyBorder="1" applyFont="1"/>
    <xf borderId="50" fillId="5" fontId="36" numFmtId="9" xfId="0" applyAlignment="1" applyBorder="1" applyFont="1" applyNumberFormat="1">
      <alignment horizontal="center" vertical="center"/>
    </xf>
    <xf borderId="51" fillId="0" fontId="3" numFmtId="0" xfId="0" applyBorder="1" applyFont="1"/>
    <xf borderId="9" fillId="0" fontId="3" numFmtId="0" xfId="0" applyBorder="1" applyFont="1"/>
    <xf borderId="52" fillId="0" fontId="3" numFmtId="0" xfId="0" applyBorder="1" applyFont="1"/>
    <xf borderId="46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7" numFmtId="0" xfId="0" applyAlignment="1" applyBorder="1" applyFont="1">
      <alignment horizontal="left" shrinkToFit="0" vertical="center" wrapText="1"/>
    </xf>
    <xf borderId="56" fillId="0" fontId="3" numFmtId="0" xfId="0" applyBorder="1" applyFont="1"/>
    <xf borderId="8" fillId="0" fontId="34" numFmtId="0" xfId="0" applyAlignment="1" applyBorder="1" applyFont="1">
      <alignment horizontal="left" vertical="center"/>
    </xf>
    <xf borderId="0" fillId="0" fontId="35" numFmtId="0" xfId="0" applyAlignment="1" applyFont="1">
      <alignment vertical="center"/>
    </xf>
    <xf borderId="9" fillId="0" fontId="11" numFmtId="0" xfId="0" applyBorder="1" applyFont="1"/>
    <xf borderId="0" fillId="0" fontId="11" numFmtId="0" xfId="0" applyAlignment="1" applyFont="1">
      <alignment horizontal="center" vertical="center"/>
    </xf>
    <xf borderId="57" fillId="15" fontId="38" numFmtId="0" xfId="0" applyAlignment="1" applyBorder="1" applyFill="1" applyFont="1">
      <alignment horizontal="left" shrinkToFit="0" vertical="center" wrapText="1"/>
    </xf>
    <xf borderId="31" fillId="16" fontId="38" numFmtId="9" xfId="0" applyAlignment="1" applyBorder="1" applyFill="1" applyFont="1" applyNumberFormat="1">
      <alignment horizontal="center" shrinkToFit="0" vertical="center" wrapText="1"/>
    </xf>
    <xf borderId="22" fillId="4" fontId="39" numFmtId="0" xfId="0" applyAlignment="1" applyBorder="1" applyFont="1">
      <alignment horizontal="left" shrinkToFit="0" vertical="center" wrapText="1"/>
    </xf>
    <xf borderId="46" fillId="0" fontId="34" numFmtId="0" xfId="0" applyAlignment="1" applyBorder="1" applyFont="1">
      <alignment horizontal="left" vertical="center"/>
    </xf>
    <xf borderId="58" fillId="0" fontId="3" numFmtId="0" xfId="0" applyBorder="1" applyFont="1"/>
    <xf borderId="22" fillId="0" fontId="35" numFmtId="0" xfId="0" applyAlignment="1" applyBorder="1" applyFont="1">
      <alignment horizontal="left" vertical="center"/>
    </xf>
    <xf borderId="53" fillId="0" fontId="23" numFmtId="0" xfId="0" applyAlignment="1" applyBorder="1" applyFont="1">
      <alignment horizontal="left" vertical="center"/>
    </xf>
    <xf borderId="59" fillId="4" fontId="40" numFmtId="1" xfId="0" applyAlignment="1" applyBorder="1" applyFont="1" applyNumberFormat="1">
      <alignment horizontal="left" shrinkToFit="0" vertical="center" wrapText="1"/>
    </xf>
    <xf borderId="8" fillId="0" fontId="41" numFmtId="0" xfId="0" applyAlignment="1" applyBorder="1" applyFont="1">
      <alignment horizontal="left" vertical="center"/>
    </xf>
    <xf borderId="51" fillId="0" fontId="41" numFmtId="0" xfId="0" applyAlignment="1" applyBorder="1" applyFont="1">
      <alignment horizontal="left" vertical="center"/>
    </xf>
    <xf borderId="60" fillId="4" fontId="26" numFmtId="164" xfId="0" applyAlignment="1" applyBorder="1" applyFont="1" applyNumberFormat="1">
      <alignment horizontal="left" shrinkToFit="0" vertical="center" wrapText="1"/>
    </xf>
    <xf borderId="61" fillId="0" fontId="3" numFmtId="0" xfId="0" applyBorder="1" applyFont="1"/>
    <xf borderId="62" fillId="4" fontId="42" numFmtId="1" xfId="0" applyAlignment="1" applyBorder="1" applyFont="1" applyNumberFormat="1">
      <alignment horizontal="left" shrinkToFit="0" vertical="center" wrapText="1"/>
    </xf>
    <xf borderId="62" fillId="4" fontId="26" numFmtId="164" xfId="0" applyAlignment="1" applyBorder="1" applyFont="1" applyNumberFormat="1">
      <alignment horizontal="left" shrinkToFit="0" vertical="center" wrapText="1"/>
    </xf>
    <xf borderId="62" fillId="4" fontId="43" numFmtId="1" xfId="0" applyAlignment="1" applyBorder="1" applyFont="1" applyNumberFormat="1">
      <alignment horizontal="left" shrinkToFit="0" vertical="center" wrapText="1"/>
    </xf>
    <xf borderId="63" fillId="0" fontId="3" numFmtId="0" xfId="0" applyBorder="1" applyFont="1"/>
    <xf borderId="60" fillId="4" fontId="26" numFmtId="0" xfId="0" applyAlignment="1" applyBorder="1" applyFont="1">
      <alignment horizontal="left" shrinkToFit="0" vertical="center" wrapText="1"/>
    </xf>
    <xf borderId="62" fillId="4" fontId="42" numFmtId="0" xfId="0" applyAlignment="1" applyBorder="1" applyFont="1">
      <alignment horizontal="left" shrinkToFit="0" vertical="center" wrapText="1"/>
    </xf>
    <xf borderId="51" fillId="0" fontId="34" numFmtId="0" xfId="0" applyAlignment="1" applyBorder="1" applyFont="1">
      <alignment horizontal="left" vertical="center"/>
    </xf>
    <xf borderId="62" fillId="4" fontId="26" numFmtId="0" xfId="0" applyAlignment="1" applyBorder="1" applyFont="1">
      <alignment horizontal="left" shrinkToFit="0" vertical="center" wrapText="1"/>
    </xf>
    <xf borderId="62" fillId="4" fontId="43" numFmtId="0" xfId="0" applyAlignment="1" applyBorder="1" applyFont="1">
      <alignment horizontal="left" shrinkToFit="0" vertical="center" wrapText="1"/>
    </xf>
    <xf borderId="64" fillId="4" fontId="26" numFmtId="164" xfId="0" applyAlignment="1" applyBorder="1" applyFont="1" applyNumberFormat="1">
      <alignment horizontal="left" shrinkToFit="0" vertical="center" wrapText="1"/>
    </xf>
    <xf borderId="65" fillId="0" fontId="3" numFmtId="0" xfId="0" applyBorder="1" applyFont="1"/>
    <xf borderId="66" fillId="4" fontId="42" numFmtId="1" xfId="0" applyAlignment="1" applyBorder="1" applyFont="1" applyNumberFormat="1">
      <alignment horizontal="left" shrinkToFit="0" vertical="center" wrapText="1"/>
    </xf>
    <xf borderId="13" fillId="0" fontId="1" numFmtId="0" xfId="0" applyBorder="1" applyFont="1"/>
    <xf borderId="66" fillId="4" fontId="26" numFmtId="0" xfId="0" applyAlignment="1" applyBorder="1" applyFont="1">
      <alignment horizontal="left" shrinkToFit="0" vertical="center" wrapText="1"/>
    </xf>
    <xf borderId="66" fillId="4" fontId="43" numFmtId="0" xfId="0" applyAlignment="1" applyBorder="1" applyFont="1">
      <alignment horizontal="left" shrinkToFit="0" vertical="center" wrapText="1"/>
    </xf>
    <xf borderId="67" fillId="0" fontId="3" numFmtId="0" xfId="0" applyBorder="1" applyFont="1"/>
    <xf borderId="22" fillId="15" fontId="19" numFmtId="0" xfId="0" applyAlignment="1" applyBorder="1" applyFont="1">
      <alignment horizontal="left" shrinkToFit="0" vertical="center" wrapText="1"/>
    </xf>
    <xf borderId="16" fillId="5" fontId="36" numFmtId="9" xfId="0" applyAlignment="1" applyBorder="1" applyFont="1" applyNumberFormat="1">
      <alignment horizontal="center" vertical="top"/>
    </xf>
    <xf borderId="22" fillId="6" fontId="22" numFmtId="0" xfId="0" applyAlignment="1" applyBorder="1" applyFont="1">
      <alignment horizontal="left" shrinkToFit="0" vertical="center" wrapText="1"/>
    </xf>
    <xf borderId="18" fillId="5" fontId="44" numFmtId="9" xfId="0" applyAlignment="1" applyBorder="1" applyFont="1" applyNumberFormat="1">
      <alignment vertical="center"/>
    </xf>
    <xf borderId="1" fillId="2" fontId="34" numFmtId="0" xfId="0" applyAlignment="1" applyBorder="1" applyFont="1">
      <alignment vertical="center"/>
    </xf>
    <xf borderId="48" fillId="0" fontId="34" numFmtId="0" xfId="0" applyAlignment="1" applyBorder="1" applyFont="1">
      <alignment horizontal="left" vertical="center"/>
    </xf>
    <xf borderId="27" fillId="0" fontId="35" numFmtId="0" xfId="0" applyAlignment="1" applyBorder="1" applyFont="1">
      <alignment vertical="center"/>
    </xf>
    <xf borderId="68" fillId="2" fontId="35" numFmtId="0" xfId="0" applyAlignment="1" applyBorder="1" applyFont="1">
      <alignment vertical="center"/>
    </xf>
    <xf borderId="1" fillId="2" fontId="35" numFmtId="0" xfId="0" applyAlignment="1" applyBorder="1" applyFont="1">
      <alignment vertical="center"/>
    </xf>
    <xf borderId="1" fillId="2" fontId="30" numFmtId="0" xfId="0" applyBorder="1" applyFont="1"/>
    <xf borderId="1" fillId="2" fontId="11" numFmtId="165" xfId="0" applyAlignment="1" applyBorder="1" applyFont="1" applyNumberFormat="1">
      <alignment horizontal="center" vertical="center"/>
    </xf>
    <xf borderId="1" fillId="2" fontId="11" numFmtId="9" xfId="0" applyAlignment="1" applyBorder="1" applyFont="1" applyNumberFormat="1">
      <alignment horizontal="center" vertical="center"/>
    </xf>
    <xf borderId="10" fillId="2" fontId="8" numFmtId="0" xfId="0" applyAlignment="1" applyBorder="1" applyFont="1">
      <alignment horizontal="center" vertical="center"/>
    </xf>
    <xf borderId="69" fillId="13" fontId="1" numFmtId="0" xfId="0" applyAlignment="1" applyBorder="1" applyFont="1">
      <alignment horizontal="center"/>
    </xf>
    <xf borderId="70" fillId="0" fontId="3" numFmtId="0" xfId="0" applyBorder="1" applyFont="1"/>
    <xf borderId="35" fillId="17" fontId="1" numFmtId="17" xfId="0" applyAlignment="1" applyBorder="1" applyFill="1" applyFont="1" applyNumberFormat="1">
      <alignment horizontal="center" readingOrder="0" vertical="center"/>
    </xf>
    <xf borderId="69" fillId="13" fontId="30" numFmtId="0" xfId="0" applyAlignment="1" applyBorder="1" applyFont="1">
      <alignment horizontal="center" vertical="center"/>
    </xf>
    <xf borderId="71" fillId="0" fontId="3" numFmtId="0" xfId="0" applyBorder="1" applyFont="1"/>
    <xf borderId="1" fillId="2" fontId="1" numFmtId="165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72" fillId="18" fontId="30" numFmtId="0" xfId="0" applyAlignment="1" applyBorder="1" applyFill="1" applyFont="1">
      <alignment horizontal="center" vertical="center"/>
    </xf>
    <xf borderId="36" fillId="18" fontId="30" numFmtId="0" xfId="0" applyAlignment="1" applyBorder="1" applyFont="1">
      <alignment horizontal="center" vertical="center"/>
    </xf>
    <xf borderId="36" fillId="19" fontId="30" numFmtId="0" xfId="0" applyAlignment="1" applyBorder="1" applyFill="1" applyFont="1">
      <alignment horizontal="center" vertical="center"/>
    </xf>
    <xf borderId="36" fillId="19" fontId="30" numFmtId="165" xfId="0" applyAlignment="1" applyBorder="1" applyFont="1" applyNumberFormat="1">
      <alignment horizontal="center" vertical="center"/>
    </xf>
    <xf borderId="36" fillId="18" fontId="30" numFmtId="9" xfId="0" applyAlignment="1" applyBorder="1" applyFont="1" applyNumberFormat="1">
      <alignment horizontal="center" vertical="center"/>
    </xf>
    <xf borderId="0" fillId="0" fontId="1" numFmtId="165" xfId="0" applyFont="1" applyNumberFormat="1"/>
    <xf borderId="0" fillId="0" fontId="1" numFmtId="9" xfId="0" applyFont="1" applyNumberFormat="1"/>
    <xf borderId="73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65" xfId="0" applyAlignment="1" applyBorder="1" applyFont="1" applyNumberFormat="1">
      <alignment horizontal="center" vertical="center"/>
    </xf>
    <xf borderId="36" fillId="0" fontId="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textRotation="90" vertical="center"/>
    </xf>
    <xf borderId="36" fillId="2" fontId="1" numFmtId="9" xfId="0" applyAlignment="1" applyBorder="1" applyFont="1" applyNumberFormat="1">
      <alignment horizontal="center" vertical="center"/>
    </xf>
    <xf borderId="36" fillId="17" fontId="1" numFmtId="0" xfId="0" applyAlignment="1" applyBorder="1" applyFont="1">
      <alignment horizontal="center" vertical="center"/>
    </xf>
    <xf borderId="72" fillId="17" fontId="1" numFmtId="165" xfId="0" applyAlignment="1" applyBorder="1" applyFont="1" applyNumberFormat="1">
      <alignment horizontal="center" vertical="center"/>
    </xf>
    <xf borderId="36" fillId="17" fontId="1" numFmtId="9" xfId="0" applyAlignment="1" applyBorder="1" applyFont="1" applyNumberFormat="1">
      <alignment horizontal="center" vertical="center"/>
    </xf>
    <xf borderId="72" fillId="17" fontId="1" numFmtId="0" xfId="0" applyAlignment="1" applyBorder="1" applyFont="1">
      <alignment horizontal="center" vertical="center"/>
    </xf>
    <xf borderId="1" fillId="2" fontId="1" numFmtId="165" xfId="0" applyBorder="1" applyFont="1" applyNumberFormat="1"/>
    <xf borderId="73" fillId="0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textRotation="90" vertical="center" wrapText="1"/>
    </xf>
    <xf borderId="74" fillId="2" fontId="9" numFmtId="0" xfId="0" applyAlignment="1" applyBorder="1" applyFont="1">
      <alignment horizontal="left" vertical="center"/>
    </xf>
    <xf borderId="75" fillId="0" fontId="3" numFmtId="0" xfId="0" applyBorder="1" applyFont="1"/>
    <xf borderId="76" fillId="2" fontId="14" numFmtId="0" xfId="0" applyBorder="1" applyFont="1"/>
    <xf borderId="77" fillId="2" fontId="1" numFmtId="0" xfId="0" applyBorder="1" applyFont="1"/>
    <xf borderId="78" fillId="0" fontId="3" numFmtId="0" xfId="0" applyBorder="1" applyFont="1"/>
    <xf borderId="79" fillId="2" fontId="16" numFmtId="0" xfId="0" applyAlignment="1" applyBorder="1" applyFont="1">
      <alignment vertical="center"/>
    </xf>
    <xf borderId="80" fillId="2" fontId="1" numFmtId="0" xfId="0" applyBorder="1" applyFont="1"/>
    <xf borderId="79" fillId="2" fontId="1" numFmtId="0" xfId="0" applyBorder="1" applyFont="1"/>
    <xf borderId="78" fillId="0" fontId="34" numFmtId="0" xfId="0" applyAlignment="1" applyBorder="1" applyFont="1">
      <alignment horizontal="left" shrinkToFit="0" vertical="top" wrapText="1"/>
    </xf>
    <xf borderId="0" fillId="0" fontId="41" numFmtId="0" xfId="0" applyAlignment="1" applyFont="1">
      <alignment horizontal="left" vertical="top"/>
    </xf>
    <xf borderId="81" fillId="0" fontId="1" numFmtId="0" xfId="0" applyBorder="1" applyFont="1"/>
    <xf borderId="1" fillId="2" fontId="1" numFmtId="0" xfId="0" applyAlignment="1" applyBorder="1" applyFont="1">
      <alignment vertical="top"/>
    </xf>
    <xf borderId="78" fillId="0" fontId="4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vertical="top"/>
    </xf>
    <xf borderId="81" fillId="0" fontId="16" numFmtId="0" xfId="0" applyAlignment="1" applyBorder="1" applyFont="1">
      <alignment vertical="top"/>
    </xf>
    <xf borderId="78" fillId="0" fontId="1" numFmtId="0" xfId="0" applyBorder="1" applyFont="1"/>
    <xf borderId="78" fillId="0" fontId="46" numFmtId="0" xfId="0" applyAlignment="1" applyBorder="1" applyFont="1">
      <alignment vertical="center"/>
    </xf>
    <xf borderId="81" fillId="0" fontId="3" numFmtId="0" xfId="0" applyBorder="1" applyFont="1"/>
    <xf borderId="78" fillId="0" fontId="47" numFmtId="0" xfId="0" applyAlignment="1" applyBorder="1" applyFont="1">
      <alignment vertical="center"/>
    </xf>
    <xf borderId="78" fillId="0" fontId="47" numFmtId="0" xfId="0" applyBorder="1" applyFont="1"/>
    <xf borderId="0" fillId="0" fontId="47" numFmtId="0" xfId="0" applyFont="1"/>
    <xf borderId="81" fillId="0" fontId="47" numFmtId="0" xfId="0" applyBorder="1" applyFont="1"/>
    <xf borderId="78" fillId="0" fontId="48" numFmtId="0" xfId="0" applyAlignment="1" applyBorder="1" applyFont="1">
      <alignment vertical="center"/>
    </xf>
    <xf borderId="78" fillId="0" fontId="49" numFmtId="0" xfId="0" applyAlignment="1" applyBorder="1" applyFont="1">
      <alignment vertical="center"/>
    </xf>
    <xf borderId="51" fillId="0" fontId="49" numFmtId="0" xfId="0" applyAlignment="1" applyBorder="1" applyFont="1">
      <alignment vertical="center"/>
    </xf>
    <xf borderId="51" fillId="0" fontId="50" numFmtId="0" xfId="0" applyAlignment="1" applyBorder="1" applyFont="1">
      <alignment vertical="center"/>
    </xf>
    <xf borderId="82" fillId="4" fontId="26" numFmtId="164" xfId="0" applyAlignment="1" applyBorder="1" applyFont="1" applyNumberFormat="1">
      <alignment horizontal="left" shrinkToFit="0" vertical="center" wrapText="1"/>
    </xf>
    <xf borderId="62" fillId="4" fontId="22" numFmtId="1" xfId="0" applyAlignment="1" applyBorder="1" applyFont="1" applyNumberFormat="1">
      <alignment horizontal="left" shrinkToFit="0" vertical="center" wrapText="1"/>
    </xf>
    <xf borderId="83" fillId="0" fontId="3" numFmtId="0" xfId="0" applyBorder="1" applyFont="1"/>
    <xf borderId="84" fillId="0" fontId="3" numFmtId="0" xfId="0" applyBorder="1" applyFont="1"/>
    <xf borderId="82" fillId="4" fontId="26" numFmtId="0" xfId="0" applyAlignment="1" applyBorder="1" applyFont="1">
      <alignment horizontal="left" shrinkToFit="0" vertical="center" wrapText="1"/>
    </xf>
    <xf borderId="62" fillId="4" fontId="22" numFmtId="0" xfId="0" applyAlignment="1" applyBorder="1" applyFont="1">
      <alignment horizontal="left" shrinkToFit="0" vertical="center" wrapText="1"/>
    </xf>
    <xf borderId="78" fillId="0" fontId="51" numFmtId="0" xfId="0" applyAlignment="1" applyBorder="1" applyFont="1">
      <alignment vertical="center"/>
    </xf>
    <xf borderId="51" fillId="0" fontId="51" numFmtId="0" xfId="0" applyAlignment="1" applyBorder="1" applyFont="1">
      <alignment vertical="center"/>
    </xf>
    <xf borderId="85" fillId="0" fontId="52" numFmtId="0" xfId="0" applyAlignment="1" applyBorder="1" applyFont="1">
      <alignment horizontal="center"/>
    </xf>
    <xf borderId="48" fillId="20" fontId="53" numFmtId="0" xfId="0" applyAlignment="1" applyBorder="1" applyFill="1" applyFont="1">
      <alignment horizontal="left" shrinkToFit="0" vertical="center" wrapText="1"/>
    </xf>
    <xf borderId="86" fillId="0" fontId="3" numFmtId="0" xfId="0" applyBorder="1" applyFont="1"/>
    <xf borderId="87" fillId="5" fontId="54" numFmtId="9" xfId="0" applyAlignment="1" applyBorder="1" applyFont="1" applyNumberFormat="1">
      <alignment horizontal="center" vertical="top"/>
    </xf>
    <xf borderId="88" fillId="0" fontId="3" numFmtId="0" xfId="0" applyBorder="1" applyFont="1"/>
    <xf borderId="89" fillId="15" fontId="32" numFmtId="0" xfId="0" applyAlignment="1" applyBorder="1" applyFont="1">
      <alignment horizontal="left" shrinkToFit="0" vertical="center" wrapText="1"/>
    </xf>
    <xf borderId="31" fillId="10" fontId="32" numFmtId="9" xfId="0" applyAlignment="1" applyBorder="1" applyFont="1" applyNumberFormat="1">
      <alignment horizontal="center" shrinkToFit="0" vertical="center" wrapText="1"/>
    </xf>
    <xf borderId="62" fillId="4" fontId="55" numFmtId="0" xfId="0" applyAlignment="1" applyBorder="1" applyFont="1">
      <alignment horizontal="left" shrinkToFit="0" vertical="center" wrapText="1"/>
    </xf>
    <xf borderId="32" fillId="11" fontId="32" numFmtId="9" xfId="0" applyAlignment="1" applyBorder="1" applyFont="1" applyNumberFormat="1">
      <alignment horizontal="center" shrinkToFit="0" vertical="center" wrapText="1"/>
    </xf>
    <xf borderId="22" fillId="4" fontId="55" numFmtId="0" xfId="0" applyAlignment="1" applyBorder="1" applyFont="1">
      <alignment horizontal="left" shrinkToFit="0" vertical="center" wrapText="1"/>
    </xf>
    <xf borderId="90" fillId="0" fontId="3" numFmtId="0" xfId="0" applyBorder="1" applyFont="1"/>
    <xf borderId="89" fillId="15" fontId="38" numFmtId="0" xfId="0" applyAlignment="1" applyBorder="1" applyFont="1">
      <alignment horizontal="left" shrinkToFit="0" vertical="center" wrapText="1"/>
    </xf>
    <xf borderId="59" fillId="4" fontId="56" numFmtId="1" xfId="0" applyAlignment="1" applyBorder="1" applyFont="1" applyNumberFormat="1">
      <alignment horizontal="left" shrinkToFit="0" vertical="center" wrapText="1"/>
    </xf>
    <xf borderId="78" fillId="0" fontId="57" numFmtId="0" xfId="0" applyAlignment="1" applyBorder="1" applyFont="1">
      <alignment vertical="center"/>
    </xf>
    <xf borderId="91" fillId="7" fontId="19" numFmtId="0" xfId="0" applyAlignment="1" applyBorder="1" applyFont="1">
      <alignment horizontal="left" shrinkToFit="0" vertical="center" wrapText="1"/>
    </xf>
    <xf borderId="22" fillId="5" fontId="36" numFmtId="9" xfId="0" applyAlignment="1" applyBorder="1" applyFont="1" applyNumberFormat="1">
      <alignment horizontal="center" vertical="top"/>
    </xf>
    <xf borderId="78" fillId="0" fontId="4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Font="1"/>
    <xf borderId="0" fillId="0" fontId="58" numFmtId="0" xfId="0" applyFont="1"/>
    <xf borderId="0" fillId="0" fontId="59" numFmtId="0" xfId="0" applyFont="1"/>
    <xf borderId="0" fillId="0" fontId="60" numFmtId="0" xfId="0" applyFont="1"/>
    <xf borderId="0" fillId="0" fontId="1" numFmtId="0" xfId="0" applyAlignment="1" applyFont="1">
      <alignment shrinkToFit="0" wrapText="1"/>
    </xf>
    <xf borderId="0" fillId="0" fontId="61" numFmtId="0" xfId="0" applyFont="1"/>
  </cellXfs>
  <cellStyles count="1">
    <cellStyle xfId="0" name="Normal" builtinId="0"/>
  </cellStyles>
  <dxfs count="13">
    <dxf>
      <font>
        <color rgb="FF663300"/>
      </font>
      <fill>
        <patternFill patternType="solid">
          <fgColor rgb="FFFF9966"/>
          <bgColor rgb="FFFF9966"/>
        </patternFill>
      </fill>
      <border/>
    </dxf>
    <dxf>
      <font>
        <color rgb="FF330000"/>
      </font>
      <fill>
        <patternFill patternType="solid">
          <fgColor rgb="FFFF6666"/>
          <bgColor rgb="FFFF6666"/>
        </patternFill>
      </fill>
      <border/>
    </dxf>
    <dxf>
      <font>
        <color rgb="FF003333"/>
      </font>
      <fill>
        <patternFill patternType="solid">
          <fgColor rgb="FF99CCCC"/>
          <bgColor rgb="FF99CCCC"/>
        </patternFill>
      </fill>
      <border/>
    </dxf>
    <dxf>
      <font>
        <color rgb="FF003300"/>
      </font>
      <fill>
        <patternFill patternType="solid">
          <fgColor rgb="FF99CC99"/>
          <bgColor rgb="FF99CC9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theme="0"/>
      </font>
      <fill>
        <patternFill patternType="solid">
          <fgColor rgb="FF339933"/>
          <bgColor rgb="FF339933"/>
        </patternFill>
      </fill>
      <border/>
    </dxf>
    <dxf>
      <font>
        <b/>
        <color theme="0"/>
      </font>
      <fill>
        <patternFill patternType="solid">
          <fgColor rgb="FF66CC99"/>
          <bgColor rgb="FF66CC99"/>
        </patternFill>
      </fill>
      <border/>
    </dxf>
    <dxf>
      <font>
        <b/>
        <color rgb="FF595959"/>
      </font>
      <fill>
        <patternFill patternType="solid">
          <fgColor rgb="FFFFCC00"/>
          <bgColor rgb="FFFFCC00"/>
        </patternFill>
      </fill>
      <border/>
    </dxf>
    <dxf>
      <font>
        <b/>
        <color theme="0"/>
      </font>
      <fill>
        <patternFill patternType="solid">
          <fgColor rgb="FFFF3333"/>
          <bgColor rgb="FFFF3333"/>
        </patternFill>
      </fill>
      <border/>
    </dxf>
    <dxf>
      <font>
        <b/>
        <color theme="0"/>
      </font>
      <fill>
        <patternFill patternType="solid">
          <fgColor rgb="FFFF9999"/>
          <bgColor rgb="FFFF9999"/>
        </patternFill>
      </fill>
      <border/>
    </dxf>
    <dxf>
      <font>
        <b/>
        <color rgb="FF595959"/>
        <name val="Calibri"/>
      </font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'Resultados SWOT Gráficos'!$C$19:$C$22</c:f>
            </c:strRef>
          </c:cat>
          <c:val>
            <c:numRef>
              <c:f>'Resultados SWOT Gráficos'!$D$19:$D$22</c:f>
              <c:numCache/>
            </c:numRef>
          </c:val>
          <c:smooth val="1"/>
        </c:ser>
        <c:axId val="687342721"/>
        <c:axId val="636679742"/>
      </c:radarChart>
      <c:catAx>
        <c:axId val="68734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679742"/>
      </c:catAx>
      <c:valAx>
        <c:axId val="636679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342721"/>
      </c:valAx>
    </c:plotArea>
    <c:plotVisOnly val="1"/>
  </c:chart>
  <c:spPr>
    <a:solidFill>
      <a:srgbClr val="ECF0F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605777817"/>
        <c:axId val="2065776299"/>
      </c:barChart>
      <c:catAx>
        <c:axId val="60577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065776299"/>
      </c:catAx>
      <c:valAx>
        <c:axId val="20657762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5777817"/>
      </c:valAx>
      <c:spPr>
        <a:solidFill>
          <a:srgbClr val="EAEAEA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1191034059"/>
        <c:axId val="1550559815"/>
      </c:barChart>
      <c:catAx>
        <c:axId val="1191034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0559815"/>
      </c:catAx>
      <c:valAx>
        <c:axId val="1550559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1034059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977517324"/>
        <c:axId val="337392056"/>
      </c:barChart>
      <c:catAx>
        <c:axId val="977517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37392056"/>
      </c:catAx>
      <c:valAx>
        <c:axId val="33739205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77517324"/>
      </c:valAx>
      <c:spPr>
        <a:solidFill>
          <a:srgbClr val="EAEAEA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'Resultados SWOT Gráficos'!$C$19:$C$22</c:f>
            </c:strRef>
          </c:cat>
          <c:val>
            <c:numRef>
              <c:f>'Resultados SWOT Gráficos'!$D$19:$D$22</c:f>
              <c:numCache/>
            </c:numRef>
          </c:val>
          <c:smooth val="1"/>
        </c:ser>
        <c:axId val="1294375840"/>
        <c:axId val="1847508511"/>
      </c:radarChart>
      <c:catAx>
        <c:axId val="129437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508511"/>
      </c:catAx>
      <c:valAx>
        <c:axId val="1847508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375840"/>
      </c:valAx>
    </c:plotArea>
    <c:plotVisOnly val="1"/>
  </c:chart>
  <c:spPr>
    <a:solidFill>
      <a:srgbClr val="ECF0F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801670350"/>
        <c:axId val="1624972052"/>
      </c:barChart>
      <c:catAx>
        <c:axId val="801670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624972052"/>
      </c:catAx>
      <c:valAx>
        <c:axId val="16249720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1670350"/>
      </c:valAx>
      <c:spPr>
        <a:solidFill>
          <a:srgbClr val="EAEAEA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1082324004"/>
        <c:axId val="299675898"/>
      </c:barChart>
      <c:catAx>
        <c:axId val="1082324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9675898"/>
      </c:catAx>
      <c:valAx>
        <c:axId val="2996758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2324004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2120702993"/>
        <c:axId val="1462195521"/>
      </c:barChart>
      <c:catAx>
        <c:axId val="2120702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62195521"/>
      </c:catAx>
      <c:valAx>
        <c:axId val="146219552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20702993"/>
      </c:valAx>
      <c:spPr>
        <a:solidFill>
          <a:srgbClr val="EAEAEA"/>
        </a:solidFill>
      </c:spPr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C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C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C1" TargetMode="External"/><Relationship Id="rId15" Type="http://schemas.openxmlformats.org/officeDocument/2006/relationships/image" Target="../media/image17.png"/><Relationship Id="rId14" Type="http://schemas.openxmlformats.org/officeDocument/2006/relationships/image" Target="../media/image9.png"/><Relationship Id="rId5" Type="http://schemas.openxmlformats.org/officeDocument/2006/relationships/hyperlink" Target="#'Painel%20Estrat&#233;gico%20'!C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C1" TargetMode="Externa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hyperlink" Target="#'Objetivos%20Estrat&#233;gicos%20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Desdobrament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'Planos%20de%20A&#231;&#227;o%20-%20FxO'!A1" TargetMode="External"/><Relationship Id="rId9" Type="http://schemas.openxmlformats.org/officeDocument/2006/relationships/hyperlink" Target="#Oportunidades!A1" TargetMode="External"/><Relationship Id="rId15" Type="http://schemas.openxmlformats.org/officeDocument/2006/relationships/hyperlink" Target="#Imprimir!A1" TargetMode="External"/><Relationship Id="rId14" Type="http://schemas.openxmlformats.org/officeDocument/2006/relationships/hyperlink" Target="#'Resultados%20SWOT%20Gr&#225;ficos'!A1" TargetMode="External"/><Relationship Id="rId17" Type="http://schemas.openxmlformats.org/officeDocument/2006/relationships/image" Target="../media/image16.png"/><Relationship Id="rId16" Type="http://schemas.openxmlformats.org/officeDocument/2006/relationships/image" Target="../media/image18.png"/><Relationship Id="rId5" Type="http://schemas.openxmlformats.org/officeDocument/2006/relationships/hyperlink" Target="#GPA!A1" TargetMode="External"/><Relationship Id="rId6" Type="http://schemas.openxmlformats.org/officeDocument/2006/relationships/hyperlink" Target="#In&#237;cio!A1" TargetMode="External"/><Relationship Id="rId7" Type="http://schemas.openxmlformats.org/officeDocument/2006/relationships/hyperlink" Target="#'Painel%20Estrat&#233;gico%20'!A1" TargetMode="External"/><Relationship Id="rId8" Type="http://schemas.openxmlformats.org/officeDocument/2006/relationships/hyperlink" Target="#For&#231;as!A1" TargetMode="Externa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hyperlink" Target="#'Objetivos%20Estrat&#233;gicos%20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Desdobrament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'Planos%20de%20A&#231;&#227;o%20-%20FxO'!A1" TargetMode="External"/><Relationship Id="rId9" Type="http://schemas.openxmlformats.org/officeDocument/2006/relationships/hyperlink" Target="#Oportunidades!A1" TargetMode="External"/><Relationship Id="rId15" Type="http://schemas.openxmlformats.org/officeDocument/2006/relationships/hyperlink" Target="#Imprimir!A1" TargetMode="External"/><Relationship Id="rId14" Type="http://schemas.openxmlformats.org/officeDocument/2006/relationships/hyperlink" Target="#'Resultados%20SWOT%20Gr&#225;ficos'!A1" TargetMode="External"/><Relationship Id="rId17" Type="http://schemas.openxmlformats.org/officeDocument/2006/relationships/image" Target="../media/image11.png"/><Relationship Id="rId16" Type="http://schemas.openxmlformats.org/officeDocument/2006/relationships/image" Target="../media/image9.png"/><Relationship Id="rId5" Type="http://schemas.openxmlformats.org/officeDocument/2006/relationships/hyperlink" Target="#GPA!A1" TargetMode="External"/><Relationship Id="rId6" Type="http://schemas.openxmlformats.org/officeDocument/2006/relationships/hyperlink" Target="#In&#237;cio!A1" TargetMode="External"/><Relationship Id="rId7" Type="http://schemas.openxmlformats.org/officeDocument/2006/relationships/hyperlink" Target="#'Painel%20Estrat&#233;gico%20'!A1" TargetMode="External"/><Relationship Id="rId8" Type="http://schemas.openxmlformats.org/officeDocument/2006/relationships/hyperlink" Target="#For&#231;as!A1" TargetMode="Externa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hyperlink" Target="#'Objetivos%20Estrat&#233;gicos%20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Desdobrament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'Planos%20de%20A&#231;&#227;o%20-%20FxO'!A1" TargetMode="External"/><Relationship Id="rId9" Type="http://schemas.openxmlformats.org/officeDocument/2006/relationships/hyperlink" Target="#Oportunidades!A1" TargetMode="External"/><Relationship Id="rId15" Type="http://schemas.openxmlformats.org/officeDocument/2006/relationships/hyperlink" Target="#Imprimir!A1" TargetMode="External"/><Relationship Id="rId14" Type="http://schemas.openxmlformats.org/officeDocument/2006/relationships/hyperlink" Target="#'Resultados%20SWOT%20Gr&#225;ficos'!A1" TargetMode="External"/><Relationship Id="rId17" Type="http://schemas.openxmlformats.org/officeDocument/2006/relationships/image" Target="../media/image14.png"/><Relationship Id="rId16" Type="http://schemas.openxmlformats.org/officeDocument/2006/relationships/image" Target="../media/image32.png"/><Relationship Id="rId5" Type="http://schemas.openxmlformats.org/officeDocument/2006/relationships/hyperlink" Target="#GPA!A1" TargetMode="External"/><Relationship Id="rId6" Type="http://schemas.openxmlformats.org/officeDocument/2006/relationships/hyperlink" Target="#In&#237;cio!A1" TargetMode="External"/><Relationship Id="rId7" Type="http://schemas.openxmlformats.org/officeDocument/2006/relationships/hyperlink" Target="#'Painel%20Estrat&#233;gico%20'!A1" TargetMode="External"/><Relationship Id="rId8" Type="http://schemas.openxmlformats.org/officeDocument/2006/relationships/hyperlink" Target="#For&#231;as!A1" TargetMode="Externa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hyperlink" Target="#'Objetivos%20Estrat&#233;gicos%20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Desdobrament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'Planos%20de%20A&#231;&#227;o%20-%20FxO'!A1" TargetMode="External"/><Relationship Id="rId9" Type="http://schemas.openxmlformats.org/officeDocument/2006/relationships/hyperlink" Target="#Oportunidades!A1" TargetMode="External"/><Relationship Id="rId15" Type="http://schemas.openxmlformats.org/officeDocument/2006/relationships/hyperlink" Target="#Imprimir!A1" TargetMode="External"/><Relationship Id="rId14" Type="http://schemas.openxmlformats.org/officeDocument/2006/relationships/hyperlink" Target="#'Resultados%20SWOT%20Gr&#225;ficos'!A1" TargetMode="External"/><Relationship Id="rId17" Type="http://schemas.openxmlformats.org/officeDocument/2006/relationships/image" Target="../media/image11.png"/><Relationship Id="rId16" Type="http://schemas.openxmlformats.org/officeDocument/2006/relationships/image" Target="../media/image9.png"/><Relationship Id="rId5" Type="http://schemas.openxmlformats.org/officeDocument/2006/relationships/hyperlink" Target="#GPA!A1" TargetMode="External"/><Relationship Id="rId6" Type="http://schemas.openxmlformats.org/officeDocument/2006/relationships/hyperlink" Target="#In&#237;cio!A1" TargetMode="External"/><Relationship Id="rId7" Type="http://schemas.openxmlformats.org/officeDocument/2006/relationships/hyperlink" Target="#'Painel%20Estrat&#233;gico%20'!A1" TargetMode="External"/><Relationship Id="rId8" Type="http://schemas.openxmlformats.org/officeDocument/2006/relationships/hyperlink" Target="#For&#231;as!A1" TargetMode="Externa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A1" TargetMode="External"/><Relationship Id="rId15" Type="http://schemas.openxmlformats.org/officeDocument/2006/relationships/image" Target="../media/image28.png"/><Relationship Id="rId14" Type="http://schemas.openxmlformats.org/officeDocument/2006/relationships/image" Target="../media/image15.png"/><Relationship Id="rId5" Type="http://schemas.openxmlformats.org/officeDocument/2006/relationships/hyperlink" Target="#'Painel%20Estrat&#233;gico%20'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C1" TargetMode="External"/><Relationship Id="rId15" Type="http://schemas.openxmlformats.org/officeDocument/2006/relationships/image" Target="../media/image25.png"/><Relationship Id="rId14" Type="http://schemas.openxmlformats.org/officeDocument/2006/relationships/image" Target="../media/image13.png"/><Relationship Id="rId5" Type="http://schemas.openxmlformats.org/officeDocument/2006/relationships/hyperlink" Target="#'Painel%20Estrat&#233;gico%20'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A1" TargetMode="External"/><Relationship Id="rId15" Type="http://schemas.openxmlformats.org/officeDocument/2006/relationships/image" Target="../media/image29.png"/><Relationship Id="rId14" Type="http://schemas.openxmlformats.org/officeDocument/2006/relationships/image" Target="../media/image27.png"/><Relationship Id="rId5" Type="http://schemas.openxmlformats.org/officeDocument/2006/relationships/hyperlink" Target="#'Painel%20Estrat&#233;gico%20'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A1" TargetMode="External"/><Relationship Id="rId15" Type="http://schemas.openxmlformats.org/officeDocument/2006/relationships/image" Target="../media/image22.png"/><Relationship Id="rId14" Type="http://schemas.openxmlformats.org/officeDocument/2006/relationships/image" Target="../media/image21.png"/><Relationship Id="rId16" Type="http://schemas.openxmlformats.org/officeDocument/2006/relationships/image" Target="../media/image1.png"/><Relationship Id="rId5" Type="http://schemas.openxmlformats.org/officeDocument/2006/relationships/hyperlink" Target="#'Painel%20Estrat&#233;gico%20'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A1" TargetMode="External"/><Relationship Id="rId15" Type="http://schemas.openxmlformats.org/officeDocument/2006/relationships/image" Target="../media/image24.png"/><Relationship Id="rId14" Type="http://schemas.openxmlformats.org/officeDocument/2006/relationships/image" Target="../media/image33.png"/><Relationship Id="rId5" Type="http://schemas.openxmlformats.org/officeDocument/2006/relationships/hyperlink" Target="#'Painel%20Estrat&#233;gico%20'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hyperlink" Target="#Cruzamento!A1" TargetMode="External"/><Relationship Id="rId10" Type="http://schemas.openxmlformats.org/officeDocument/2006/relationships/hyperlink" Target="#'Objetivos%20Estrat&#233;gicos%20'!A1" TargetMode="External"/><Relationship Id="rId13" Type="http://schemas.openxmlformats.org/officeDocument/2006/relationships/hyperlink" Target="#'Resultados%20SWOT%20Gr&#225;ficos'!A1" TargetMode="External"/><Relationship Id="rId12" Type="http://schemas.openxmlformats.org/officeDocument/2006/relationships/hyperlink" Target="#Desdobramentos!A1" TargetMode="External"/><Relationship Id="rId1" Type="http://schemas.openxmlformats.org/officeDocument/2006/relationships/chart" Target="../charts/chart1.xml"/><Relationship Id="rId2" Type="http://schemas.openxmlformats.org/officeDocument/2006/relationships/hyperlink" Target="#In&#237;cio!A1" TargetMode="External"/><Relationship Id="rId3" Type="http://schemas.openxmlformats.org/officeDocument/2006/relationships/hyperlink" Target="#'Planos%20de%20A&#231;&#227;o%20-%20FxO'!A1" TargetMode="External"/><Relationship Id="rId4" Type="http://schemas.openxmlformats.org/officeDocument/2006/relationships/hyperlink" Target="#GPA!A1" TargetMode="External"/><Relationship Id="rId9" Type="http://schemas.openxmlformats.org/officeDocument/2006/relationships/hyperlink" Target="#'Matriz%20SWOT'!A1" TargetMode="External"/><Relationship Id="rId15" Type="http://schemas.openxmlformats.org/officeDocument/2006/relationships/image" Target="../media/image27.png"/><Relationship Id="rId14" Type="http://schemas.openxmlformats.org/officeDocument/2006/relationships/hyperlink" Target="#Imprimir!A1" TargetMode="External"/><Relationship Id="rId17" Type="http://schemas.openxmlformats.org/officeDocument/2006/relationships/image" Target="../media/image2.png"/><Relationship Id="rId16" Type="http://schemas.openxmlformats.org/officeDocument/2006/relationships/image" Target="../media/image23.png"/><Relationship Id="rId5" Type="http://schemas.openxmlformats.org/officeDocument/2006/relationships/hyperlink" Target="#In&#237;cio!A1" TargetMode="External"/><Relationship Id="rId6" Type="http://schemas.openxmlformats.org/officeDocument/2006/relationships/hyperlink" Target="#'Painel%20Estrat&#233;gico%20'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11" Type="http://schemas.openxmlformats.org/officeDocument/2006/relationships/hyperlink" Target="#Oportunidades!A1" TargetMode="External"/><Relationship Id="rId10" Type="http://schemas.openxmlformats.org/officeDocument/2006/relationships/hyperlink" Target="#For&#231;as!A1" TargetMode="External"/><Relationship Id="rId13" Type="http://schemas.openxmlformats.org/officeDocument/2006/relationships/hyperlink" Target="#'Objetivos%20Estrat&#233;gicos%20'!A1" TargetMode="External"/><Relationship Id="rId12" Type="http://schemas.openxmlformats.org/officeDocument/2006/relationships/hyperlink" Target="#'Matriz%20SWOT'!A1" TargetMode="Externa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hyperlink" Target="#GPA!A1" TargetMode="External"/><Relationship Id="rId9" Type="http://schemas.openxmlformats.org/officeDocument/2006/relationships/hyperlink" Target="#'Painel%20Estrat&#233;gico%20'!A1" TargetMode="External"/><Relationship Id="rId15" Type="http://schemas.openxmlformats.org/officeDocument/2006/relationships/hyperlink" Target="#Desdobramentos!A1" TargetMode="External"/><Relationship Id="rId14" Type="http://schemas.openxmlformats.org/officeDocument/2006/relationships/hyperlink" Target="#Cruzamento!A1" TargetMode="External"/><Relationship Id="rId17" Type="http://schemas.openxmlformats.org/officeDocument/2006/relationships/hyperlink" Target="#Imprimir!A1" TargetMode="External"/><Relationship Id="rId16" Type="http://schemas.openxmlformats.org/officeDocument/2006/relationships/hyperlink" Target="#'Resultados%20SWOT%20Gr&#225;ficos'!A1" TargetMode="External"/><Relationship Id="rId5" Type="http://schemas.openxmlformats.org/officeDocument/2006/relationships/hyperlink" Target="#In&#237;cio!A1" TargetMode="External"/><Relationship Id="rId19" Type="http://schemas.openxmlformats.org/officeDocument/2006/relationships/image" Target="../media/image31.png"/><Relationship Id="rId6" Type="http://schemas.openxmlformats.org/officeDocument/2006/relationships/hyperlink" Target="#'Planos%20de%20A&#231;&#227;o%20-%20FxO'!A1" TargetMode="External"/><Relationship Id="rId18" Type="http://schemas.openxmlformats.org/officeDocument/2006/relationships/image" Target="../media/image26.png"/><Relationship Id="rId7" Type="http://schemas.openxmlformats.org/officeDocument/2006/relationships/hyperlink" Target="#GPA!A1" TargetMode="External"/><Relationship Id="rId8" Type="http://schemas.openxmlformats.org/officeDocument/2006/relationships/hyperlink" Target="#In&#237;cio!A1" TargetMode="External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hyperlink" Target="#Desdobramentos!A1" TargetMode="External"/><Relationship Id="rId10" Type="http://schemas.openxmlformats.org/officeDocument/2006/relationships/hyperlink" Target="#Cruzamento!A1" TargetMode="External"/><Relationship Id="rId13" Type="http://schemas.openxmlformats.org/officeDocument/2006/relationships/hyperlink" Target="#Imprimir!A1" TargetMode="External"/><Relationship Id="rId12" Type="http://schemas.openxmlformats.org/officeDocument/2006/relationships/hyperlink" Target="#'Resultados%20SWOT%20Gr&#225;ficos'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'Planos%20de%20A&#231;&#227;o%20-%20FxO'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'Objetivos%20Estrat&#233;gicos%20'!A1" TargetMode="External"/><Relationship Id="rId15" Type="http://schemas.openxmlformats.org/officeDocument/2006/relationships/image" Target="../media/image20.png"/><Relationship Id="rId14" Type="http://schemas.openxmlformats.org/officeDocument/2006/relationships/image" Target="../media/image30.png"/><Relationship Id="rId17" Type="http://schemas.openxmlformats.org/officeDocument/2006/relationships/image" Target="../media/image4.jpg"/><Relationship Id="rId16" Type="http://schemas.openxmlformats.org/officeDocument/2006/relationships/image" Target="../media/image1.png"/><Relationship Id="rId5" Type="http://schemas.openxmlformats.org/officeDocument/2006/relationships/hyperlink" Target="#'Painel%20Estrat&#233;gico%20'!A1" TargetMode="External"/><Relationship Id="rId19" Type="http://schemas.openxmlformats.org/officeDocument/2006/relationships/image" Target="../media/image6.png"/><Relationship Id="rId6" Type="http://schemas.openxmlformats.org/officeDocument/2006/relationships/hyperlink" Target="#For&#231;as!A1" TargetMode="External"/><Relationship Id="rId18" Type="http://schemas.openxmlformats.org/officeDocument/2006/relationships/image" Target="../media/image5.jpg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image" Target="../media/image7.png"/><Relationship Id="rId11" Type="http://schemas.openxmlformats.org/officeDocument/2006/relationships/hyperlink" Target="#Oportunidades!A1" TargetMode="External"/><Relationship Id="rId10" Type="http://schemas.openxmlformats.org/officeDocument/2006/relationships/hyperlink" Target="#For&#231;as!A1" TargetMode="External"/><Relationship Id="rId13" Type="http://schemas.openxmlformats.org/officeDocument/2006/relationships/hyperlink" Target="#'Objetivos%20Estrat&#233;gicos%20'!A1" TargetMode="External"/><Relationship Id="rId12" Type="http://schemas.openxmlformats.org/officeDocument/2006/relationships/hyperlink" Target="#'Matriz%20SWOT'!A1" TargetMode="External"/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9" Type="http://schemas.openxmlformats.org/officeDocument/2006/relationships/hyperlink" Target="#'Painel%20Estrat&#233;gico%20'!A1" TargetMode="External"/><Relationship Id="rId15" Type="http://schemas.openxmlformats.org/officeDocument/2006/relationships/hyperlink" Target="#Desdobramentos!A1" TargetMode="External"/><Relationship Id="rId14" Type="http://schemas.openxmlformats.org/officeDocument/2006/relationships/hyperlink" Target="#Cruzamento!A1" TargetMode="External"/><Relationship Id="rId17" Type="http://schemas.openxmlformats.org/officeDocument/2006/relationships/hyperlink" Target="#Imprimir!A1" TargetMode="External"/><Relationship Id="rId16" Type="http://schemas.openxmlformats.org/officeDocument/2006/relationships/hyperlink" Target="#'Resultados%20SWOT%20Gr&#225;ficos'!A1" TargetMode="External"/><Relationship Id="rId5" Type="http://schemas.openxmlformats.org/officeDocument/2006/relationships/hyperlink" Target="#In&#237;cio!A1" TargetMode="External"/><Relationship Id="rId19" Type="http://schemas.openxmlformats.org/officeDocument/2006/relationships/image" Target="../media/image34.png"/><Relationship Id="rId6" Type="http://schemas.openxmlformats.org/officeDocument/2006/relationships/hyperlink" Target="#'Planos%20de%20A&#231;&#227;o%20-%20FxO'!A1" TargetMode="External"/><Relationship Id="rId18" Type="http://schemas.openxmlformats.org/officeDocument/2006/relationships/image" Target="../media/image35.png"/><Relationship Id="rId7" Type="http://schemas.openxmlformats.org/officeDocument/2006/relationships/hyperlink" Target="#GPA!A1" TargetMode="External"/><Relationship Id="rId8" Type="http://schemas.openxmlformats.org/officeDocument/2006/relationships/hyperlink" Target="#In&#237;ci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582775" cy="1476375"/>
    <xdr:sp>
      <xdr:nvSpPr>
        <xdr:cNvPr id="3" name="Shape 3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PLANEJAMENTO ESTRATÉGICO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2</xdr:row>
      <xdr:rowOff>352425</xdr:rowOff>
    </xdr:from>
    <xdr:ext cx="2095500" cy="323850"/>
    <xdr:sp>
      <xdr:nvSpPr>
        <xdr:cNvPr id="4" name="Shape 4">
          <a:hlinkClick r:id="rId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180975</xdr:rowOff>
    </xdr:from>
    <xdr:ext cx="2095500" cy="314325"/>
    <xdr:sp>
      <xdr:nvSpPr>
        <xdr:cNvPr id="5" name="Shape 5">
          <a:hlinkClick r:id="rId2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228600</xdr:rowOff>
    </xdr:from>
    <xdr:ext cx="2095500" cy="333375"/>
    <xdr:sp>
      <xdr:nvSpPr>
        <xdr:cNvPr id="6" name="Shape 6">
          <a:hlinkClick r:id="rId3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2162175" cy="314325"/>
    <xdr:sp>
      <xdr:nvSpPr>
        <xdr:cNvPr id="7" name="Shape 7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257175</xdr:rowOff>
    </xdr:from>
    <xdr:ext cx="2095500" cy="352425"/>
    <xdr:sp>
      <xdr:nvSpPr>
        <xdr:cNvPr id="8" name="Shape 8">
          <a:hlinkClick r:id="rId5"/>
        </xdr:cNvPr>
        <xdr:cNvSpPr/>
      </xdr:nvSpPr>
      <xdr:spPr>
        <a:xfrm>
          <a:off x="4303013" y="3608550"/>
          <a:ext cx="2085975" cy="3429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295275</xdr:rowOff>
    </xdr:from>
    <xdr:ext cx="2095500" cy="323850"/>
    <xdr:sp>
      <xdr:nvSpPr>
        <xdr:cNvPr id="9" name="Shape 9">
          <a:hlinkClick r:id="rId6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95250</xdr:rowOff>
    </xdr:from>
    <xdr:ext cx="2095500" cy="323850"/>
    <xdr:sp>
      <xdr:nvSpPr>
        <xdr:cNvPr id="10" name="Shape 10">
          <a:hlinkClick r:id="rId7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114300</xdr:rowOff>
    </xdr:from>
    <xdr:ext cx="2095500" cy="323850"/>
    <xdr:sp>
      <xdr:nvSpPr>
        <xdr:cNvPr id="11" name="Shape 11">
          <a:hlinkClick r:id="rId8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2095500" cy="314325"/>
    <xdr:sp>
      <xdr:nvSpPr>
        <xdr:cNvPr id="12" name="Shape 12">
          <a:hlinkClick r:id="rId9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47625</xdr:rowOff>
    </xdr:from>
    <xdr:ext cx="2095500" cy="314325"/>
    <xdr:sp>
      <xdr:nvSpPr>
        <xdr:cNvPr id="13" name="Shape 13">
          <a:hlinkClick r:id="rId10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57150</xdr:rowOff>
    </xdr:from>
    <xdr:ext cx="1295400" cy="542925"/>
    <xdr:sp>
      <xdr:nvSpPr>
        <xdr:cNvPr id="14" name="Shape 14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400050</xdr:rowOff>
    </xdr:from>
    <xdr:ext cx="2095500" cy="323850"/>
    <xdr:sp>
      <xdr:nvSpPr>
        <xdr:cNvPr id="15" name="Shape 15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38100</xdr:rowOff>
    </xdr:from>
    <xdr:ext cx="2095500" cy="304800"/>
    <xdr:sp>
      <xdr:nvSpPr>
        <xdr:cNvPr id="16" name="Shape 16">
          <a:hlinkClick r:id="rId12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0</xdr:rowOff>
    </xdr:from>
    <xdr:ext cx="2162175" cy="333375"/>
    <xdr:sp>
      <xdr:nvSpPr>
        <xdr:cNvPr id="17" name="Shape 17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1666875</xdr:colOff>
      <xdr:row>0</xdr:row>
      <xdr:rowOff>323850</xdr:rowOff>
    </xdr:from>
    <xdr:ext cx="11963400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18" name="Shape 18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21" name="Shape 21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" name="Shape 22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23" name="Shape 23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" name="Shape 24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25" name="Shape 25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6" name="Shape 26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7" name="Shape 27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535150" cy="1476375"/>
    <xdr:sp>
      <xdr:nvSpPr>
        <xdr:cNvPr id="28" name="Shape 28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1. FATORES INTERNOS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4152900</xdr:colOff>
      <xdr:row>1</xdr:row>
      <xdr:rowOff>85725</xdr:rowOff>
    </xdr:from>
    <xdr:ext cx="5629275" cy="628650"/>
    <xdr:sp>
      <xdr:nvSpPr>
        <xdr:cNvPr id="29" name="Shape 29"/>
        <xdr:cNvSpPr txBox="1"/>
      </xdr:nvSpPr>
      <xdr:spPr>
        <a:xfrm>
          <a:off x="2536125" y="3470438"/>
          <a:ext cx="5619750" cy="619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desenvolvimento.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228600</xdr:rowOff>
    </xdr:from>
    <xdr:ext cx="1962150" cy="381000"/>
    <xdr:sp>
      <xdr:nvSpPr>
        <xdr:cNvPr id="30" name="Shape 30">
          <a:hlinkClick r:id="rId1"/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1914525</xdr:colOff>
      <xdr:row>1</xdr:row>
      <xdr:rowOff>228600</xdr:rowOff>
    </xdr:from>
    <xdr:ext cx="1971675" cy="381000"/>
    <xdr:sp>
      <xdr:nvSpPr>
        <xdr:cNvPr id="31" name="Shape 31">
          <a:hlinkClick r:id="rId2"/>
        </xdr:cNvPr>
        <xdr:cNvSpPr/>
      </xdr:nvSpPr>
      <xdr:spPr>
        <a:xfrm>
          <a:off x="4364925" y="3594263"/>
          <a:ext cx="1962150" cy="371475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57150</xdr:rowOff>
    </xdr:from>
    <xdr:ext cx="2095500" cy="323850"/>
    <xdr:sp>
      <xdr:nvSpPr>
        <xdr:cNvPr id="32" name="Shape 32">
          <a:hlinkClick r:id="rId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14</xdr:row>
      <xdr:rowOff>95250</xdr:rowOff>
    </xdr:from>
    <xdr:ext cx="2095500" cy="304800"/>
    <xdr:sp>
      <xdr:nvSpPr>
        <xdr:cNvPr id="33" name="Shape 33">
          <a:hlinkClick r:id="rId4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85725</xdr:rowOff>
    </xdr:from>
    <xdr:ext cx="2095500" cy="323850"/>
    <xdr:sp>
      <xdr:nvSpPr>
        <xdr:cNvPr id="34" name="Shape 34">
          <a:hlinkClick r:id="rId5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</xdr:row>
      <xdr:rowOff>647700</xdr:rowOff>
    </xdr:from>
    <xdr:ext cx="2162175" cy="314325"/>
    <xdr:sp>
      <xdr:nvSpPr>
        <xdr:cNvPr id="35" name="Shape 35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19</xdr:row>
      <xdr:rowOff>0</xdr:rowOff>
    </xdr:from>
    <xdr:ext cx="2095500" cy="323850"/>
    <xdr:sp>
      <xdr:nvSpPr>
        <xdr:cNvPr id="36" name="Shape 36">
          <a:hlinkClick r:id="rId7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76200</xdr:rowOff>
    </xdr:from>
    <xdr:ext cx="2095500" cy="304800"/>
    <xdr:sp>
      <xdr:nvSpPr>
        <xdr:cNvPr id="37" name="Shape 37">
          <a:hlinkClick r:id="rId8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200025</xdr:rowOff>
    </xdr:from>
    <xdr:ext cx="2095500" cy="304800"/>
    <xdr:sp>
      <xdr:nvSpPr>
        <xdr:cNvPr id="38" name="Shape 38">
          <a:hlinkClick r:id="rId9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66675</xdr:rowOff>
    </xdr:from>
    <xdr:ext cx="2095500" cy="314325"/>
    <xdr:sp>
      <xdr:nvSpPr>
        <xdr:cNvPr id="39" name="Shape 39">
          <a:hlinkClick r:id="rId10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85725</xdr:rowOff>
    </xdr:from>
    <xdr:ext cx="2095500" cy="314325"/>
    <xdr:sp>
      <xdr:nvSpPr>
        <xdr:cNvPr id="40" name="Shape 40">
          <a:hlinkClick r:id="rId11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209550</xdr:rowOff>
    </xdr:from>
    <xdr:ext cx="2095500" cy="323850"/>
    <xdr:sp>
      <xdr:nvSpPr>
        <xdr:cNvPr id="41" name="Shape 41">
          <a:hlinkClick r:id="rId1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42" name="Shape 42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219075</xdr:rowOff>
    </xdr:from>
    <xdr:ext cx="2095500" cy="323850"/>
    <xdr:sp>
      <xdr:nvSpPr>
        <xdr:cNvPr id="43" name="Shape 43">
          <a:hlinkClick r:id="rId1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0</xdr:rowOff>
    </xdr:from>
    <xdr:ext cx="2095500" cy="304800"/>
    <xdr:sp>
      <xdr:nvSpPr>
        <xdr:cNvPr id="44" name="Shape 44">
          <a:hlinkClick r:id="rId14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19</xdr:row>
      <xdr:rowOff>123825</xdr:rowOff>
    </xdr:from>
    <xdr:ext cx="2162175" cy="333375"/>
    <xdr:sp>
      <xdr:nvSpPr>
        <xdr:cNvPr id="45" name="Shape 45">
          <a:hlinkClick r:id="rId15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1514475</xdr:colOff>
      <xdr:row>0</xdr:row>
      <xdr:rowOff>209550</xdr:rowOff>
    </xdr:from>
    <xdr:ext cx="11563350" cy="742950"/>
    <xdr:grpSp>
      <xdr:nvGrpSpPr>
        <xdr:cNvPr id="2" name="Shape 2"/>
        <xdr:cNvGrpSpPr/>
      </xdr:nvGrpSpPr>
      <xdr:grpSpPr>
        <a:xfrm>
          <a:off x="0" y="3408525"/>
          <a:ext cx="10692000" cy="742950"/>
          <a:chOff x="0" y="3408525"/>
          <a:chExt cx="10692000" cy="742950"/>
        </a:xfrm>
      </xdr:grpSpPr>
      <xdr:grpSp>
        <xdr:nvGrpSpPr>
          <xdr:cNvPr id="46" name="Shape 46"/>
          <xdr:cNvGrpSpPr/>
        </xdr:nvGrpSpPr>
        <xdr:grpSpPr>
          <a:xfrm>
            <a:off x="0" y="3408525"/>
            <a:ext cx="10692000" cy="742950"/>
            <a:chOff x="0" y="3408525"/>
            <a:chExt cx="10692000" cy="742950"/>
          </a:xfrm>
        </xdr:grpSpPr>
        <xdr:sp>
          <xdr:nvSpPr>
            <xdr:cNvPr id="19" name="Shape 19"/>
            <xdr:cNvSpPr/>
          </xdr:nvSpPr>
          <xdr:spPr>
            <a:xfrm>
              <a:off x="0" y="3408525"/>
              <a:ext cx="10692000" cy="742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" name="Shape 47"/>
            <xdr:cNvGrpSpPr/>
          </xdr:nvGrpSpPr>
          <xdr:grpSpPr>
            <a:xfrm>
              <a:off x="0" y="3408525"/>
              <a:ext cx="10692000" cy="742950"/>
              <a:chOff x="0" y="3408525"/>
              <a:chExt cx="10692000" cy="742950"/>
            </a:xfrm>
          </xdr:grpSpPr>
          <xdr:sp>
            <xdr:nvSpPr>
              <xdr:cNvPr id="48" name="Shape 48"/>
              <xdr:cNvSpPr/>
            </xdr:nvSpPr>
            <xdr:spPr>
              <a:xfrm>
                <a:off x="0" y="3408525"/>
                <a:ext cx="10692000" cy="742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9" name="Shape 49"/>
              <xdr:cNvGrpSpPr/>
            </xdr:nvGrpSpPr>
            <xdr:grpSpPr>
              <a:xfrm>
                <a:off x="0" y="3408525"/>
                <a:ext cx="10692000" cy="742950"/>
                <a:chOff x="0" y="3408525"/>
                <a:chExt cx="10692000" cy="742950"/>
              </a:xfrm>
            </xdr:grpSpPr>
            <xdr:sp>
              <xdr:nvSpPr>
                <xdr:cNvPr id="50" name="Shape 50"/>
                <xdr:cNvSpPr/>
              </xdr:nvSpPr>
              <xdr:spPr>
                <a:xfrm>
                  <a:off x="0" y="3408525"/>
                  <a:ext cx="10692000" cy="742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1" name="Shape 51"/>
                <xdr:cNvGrpSpPr/>
              </xdr:nvGrpSpPr>
              <xdr:grpSpPr>
                <a:xfrm>
                  <a:off x="0" y="3408525"/>
                  <a:ext cx="10692000" cy="742950"/>
                  <a:chOff x="1615439" y="128088"/>
                  <a:chExt cx="10746748" cy="749982"/>
                </a:xfrm>
              </xdr:grpSpPr>
              <xdr:sp>
                <xdr:nvSpPr>
                  <xdr:cNvPr id="52" name="Shape 52"/>
                  <xdr:cNvSpPr/>
                </xdr:nvSpPr>
                <xdr:spPr>
                  <a:xfrm>
                    <a:off x="1615439" y="128088"/>
                    <a:ext cx="10746725" cy="7499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53" name="Shape 53"/>
                  <xdr:cNvPicPr preferRelativeResize="0"/>
                </xdr:nvPicPr>
                <xdr:blipFill rotWithShape="1">
                  <a:blip r:embed="rId16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54" name="Shape 54"/>
                  <xdr:cNvPicPr preferRelativeResize="0"/>
                </xdr:nvPicPr>
                <xdr:blipFill rotWithShape="1">
                  <a:blip r:embed="rId17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1053601" y="27051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832175" cy="1476375"/>
    <xdr:sp>
      <xdr:nvSpPr>
        <xdr:cNvPr id="55" name="Shape 55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1. FATORES INTERNOS 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228600</xdr:rowOff>
    </xdr:from>
    <xdr:ext cx="1962150" cy="381000"/>
    <xdr:sp>
      <xdr:nvSpPr>
        <xdr:cNvPr id="56" name="Shape 56">
          <a:hlinkClick r:id="rId1"/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1914525</xdr:colOff>
      <xdr:row>1</xdr:row>
      <xdr:rowOff>228600</xdr:rowOff>
    </xdr:from>
    <xdr:ext cx="1971675" cy="381000"/>
    <xdr:sp>
      <xdr:nvSpPr>
        <xdr:cNvPr id="57" name="Shape 57">
          <a:hlinkClick r:id="rId2"/>
        </xdr:cNvPr>
        <xdr:cNvSpPr/>
      </xdr:nvSpPr>
      <xdr:spPr>
        <a:xfrm>
          <a:off x="4364925" y="3594263"/>
          <a:ext cx="1962150" cy="371475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3</xdr:col>
      <xdr:colOff>666750</xdr:colOff>
      <xdr:row>1</xdr:row>
      <xdr:rowOff>114300</xdr:rowOff>
    </xdr:from>
    <xdr:ext cx="5629275" cy="628650"/>
    <xdr:sp>
      <xdr:nvSpPr>
        <xdr:cNvPr id="58" name="Shape 58"/>
        <xdr:cNvSpPr txBox="1"/>
      </xdr:nvSpPr>
      <xdr:spPr>
        <a:xfrm>
          <a:off x="2536125" y="3470438"/>
          <a:ext cx="5619750" cy="619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desenvolvimento.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95250</xdr:rowOff>
    </xdr:from>
    <xdr:ext cx="2095500" cy="323850"/>
    <xdr:sp>
      <xdr:nvSpPr>
        <xdr:cNvPr id="59" name="Shape 59">
          <a:hlinkClick r:id="rId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152400</xdr:rowOff>
    </xdr:from>
    <xdr:ext cx="2095500" cy="314325"/>
    <xdr:sp>
      <xdr:nvSpPr>
        <xdr:cNvPr id="60" name="Shape 60">
          <a:hlinkClick r:id="rId4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0</xdr:rowOff>
    </xdr:from>
    <xdr:ext cx="2095500" cy="323850"/>
    <xdr:sp>
      <xdr:nvSpPr>
        <xdr:cNvPr id="61" name="Shape 61">
          <a:hlinkClick r:id="rId5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2162175" cy="314325"/>
    <xdr:sp>
      <xdr:nvSpPr>
        <xdr:cNvPr id="62" name="Shape 62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0</xdr:rowOff>
    </xdr:from>
    <xdr:ext cx="2095500" cy="323850"/>
    <xdr:sp>
      <xdr:nvSpPr>
        <xdr:cNvPr id="63" name="Shape 63">
          <a:hlinkClick r:id="rId7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104775</xdr:rowOff>
    </xdr:from>
    <xdr:ext cx="2095500" cy="314325"/>
    <xdr:sp>
      <xdr:nvSpPr>
        <xdr:cNvPr id="64" name="Shape 64">
          <a:hlinkClick r:id="rId8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114300</xdr:rowOff>
    </xdr:from>
    <xdr:ext cx="2095500" cy="314325"/>
    <xdr:sp>
      <xdr:nvSpPr>
        <xdr:cNvPr id="65" name="Shape 65">
          <a:hlinkClick r:id="rId9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114300</xdr:rowOff>
    </xdr:from>
    <xdr:ext cx="2095500" cy="323850"/>
    <xdr:sp>
      <xdr:nvSpPr>
        <xdr:cNvPr id="66" name="Shape 66">
          <a:hlinkClick r:id="rId10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123825</xdr:rowOff>
    </xdr:from>
    <xdr:ext cx="2095500" cy="323850"/>
    <xdr:sp>
      <xdr:nvSpPr>
        <xdr:cNvPr id="67" name="Shape 67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133350</xdr:rowOff>
    </xdr:from>
    <xdr:ext cx="2095500" cy="333375"/>
    <xdr:sp>
      <xdr:nvSpPr>
        <xdr:cNvPr id="68" name="Shape 68">
          <a:hlinkClick r:id="rId12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69" name="Shape 69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142875</xdr:rowOff>
    </xdr:from>
    <xdr:ext cx="2095500" cy="323850"/>
    <xdr:sp>
      <xdr:nvSpPr>
        <xdr:cNvPr id="70" name="Shape 70">
          <a:hlinkClick r:id="rId1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161925</xdr:rowOff>
    </xdr:from>
    <xdr:ext cx="2095500" cy="314325"/>
    <xdr:sp>
      <xdr:nvSpPr>
        <xdr:cNvPr id="71" name="Shape 71">
          <a:hlinkClick r:id="rId14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9525</xdr:rowOff>
    </xdr:from>
    <xdr:ext cx="2162175" cy="333375"/>
    <xdr:sp>
      <xdr:nvSpPr>
        <xdr:cNvPr id="72" name="Shape 72">
          <a:hlinkClick r:id="rId15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1504950</xdr:colOff>
      <xdr:row>0</xdr:row>
      <xdr:rowOff>266700</xdr:rowOff>
    </xdr:from>
    <xdr:ext cx="119538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73" name="Shape 73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4" name="Shape 74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75" name="Shape 75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6" name="Shape 76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77" name="Shape 77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8" name="Shape 78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79" name="Shape 79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80" name="Shape 80"/>
                  <xdr:cNvPicPr preferRelativeResize="0"/>
                </xdr:nvPicPr>
                <xdr:blipFill rotWithShape="1">
                  <a:blip r:embed="rId16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81" name="Shape 81"/>
                  <xdr:cNvPicPr preferRelativeResize="0"/>
                </xdr:nvPicPr>
                <xdr:blipFill rotWithShape="1">
                  <a:blip r:embed="rId17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430375" cy="1476375"/>
    <xdr:sp>
      <xdr:nvSpPr>
        <xdr:cNvPr id="82" name="Shape 82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2. FATORES EXTERNOS 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114300</xdr:rowOff>
    </xdr:from>
    <xdr:ext cx="1962150" cy="381000"/>
    <xdr:sp>
      <xdr:nvSpPr>
        <xdr:cNvPr id="83" name="Shape 83">
          <a:hlinkClick r:id="rId1"/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1914525</xdr:colOff>
      <xdr:row>1</xdr:row>
      <xdr:rowOff>114300</xdr:rowOff>
    </xdr:from>
    <xdr:ext cx="1971675" cy="381000"/>
    <xdr:sp>
      <xdr:nvSpPr>
        <xdr:cNvPr id="84" name="Shape 84">
          <a:hlinkClick r:id="rId2"/>
        </xdr:cNvPr>
        <xdr:cNvSpPr/>
      </xdr:nvSpPr>
      <xdr:spPr>
        <a:xfrm>
          <a:off x="4364925" y="3594263"/>
          <a:ext cx="1962150" cy="371475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2</xdr:col>
      <xdr:colOff>4305300</xdr:colOff>
      <xdr:row>0</xdr:row>
      <xdr:rowOff>371475</xdr:rowOff>
    </xdr:from>
    <xdr:ext cx="5629275" cy="619125"/>
    <xdr:sp>
      <xdr:nvSpPr>
        <xdr:cNvPr id="85" name="Shape 85"/>
        <xdr:cNvSpPr txBox="1"/>
      </xdr:nvSpPr>
      <xdr:spPr>
        <a:xfrm>
          <a:off x="2536125" y="3475200"/>
          <a:ext cx="5619750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 desenvolvimento.</a:t>
          </a:r>
          <a:br>
            <a:rPr b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3</xdr:row>
      <xdr:rowOff>333375</xdr:rowOff>
    </xdr:from>
    <xdr:ext cx="2095500" cy="323850"/>
    <xdr:sp>
      <xdr:nvSpPr>
        <xdr:cNvPr id="86" name="Shape 86">
          <a:hlinkClick r:id="rId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2095500" cy="304800"/>
    <xdr:sp>
      <xdr:nvSpPr>
        <xdr:cNvPr id="87" name="Shape 87">
          <a:hlinkClick r:id="rId4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2095500" cy="323850"/>
    <xdr:sp>
      <xdr:nvSpPr>
        <xdr:cNvPr id="88" name="Shape 88">
          <a:hlinkClick r:id="rId5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</xdr:row>
      <xdr:rowOff>571500</xdr:rowOff>
    </xdr:from>
    <xdr:ext cx="2162175" cy="314325"/>
    <xdr:sp>
      <xdr:nvSpPr>
        <xdr:cNvPr id="89" name="Shape 89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9525</xdr:rowOff>
    </xdr:from>
    <xdr:ext cx="2095500" cy="323850"/>
    <xdr:sp>
      <xdr:nvSpPr>
        <xdr:cNvPr id="90" name="Shape 90">
          <a:hlinkClick r:id="rId7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2095500" cy="304800"/>
    <xdr:sp>
      <xdr:nvSpPr>
        <xdr:cNvPr id="91" name="Shape 91">
          <a:hlinkClick r:id="rId8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352425</xdr:rowOff>
    </xdr:from>
    <xdr:ext cx="2095500" cy="314325"/>
    <xdr:sp>
      <xdr:nvSpPr>
        <xdr:cNvPr id="92" name="Shape 92">
          <a:hlinkClick r:id="rId9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304800</xdr:rowOff>
    </xdr:from>
    <xdr:ext cx="2095500" cy="323850"/>
    <xdr:sp>
      <xdr:nvSpPr>
        <xdr:cNvPr id="93" name="Shape 93">
          <a:hlinkClick r:id="rId10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333375</xdr:rowOff>
    </xdr:from>
    <xdr:ext cx="2095500" cy="323850"/>
    <xdr:sp>
      <xdr:nvSpPr>
        <xdr:cNvPr id="94" name="Shape 94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323850</xdr:rowOff>
    </xdr:from>
    <xdr:ext cx="2095500" cy="323850"/>
    <xdr:sp>
      <xdr:nvSpPr>
        <xdr:cNvPr id="95" name="Shape 95">
          <a:hlinkClick r:id="rId1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96" name="Shape 96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2095500" cy="314325"/>
    <xdr:sp>
      <xdr:nvSpPr>
        <xdr:cNvPr id="97" name="Shape 97">
          <a:hlinkClick r:id="rId13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2095500" cy="304800"/>
    <xdr:sp>
      <xdr:nvSpPr>
        <xdr:cNvPr id="98" name="Shape 98">
          <a:hlinkClick r:id="rId14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38100</xdr:rowOff>
    </xdr:from>
    <xdr:ext cx="2162175" cy="333375"/>
    <xdr:sp>
      <xdr:nvSpPr>
        <xdr:cNvPr id="99" name="Shape 99">
          <a:hlinkClick r:id="rId15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1476375</xdr:colOff>
      <xdr:row>0</xdr:row>
      <xdr:rowOff>228600</xdr:rowOff>
    </xdr:from>
    <xdr:ext cx="12153900" cy="714375"/>
    <xdr:grpSp>
      <xdr:nvGrpSpPr>
        <xdr:cNvPr id="2" name="Shape 2"/>
        <xdr:cNvGrpSpPr/>
      </xdr:nvGrpSpPr>
      <xdr:grpSpPr>
        <a:xfrm>
          <a:off x="0" y="3422813"/>
          <a:ext cx="10692000" cy="714375"/>
          <a:chOff x="0" y="3422813"/>
          <a:chExt cx="10692000" cy="714375"/>
        </a:xfrm>
      </xdr:grpSpPr>
      <xdr:grpSp>
        <xdr:nvGrpSpPr>
          <xdr:cNvPr id="100" name="Shape 100"/>
          <xdr:cNvGrpSpPr/>
        </xdr:nvGrpSpPr>
        <xdr:grpSpPr>
          <a:xfrm>
            <a:off x="0" y="3422813"/>
            <a:ext cx="10692000" cy="714375"/>
            <a:chOff x="0" y="3422813"/>
            <a:chExt cx="10692000" cy="714375"/>
          </a:xfrm>
        </xdr:grpSpPr>
        <xdr:sp>
          <xdr:nvSpPr>
            <xdr:cNvPr id="19" name="Shape 19"/>
            <xdr:cNvSpPr/>
          </xdr:nvSpPr>
          <xdr:spPr>
            <a:xfrm>
              <a:off x="0" y="3422813"/>
              <a:ext cx="10692000" cy="714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1" name="Shape 101"/>
            <xdr:cNvGrpSpPr/>
          </xdr:nvGrpSpPr>
          <xdr:grpSpPr>
            <a:xfrm>
              <a:off x="0" y="3422813"/>
              <a:ext cx="10692000" cy="714375"/>
              <a:chOff x="0" y="3422813"/>
              <a:chExt cx="10692000" cy="714375"/>
            </a:xfrm>
          </xdr:grpSpPr>
          <xdr:sp>
            <xdr:nvSpPr>
              <xdr:cNvPr id="102" name="Shape 102"/>
              <xdr:cNvSpPr/>
            </xdr:nvSpPr>
            <xdr:spPr>
              <a:xfrm>
                <a:off x="0" y="3422813"/>
                <a:ext cx="10692000" cy="714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3" name="Shape 103"/>
              <xdr:cNvGrpSpPr/>
            </xdr:nvGrpSpPr>
            <xdr:grpSpPr>
              <a:xfrm>
                <a:off x="0" y="3422813"/>
                <a:ext cx="10692000" cy="714375"/>
                <a:chOff x="0" y="3422813"/>
                <a:chExt cx="10692000" cy="714375"/>
              </a:xfrm>
            </xdr:grpSpPr>
            <xdr:sp>
              <xdr:nvSpPr>
                <xdr:cNvPr id="104" name="Shape 104"/>
                <xdr:cNvSpPr/>
              </xdr:nvSpPr>
              <xdr:spPr>
                <a:xfrm>
                  <a:off x="0" y="3422813"/>
                  <a:ext cx="10692000" cy="714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5" name="Shape 105"/>
                <xdr:cNvGrpSpPr/>
              </xdr:nvGrpSpPr>
              <xdr:grpSpPr>
                <a:xfrm>
                  <a:off x="0" y="3422813"/>
                  <a:ext cx="10692000" cy="714375"/>
                  <a:chOff x="2898253" y="34292"/>
                  <a:chExt cx="10834231" cy="721858"/>
                </a:xfrm>
              </xdr:grpSpPr>
              <xdr:sp>
                <xdr:nvSpPr>
                  <xdr:cNvPr id="106" name="Shape 106"/>
                  <xdr:cNvSpPr/>
                </xdr:nvSpPr>
                <xdr:spPr>
                  <a:xfrm>
                    <a:off x="2898253" y="34292"/>
                    <a:ext cx="10834225" cy="721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07" name="Shape 107"/>
                  <xdr:cNvPicPr preferRelativeResize="0"/>
                </xdr:nvPicPr>
                <xdr:blipFill rotWithShape="1">
                  <a:blip r:embed="rId16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2898253" y="22714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108" name="Shape 108"/>
                  <xdr:cNvPicPr preferRelativeResize="0"/>
                </xdr:nvPicPr>
                <xdr:blipFill rotWithShape="1">
                  <a:blip r:embed="rId17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423898" y="3429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832175" cy="1476375"/>
    <xdr:sp>
      <xdr:nvSpPr>
        <xdr:cNvPr id="109" name="Shape 109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2. FATORES EXTERNOS 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247650</xdr:rowOff>
    </xdr:from>
    <xdr:ext cx="1962150" cy="381000"/>
    <xdr:sp>
      <xdr:nvSpPr>
        <xdr:cNvPr id="110" name="Shape 110">
          <a:hlinkClick r:id="rId1"/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1914525</xdr:colOff>
      <xdr:row>1</xdr:row>
      <xdr:rowOff>247650</xdr:rowOff>
    </xdr:from>
    <xdr:ext cx="1971675" cy="381000"/>
    <xdr:sp>
      <xdr:nvSpPr>
        <xdr:cNvPr id="111" name="Shape 111">
          <a:hlinkClick r:id="rId2"/>
        </xdr:cNvPr>
        <xdr:cNvSpPr/>
      </xdr:nvSpPr>
      <xdr:spPr>
        <a:xfrm>
          <a:off x="4364925" y="3594263"/>
          <a:ext cx="1962150" cy="371475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3</xdr:col>
      <xdr:colOff>647700</xdr:colOff>
      <xdr:row>1</xdr:row>
      <xdr:rowOff>95250</xdr:rowOff>
    </xdr:from>
    <xdr:ext cx="5629275" cy="628650"/>
    <xdr:sp>
      <xdr:nvSpPr>
        <xdr:cNvPr id="112" name="Shape 112"/>
        <xdr:cNvSpPr txBox="1"/>
      </xdr:nvSpPr>
      <xdr:spPr>
        <a:xfrm>
          <a:off x="2536125" y="3470438"/>
          <a:ext cx="5619750" cy="619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desenvolvimento.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b="0"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47625</xdr:rowOff>
    </xdr:from>
    <xdr:ext cx="2095500" cy="314325"/>
    <xdr:sp>
      <xdr:nvSpPr>
        <xdr:cNvPr id="113" name="Shape 113">
          <a:hlinkClick r:id="rId3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123825</xdr:rowOff>
    </xdr:from>
    <xdr:ext cx="2095500" cy="314325"/>
    <xdr:sp>
      <xdr:nvSpPr>
        <xdr:cNvPr id="114" name="Shape 114">
          <a:hlinkClick r:id="rId4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133350</xdr:rowOff>
    </xdr:from>
    <xdr:ext cx="2095500" cy="333375"/>
    <xdr:sp>
      <xdr:nvSpPr>
        <xdr:cNvPr id="115" name="Shape 115">
          <a:hlinkClick r:id="rId5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38100</xdr:rowOff>
    </xdr:from>
    <xdr:ext cx="2162175" cy="314325"/>
    <xdr:sp>
      <xdr:nvSpPr>
        <xdr:cNvPr id="116" name="Shape 116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161925</xdr:rowOff>
    </xdr:from>
    <xdr:ext cx="2095500" cy="333375"/>
    <xdr:sp>
      <xdr:nvSpPr>
        <xdr:cNvPr id="117" name="Shape 117">
          <a:hlinkClick r:id="rId7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57150</xdr:rowOff>
    </xdr:from>
    <xdr:ext cx="2095500" cy="304800"/>
    <xdr:sp>
      <xdr:nvSpPr>
        <xdr:cNvPr id="118" name="Shape 118">
          <a:hlinkClick r:id="rId8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66675</xdr:rowOff>
    </xdr:from>
    <xdr:ext cx="2095500" cy="304800"/>
    <xdr:sp>
      <xdr:nvSpPr>
        <xdr:cNvPr id="119" name="Shape 119">
          <a:hlinkClick r:id="rId9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66675</xdr:rowOff>
    </xdr:from>
    <xdr:ext cx="2095500" cy="323850"/>
    <xdr:sp>
      <xdr:nvSpPr>
        <xdr:cNvPr id="120" name="Shape 120">
          <a:hlinkClick r:id="rId10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95250</xdr:rowOff>
    </xdr:from>
    <xdr:ext cx="2095500" cy="323850"/>
    <xdr:sp>
      <xdr:nvSpPr>
        <xdr:cNvPr id="121" name="Shape 121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85725</xdr:rowOff>
    </xdr:from>
    <xdr:ext cx="2095500" cy="323850"/>
    <xdr:sp>
      <xdr:nvSpPr>
        <xdr:cNvPr id="122" name="Shape 122">
          <a:hlinkClick r:id="rId1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123" name="Shape 123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114300</xdr:rowOff>
    </xdr:from>
    <xdr:ext cx="2095500" cy="323850"/>
    <xdr:sp>
      <xdr:nvSpPr>
        <xdr:cNvPr id="124" name="Shape 124">
          <a:hlinkClick r:id="rId1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133350</xdr:rowOff>
    </xdr:from>
    <xdr:ext cx="2095500" cy="314325"/>
    <xdr:sp>
      <xdr:nvSpPr>
        <xdr:cNvPr id="125" name="Shape 125">
          <a:hlinkClick r:id="rId14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180975</xdr:rowOff>
    </xdr:from>
    <xdr:ext cx="2162175" cy="333375"/>
    <xdr:sp>
      <xdr:nvSpPr>
        <xdr:cNvPr id="126" name="Shape 126">
          <a:hlinkClick r:id="rId15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1524000</xdr:colOff>
      <xdr:row>1</xdr:row>
      <xdr:rowOff>28575</xdr:rowOff>
    </xdr:from>
    <xdr:ext cx="119538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127" name="Shape 127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8" name="Shape 128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129" name="Shape 129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0" name="Shape 130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131" name="Shape 131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32" name="Shape 132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133" name="Shape 133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34" name="Shape 134"/>
                  <xdr:cNvPicPr preferRelativeResize="0"/>
                </xdr:nvPicPr>
                <xdr:blipFill rotWithShape="1">
                  <a:blip r:embed="rId16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135" name="Shape 135"/>
                  <xdr:cNvPicPr preferRelativeResize="0"/>
                </xdr:nvPicPr>
                <xdr:blipFill rotWithShape="1">
                  <a:blip r:embed="rId17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592300" cy="1476375"/>
    <xdr:sp>
      <xdr:nvSpPr>
        <xdr:cNvPr id="136" name="Shape 136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3. MATRIZ SWOT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3771900</xdr:colOff>
      <xdr:row>1</xdr:row>
      <xdr:rowOff>28575</xdr:rowOff>
    </xdr:from>
    <xdr:ext cx="5153025" cy="466725"/>
    <xdr:sp>
      <xdr:nvSpPr>
        <xdr:cNvPr id="137" name="Shape 137"/>
        <xdr:cNvSpPr txBox="1"/>
      </xdr:nvSpPr>
      <xdr:spPr>
        <a:xfrm>
          <a:off x="2774250" y="3551400"/>
          <a:ext cx="5143500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Veja a sua Matriz SWOT hierarquizada de acordo com a sua pontuação.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Na aba de "Gráficos" e "Alertas e dicas" haverá mais possibilidades de análise dos dados.</a:t>
          </a:r>
          <a:endParaRPr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47625</xdr:rowOff>
    </xdr:from>
    <xdr:ext cx="2095500" cy="314325"/>
    <xdr:sp>
      <xdr:nvSpPr>
        <xdr:cNvPr id="138" name="Shape 138">
          <a:hlinkClick r:id="rId1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76200</xdr:rowOff>
    </xdr:from>
    <xdr:ext cx="2095500" cy="314325"/>
    <xdr:sp>
      <xdr:nvSpPr>
        <xdr:cNvPr id="139" name="Shape 139">
          <a:hlinkClick r:id="rId2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152400</xdr:rowOff>
    </xdr:from>
    <xdr:ext cx="2095500" cy="342900"/>
    <xdr:sp>
      <xdr:nvSpPr>
        <xdr:cNvPr id="140" name="Shape 140">
          <a:hlinkClick r:id="rId3"/>
        </xdr:cNvPr>
        <xdr:cNvSpPr/>
      </xdr:nvSpPr>
      <xdr:spPr>
        <a:xfrm>
          <a:off x="4303013" y="3613313"/>
          <a:ext cx="2085975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38100</xdr:rowOff>
    </xdr:from>
    <xdr:ext cx="2162175" cy="314325"/>
    <xdr:sp>
      <xdr:nvSpPr>
        <xdr:cNvPr id="141" name="Shape 141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238125</xdr:rowOff>
    </xdr:from>
    <xdr:ext cx="2095500" cy="342900"/>
    <xdr:sp>
      <xdr:nvSpPr>
        <xdr:cNvPr id="142" name="Shape 142">
          <a:hlinkClick r:id="rId5"/>
        </xdr:cNvPr>
        <xdr:cNvSpPr/>
      </xdr:nvSpPr>
      <xdr:spPr>
        <a:xfrm>
          <a:off x="4303013" y="3613313"/>
          <a:ext cx="2085975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57150</xdr:rowOff>
    </xdr:from>
    <xdr:ext cx="2095500" cy="304800"/>
    <xdr:sp>
      <xdr:nvSpPr>
        <xdr:cNvPr id="143" name="Shape 143">
          <a:hlinkClick r:id="rId6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2095500" cy="304800"/>
    <xdr:sp>
      <xdr:nvSpPr>
        <xdr:cNvPr id="144" name="Shape 144">
          <a:hlinkClick r:id="rId7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28575</xdr:rowOff>
    </xdr:from>
    <xdr:ext cx="2095500" cy="333375"/>
    <xdr:sp>
      <xdr:nvSpPr>
        <xdr:cNvPr id="145" name="Shape 145">
          <a:hlinkClick r:id="rId8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180975</xdr:rowOff>
    </xdr:from>
    <xdr:ext cx="2095500" cy="333375"/>
    <xdr:sp>
      <xdr:nvSpPr>
        <xdr:cNvPr id="146" name="Shape 146">
          <a:hlinkClick r:id="rId9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104775</xdr:rowOff>
    </xdr:from>
    <xdr:ext cx="2095500" cy="333375"/>
    <xdr:sp>
      <xdr:nvSpPr>
        <xdr:cNvPr id="147" name="Shape 147">
          <a:hlinkClick r:id="rId10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66675</xdr:rowOff>
    </xdr:from>
    <xdr:ext cx="2095500" cy="323850"/>
    <xdr:sp>
      <xdr:nvSpPr>
        <xdr:cNvPr id="148" name="Shape 148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85725</xdr:rowOff>
    </xdr:from>
    <xdr:ext cx="2095500" cy="323850"/>
    <xdr:sp>
      <xdr:nvSpPr>
        <xdr:cNvPr id="149" name="Shape 149">
          <a:hlinkClick r:id="rId1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0</xdr:rowOff>
    </xdr:from>
    <xdr:ext cx="2162175" cy="333375"/>
    <xdr:sp>
      <xdr:nvSpPr>
        <xdr:cNvPr id="150" name="Shape 150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1419225</xdr:colOff>
      <xdr:row>1</xdr:row>
      <xdr:rowOff>0</xdr:rowOff>
    </xdr:from>
    <xdr:ext cx="12153900" cy="609600"/>
    <xdr:grpSp>
      <xdr:nvGrpSpPr>
        <xdr:cNvPr id="2" name="Shape 2"/>
        <xdr:cNvGrpSpPr/>
      </xdr:nvGrpSpPr>
      <xdr:grpSpPr>
        <a:xfrm>
          <a:off x="0" y="3475200"/>
          <a:ext cx="10692000" cy="609600"/>
          <a:chOff x="0" y="3475200"/>
          <a:chExt cx="10692000" cy="609600"/>
        </a:xfrm>
      </xdr:grpSpPr>
      <xdr:grpSp>
        <xdr:nvGrpSpPr>
          <xdr:cNvPr id="151" name="Shape 151"/>
          <xdr:cNvGrpSpPr/>
        </xdr:nvGrpSpPr>
        <xdr:grpSpPr>
          <a:xfrm>
            <a:off x="0" y="3475200"/>
            <a:ext cx="10692000" cy="609600"/>
            <a:chOff x="0" y="3475200"/>
            <a:chExt cx="10692000" cy="609600"/>
          </a:xfrm>
        </xdr:grpSpPr>
        <xdr:sp>
          <xdr:nvSpPr>
            <xdr:cNvPr id="19" name="Shape 19"/>
            <xdr:cNvSpPr/>
          </xdr:nvSpPr>
          <xdr:spPr>
            <a:xfrm>
              <a:off x="0" y="3475200"/>
              <a:ext cx="10692000" cy="60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2" name="Shape 152"/>
            <xdr:cNvGrpSpPr/>
          </xdr:nvGrpSpPr>
          <xdr:grpSpPr>
            <a:xfrm>
              <a:off x="0" y="3475200"/>
              <a:ext cx="10692000" cy="609600"/>
              <a:chOff x="0" y="3475200"/>
              <a:chExt cx="10692000" cy="609600"/>
            </a:xfrm>
          </xdr:grpSpPr>
          <xdr:sp>
            <xdr:nvSpPr>
              <xdr:cNvPr id="153" name="Shape 153"/>
              <xdr:cNvSpPr/>
            </xdr:nvSpPr>
            <xdr:spPr>
              <a:xfrm>
                <a:off x="0" y="3475200"/>
                <a:ext cx="10692000" cy="609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4" name="Shape 154"/>
              <xdr:cNvGrpSpPr/>
            </xdr:nvGrpSpPr>
            <xdr:grpSpPr>
              <a:xfrm>
                <a:off x="0" y="3475200"/>
                <a:ext cx="10692000" cy="609600"/>
                <a:chOff x="0" y="3475200"/>
                <a:chExt cx="10692000" cy="609600"/>
              </a:xfrm>
            </xdr:grpSpPr>
            <xdr:sp>
              <xdr:nvSpPr>
                <xdr:cNvPr id="155" name="Shape 155"/>
                <xdr:cNvSpPr/>
              </xdr:nvSpPr>
              <xdr:spPr>
                <a:xfrm>
                  <a:off x="0" y="3475200"/>
                  <a:ext cx="1069200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6" name="Shape 156"/>
                <xdr:cNvGrpSpPr/>
              </xdr:nvGrpSpPr>
              <xdr:grpSpPr>
                <a:xfrm>
                  <a:off x="0" y="3475200"/>
                  <a:ext cx="10692000" cy="609600"/>
                  <a:chOff x="1615439" y="49532"/>
                  <a:chExt cx="12302193" cy="607558"/>
                </a:xfrm>
              </xdr:grpSpPr>
              <xdr:sp>
                <xdr:nvSpPr>
                  <xdr:cNvPr id="157" name="Shape 157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58" name="Shape 158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159" name="Shape 159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506575" cy="1476375"/>
    <xdr:sp>
      <xdr:nvSpPr>
        <xdr:cNvPr id="160" name="Shape 160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4. CRUZAMENTOS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0</xdr:colOff>
      <xdr:row>1</xdr:row>
      <xdr:rowOff>104775</xdr:rowOff>
    </xdr:from>
    <xdr:ext cx="6534150" cy="466725"/>
    <xdr:sp>
      <xdr:nvSpPr>
        <xdr:cNvPr id="161" name="Shape 161"/>
        <xdr:cNvSpPr txBox="1"/>
      </xdr:nvSpPr>
      <xdr:spPr>
        <a:xfrm>
          <a:off x="2083688" y="3551400"/>
          <a:ext cx="6524625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Nesta parte você deve relacionar suas forças e fraquezas as suas oportunidades e ameaças no intuito de criar planos de ação com a melhor estratégia para cada situação.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123825</xdr:rowOff>
    </xdr:from>
    <xdr:ext cx="2095500" cy="333375"/>
    <xdr:sp>
      <xdr:nvSpPr>
        <xdr:cNvPr id="162" name="Shape 162">
          <a:hlinkClick r:id="rId1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9525</xdr:rowOff>
    </xdr:from>
    <xdr:ext cx="2095500" cy="304800"/>
    <xdr:sp>
      <xdr:nvSpPr>
        <xdr:cNvPr id="163" name="Shape 163">
          <a:hlinkClick r:id="rId2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352425</xdr:rowOff>
    </xdr:from>
    <xdr:ext cx="2095500" cy="333375"/>
    <xdr:sp>
      <xdr:nvSpPr>
        <xdr:cNvPr id="164" name="Shape 164">
          <a:hlinkClick r:id="rId3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38100</xdr:rowOff>
    </xdr:from>
    <xdr:ext cx="2162175" cy="314325"/>
    <xdr:sp>
      <xdr:nvSpPr>
        <xdr:cNvPr id="165" name="Shape 165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266700</xdr:rowOff>
    </xdr:from>
    <xdr:ext cx="2095500" cy="333375"/>
    <xdr:sp>
      <xdr:nvSpPr>
        <xdr:cNvPr id="166" name="Shape 166">
          <a:hlinkClick r:id="rId5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209550</xdr:rowOff>
    </xdr:from>
    <xdr:ext cx="2095500" cy="314325"/>
    <xdr:sp>
      <xdr:nvSpPr>
        <xdr:cNvPr id="167" name="Shape 167">
          <a:hlinkClick r:id="rId6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209550</xdr:rowOff>
    </xdr:from>
    <xdr:ext cx="2095500" cy="314325"/>
    <xdr:sp>
      <xdr:nvSpPr>
        <xdr:cNvPr id="168" name="Shape 168">
          <a:hlinkClick r:id="rId7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171450</xdr:rowOff>
    </xdr:from>
    <xdr:ext cx="2095500" cy="323850"/>
    <xdr:sp>
      <xdr:nvSpPr>
        <xdr:cNvPr id="169" name="Shape 169">
          <a:hlinkClick r:id="rId8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85725</xdr:rowOff>
    </xdr:from>
    <xdr:ext cx="2095500" cy="314325"/>
    <xdr:sp>
      <xdr:nvSpPr>
        <xdr:cNvPr id="170" name="Shape 170">
          <a:hlinkClick r:id="rId9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133350</xdr:rowOff>
    </xdr:from>
    <xdr:ext cx="2095500" cy="333375"/>
    <xdr:sp>
      <xdr:nvSpPr>
        <xdr:cNvPr id="171" name="Shape 171">
          <a:hlinkClick r:id="rId10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172" name="Shape 172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47625</xdr:rowOff>
    </xdr:from>
    <xdr:ext cx="2095500" cy="314325"/>
    <xdr:sp>
      <xdr:nvSpPr>
        <xdr:cNvPr id="173" name="Shape 173">
          <a:hlinkClick r:id="rId11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2095500" cy="304800"/>
    <xdr:sp>
      <xdr:nvSpPr>
        <xdr:cNvPr id="174" name="Shape 174">
          <a:hlinkClick r:id="rId12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304800</xdr:rowOff>
    </xdr:from>
    <xdr:ext cx="2162175" cy="333375"/>
    <xdr:sp>
      <xdr:nvSpPr>
        <xdr:cNvPr id="175" name="Shape 175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1476375</xdr:colOff>
      <xdr:row>0</xdr:row>
      <xdr:rowOff>323850</xdr:rowOff>
    </xdr:from>
    <xdr:ext cx="12068175" cy="609600"/>
    <xdr:grpSp>
      <xdr:nvGrpSpPr>
        <xdr:cNvPr id="2" name="Shape 2"/>
        <xdr:cNvGrpSpPr/>
      </xdr:nvGrpSpPr>
      <xdr:grpSpPr>
        <a:xfrm>
          <a:off x="0" y="3475200"/>
          <a:ext cx="10692000" cy="609600"/>
          <a:chOff x="0" y="3475200"/>
          <a:chExt cx="10692000" cy="609600"/>
        </a:xfrm>
      </xdr:grpSpPr>
      <xdr:grpSp>
        <xdr:nvGrpSpPr>
          <xdr:cNvPr id="176" name="Shape 176"/>
          <xdr:cNvGrpSpPr/>
        </xdr:nvGrpSpPr>
        <xdr:grpSpPr>
          <a:xfrm>
            <a:off x="0" y="3475200"/>
            <a:ext cx="10692000" cy="609600"/>
            <a:chOff x="0" y="3475200"/>
            <a:chExt cx="10692000" cy="609600"/>
          </a:xfrm>
        </xdr:grpSpPr>
        <xdr:sp>
          <xdr:nvSpPr>
            <xdr:cNvPr id="19" name="Shape 19"/>
            <xdr:cNvSpPr/>
          </xdr:nvSpPr>
          <xdr:spPr>
            <a:xfrm>
              <a:off x="0" y="3475200"/>
              <a:ext cx="10692000" cy="60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7" name="Shape 177"/>
            <xdr:cNvGrpSpPr/>
          </xdr:nvGrpSpPr>
          <xdr:grpSpPr>
            <a:xfrm>
              <a:off x="0" y="3475200"/>
              <a:ext cx="10692000" cy="609600"/>
              <a:chOff x="0" y="3475200"/>
              <a:chExt cx="10692000" cy="609600"/>
            </a:xfrm>
          </xdr:grpSpPr>
          <xdr:sp>
            <xdr:nvSpPr>
              <xdr:cNvPr id="178" name="Shape 178"/>
              <xdr:cNvSpPr/>
            </xdr:nvSpPr>
            <xdr:spPr>
              <a:xfrm>
                <a:off x="0" y="3475200"/>
                <a:ext cx="10692000" cy="609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9" name="Shape 179"/>
              <xdr:cNvGrpSpPr/>
            </xdr:nvGrpSpPr>
            <xdr:grpSpPr>
              <a:xfrm>
                <a:off x="0" y="3475200"/>
                <a:ext cx="10692000" cy="609600"/>
                <a:chOff x="0" y="3475200"/>
                <a:chExt cx="10692000" cy="609600"/>
              </a:xfrm>
            </xdr:grpSpPr>
            <xdr:sp>
              <xdr:nvSpPr>
                <xdr:cNvPr id="180" name="Shape 180"/>
                <xdr:cNvSpPr/>
              </xdr:nvSpPr>
              <xdr:spPr>
                <a:xfrm>
                  <a:off x="0" y="3475200"/>
                  <a:ext cx="1069200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81" name="Shape 181"/>
                <xdr:cNvGrpSpPr/>
              </xdr:nvGrpSpPr>
              <xdr:grpSpPr>
                <a:xfrm>
                  <a:off x="0" y="3475200"/>
                  <a:ext cx="10692000" cy="609600"/>
                  <a:chOff x="1615439" y="49532"/>
                  <a:chExt cx="12302193" cy="607558"/>
                </a:xfrm>
              </xdr:grpSpPr>
              <xdr:sp>
                <xdr:nvSpPr>
                  <xdr:cNvPr id="182" name="Shape 182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83" name="Shape 183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184" name="Shape 184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0821650" cy="1476375"/>
    <xdr:sp>
      <xdr:nvSpPr>
        <xdr:cNvPr id="185" name="Shape 185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5. OBJETIVOS STRATÉGICOS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2162175" cy="314325"/>
    <xdr:sp>
      <xdr:nvSpPr>
        <xdr:cNvPr id="186" name="Shape 186">
          <a:hlinkClick r:id="rId1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15</xdr:row>
      <xdr:rowOff>180975</xdr:rowOff>
    </xdr:from>
    <xdr:ext cx="2162175" cy="323850"/>
    <xdr:sp>
      <xdr:nvSpPr>
        <xdr:cNvPr id="187" name="Shape 187">
          <a:hlinkClick r:id="rId2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133350</xdr:rowOff>
    </xdr:from>
    <xdr:ext cx="2162175" cy="342900"/>
    <xdr:sp>
      <xdr:nvSpPr>
        <xdr:cNvPr id="188" name="Shape 188">
          <a:hlinkClick r:id="rId3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4</xdr:row>
      <xdr:rowOff>28575</xdr:rowOff>
    </xdr:from>
    <xdr:ext cx="2162175" cy="314325"/>
    <xdr:sp>
      <xdr:nvSpPr>
        <xdr:cNvPr id="189" name="Shape 189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19</xdr:row>
      <xdr:rowOff>171450</xdr:rowOff>
    </xdr:from>
    <xdr:ext cx="2162175" cy="342900"/>
    <xdr:sp>
      <xdr:nvSpPr>
        <xdr:cNvPr id="190" name="Shape 190">
          <a:hlinkClick r:id="rId5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28575</xdr:rowOff>
    </xdr:from>
    <xdr:ext cx="2162175" cy="314325"/>
    <xdr:sp>
      <xdr:nvSpPr>
        <xdr:cNvPr id="191" name="Shape 191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123825</xdr:rowOff>
    </xdr:from>
    <xdr:ext cx="2162175" cy="304800"/>
    <xdr:sp>
      <xdr:nvSpPr>
        <xdr:cNvPr id="192" name="Shape 192">
          <a:hlinkClick r:id="rId7"/>
        </xdr:cNvPr>
        <xdr:cNvSpPr/>
      </xdr:nvSpPr>
      <xdr:spPr>
        <a:xfrm>
          <a:off x="4269675" y="3632363"/>
          <a:ext cx="2152650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2162175" cy="304800"/>
    <xdr:sp>
      <xdr:nvSpPr>
        <xdr:cNvPr id="193" name="Shape 193">
          <a:hlinkClick r:id="rId8"/>
        </xdr:cNvPr>
        <xdr:cNvSpPr/>
      </xdr:nvSpPr>
      <xdr:spPr>
        <a:xfrm>
          <a:off x="4269675" y="3632363"/>
          <a:ext cx="2152650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95250</xdr:rowOff>
    </xdr:from>
    <xdr:ext cx="2162175" cy="323850"/>
    <xdr:sp>
      <xdr:nvSpPr>
        <xdr:cNvPr id="194" name="Shape 194">
          <a:hlinkClick r:id="rId9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28575</xdr:rowOff>
    </xdr:from>
    <xdr:ext cx="2162175" cy="323850"/>
    <xdr:sp>
      <xdr:nvSpPr>
        <xdr:cNvPr id="195" name="Shape 195">
          <a:hlinkClick r:id="rId10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196" name="Shape 196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152400</xdr:rowOff>
    </xdr:from>
    <xdr:ext cx="2162175" cy="333375"/>
    <xdr:sp>
      <xdr:nvSpPr>
        <xdr:cNvPr id="197" name="Shape 197">
          <a:hlinkClick r:id="rId11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200025</xdr:rowOff>
    </xdr:from>
    <xdr:ext cx="2162175" cy="323850"/>
    <xdr:sp>
      <xdr:nvSpPr>
        <xdr:cNvPr id="198" name="Shape 198">
          <a:hlinkClick r:id="rId12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209550</xdr:rowOff>
    </xdr:from>
    <xdr:ext cx="2162175" cy="333375"/>
    <xdr:sp>
      <xdr:nvSpPr>
        <xdr:cNvPr id="199" name="Shape 199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1552575</xdr:colOff>
      <xdr:row>2</xdr:row>
      <xdr:rowOff>9525</xdr:rowOff>
    </xdr:from>
    <xdr:ext cx="12172950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200" name="Shape 200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1" name="Shape 201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202" name="Shape 202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3" name="Shape 203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204" name="Shape 204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05" name="Shape 205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206" name="Shape 206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07" name="Shape 207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08" name="Shape 208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24765000" cy="1476375"/>
    <xdr:sp>
      <xdr:nvSpPr>
        <xdr:cNvPr id="209" name="Shape 209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6. DESDOBRAMENTOS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28575</xdr:rowOff>
    </xdr:from>
    <xdr:ext cx="2162175" cy="342900"/>
    <xdr:sp>
      <xdr:nvSpPr>
        <xdr:cNvPr id="210" name="Shape 210">
          <a:hlinkClick r:id="rId1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23</xdr:row>
      <xdr:rowOff>85725</xdr:rowOff>
    </xdr:from>
    <xdr:ext cx="2162175" cy="333375"/>
    <xdr:sp>
      <xdr:nvSpPr>
        <xdr:cNvPr id="211" name="Shape 211">
          <a:hlinkClick r:id="rId2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123825</xdr:rowOff>
    </xdr:from>
    <xdr:ext cx="2162175" cy="352425"/>
    <xdr:sp>
      <xdr:nvSpPr>
        <xdr:cNvPr id="212" name="Shape 212">
          <a:hlinkClick r:id="rId3"/>
        </xdr:cNvPr>
        <xdr:cNvSpPr/>
      </xdr:nvSpPr>
      <xdr:spPr>
        <a:xfrm>
          <a:off x="4269675" y="3608550"/>
          <a:ext cx="2152650" cy="3429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4</xdr:row>
      <xdr:rowOff>38100</xdr:rowOff>
    </xdr:from>
    <xdr:ext cx="2162175" cy="314325"/>
    <xdr:sp>
      <xdr:nvSpPr>
        <xdr:cNvPr id="213" name="Shape 213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2162175" cy="333375"/>
    <xdr:sp>
      <xdr:nvSpPr>
        <xdr:cNvPr id="214" name="Shape 214">
          <a:hlinkClick r:id="rId5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76200</xdr:rowOff>
    </xdr:from>
    <xdr:ext cx="2162175" cy="333375"/>
    <xdr:sp>
      <xdr:nvSpPr>
        <xdr:cNvPr id="215" name="Shape 215">
          <a:hlinkClick r:id="rId6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114300</xdr:rowOff>
    </xdr:from>
    <xdr:ext cx="2162175" cy="333375"/>
    <xdr:sp>
      <xdr:nvSpPr>
        <xdr:cNvPr id="216" name="Shape 216">
          <a:hlinkClick r:id="rId7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0</xdr:rowOff>
    </xdr:from>
    <xdr:ext cx="2162175" cy="323850"/>
    <xdr:sp>
      <xdr:nvSpPr>
        <xdr:cNvPr id="217" name="Shape 217">
          <a:hlinkClick r:id="rId8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19</xdr:row>
      <xdr:rowOff>0</xdr:rowOff>
    </xdr:from>
    <xdr:ext cx="2162175" cy="323850"/>
    <xdr:sp>
      <xdr:nvSpPr>
        <xdr:cNvPr id="218" name="Shape 218">
          <a:hlinkClick r:id="rId9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19050</xdr:rowOff>
    </xdr:from>
    <xdr:ext cx="2162175" cy="333375"/>
    <xdr:sp>
      <xdr:nvSpPr>
        <xdr:cNvPr id="219" name="Shape 219">
          <a:hlinkClick r:id="rId10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220" name="Shape 220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21</xdr:row>
      <xdr:rowOff>38100</xdr:rowOff>
    </xdr:from>
    <xdr:ext cx="2162175" cy="342900"/>
    <xdr:sp>
      <xdr:nvSpPr>
        <xdr:cNvPr id="221" name="Shape 221">
          <a:hlinkClick r:id="rId11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123825</xdr:rowOff>
    </xdr:from>
    <xdr:ext cx="2162175" cy="333375"/>
    <xdr:sp>
      <xdr:nvSpPr>
        <xdr:cNvPr id="222" name="Shape 222">
          <a:hlinkClick r:id="rId12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33</xdr:row>
      <xdr:rowOff>47625</xdr:rowOff>
    </xdr:from>
    <xdr:ext cx="2162175" cy="333375"/>
    <xdr:sp>
      <xdr:nvSpPr>
        <xdr:cNvPr id="223" name="Shape 223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1609725</xdr:colOff>
      <xdr:row>2</xdr:row>
      <xdr:rowOff>66675</xdr:rowOff>
    </xdr:from>
    <xdr:ext cx="121824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224" name="Shape 224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5" name="Shape 225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226" name="Shape 226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7" name="Shape 227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228" name="Shape 228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29" name="Shape 229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230" name="Shape 230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31" name="Shape 231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32" name="Shape 232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52450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97400" cy="1476375"/>
    <xdr:sp>
      <xdr:nvSpPr>
        <xdr:cNvPr id="233" name="Shape 233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7. PLANOS DE AÇÃO 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219075</xdr:colOff>
      <xdr:row>1</xdr:row>
      <xdr:rowOff>28575</xdr:rowOff>
    </xdr:from>
    <xdr:ext cx="6543675" cy="466725"/>
    <xdr:sp>
      <xdr:nvSpPr>
        <xdr:cNvPr id="234" name="Shape 234"/>
        <xdr:cNvSpPr txBox="1"/>
      </xdr:nvSpPr>
      <xdr:spPr>
        <a:xfrm>
          <a:off x="2078925" y="3551400"/>
          <a:ext cx="6534150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Esta é a parte mais importante da planilha. Aqui você definirá planos de ação para os principais itens da SWOT. Desta forma você agirá sempre no que é mais importante para a sua carreira.</a:t>
          </a:r>
          <a:endParaRPr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57150</xdr:rowOff>
    </xdr:from>
    <xdr:ext cx="2095500" cy="323850"/>
    <xdr:sp>
      <xdr:nvSpPr>
        <xdr:cNvPr id="235" name="Shape 235">
          <a:hlinkClick r:id="rId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76200</xdr:rowOff>
    </xdr:from>
    <xdr:ext cx="2095500" cy="304800"/>
    <xdr:sp>
      <xdr:nvSpPr>
        <xdr:cNvPr id="236" name="Shape 236">
          <a:hlinkClick r:id="rId2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2095500" cy="323850"/>
    <xdr:sp>
      <xdr:nvSpPr>
        <xdr:cNvPr id="237" name="Shape 237">
          <a:hlinkClick r:id="rId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28575</xdr:rowOff>
    </xdr:from>
    <xdr:ext cx="2162175" cy="314325"/>
    <xdr:sp>
      <xdr:nvSpPr>
        <xdr:cNvPr id="238" name="Shape 238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381000</xdr:rowOff>
    </xdr:from>
    <xdr:ext cx="2095500" cy="342900"/>
    <xdr:sp>
      <xdr:nvSpPr>
        <xdr:cNvPr id="239" name="Shape 239">
          <a:hlinkClick r:id="rId5"/>
        </xdr:cNvPr>
        <xdr:cNvSpPr/>
      </xdr:nvSpPr>
      <xdr:spPr>
        <a:xfrm>
          <a:off x="4303013" y="3613313"/>
          <a:ext cx="2085975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219075</xdr:rowOff>
    </xdr:from>
    <xdr:ext cx="2095500" cy="314325"/>
    <xdr:sp>
      <xdr:nvSpPr>
        <xdr:cNvPr id="240" name="Shape 240">
          <a:hlinkClick r:id="rId6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228600</xdr:rowOff>
    </xdr:from>
    <xdr:ext cx="2095500" cy="314325"/>
    <xdr:sp>
      <xdr:nvSpPr>
        <xdr:cNvPr id="241" name="Shape 241">
          <a:hlinkClick r:id="rId7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228600</xdr:rowOff>
    </xdr:from>
    <xdr:ext cx="2095500" cy="333375"/>
    <xdr:sp>
      <xdr:nvSpPr>
        <xdr:cNvPr id="242" name="Shape 242">
          <a:hlinkClick r:id="rId8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152400</xdr:rowOff>
    </xdr:from>
    <xdr:ext cx="2095500" cy="333375"/>
    <xdr:sp>
      <xdr:nvSpPr>
        <xdr:cNvPr id="243" name="Shape 243">
          <a:hlinkClick r:id="rId9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190500</xdr:rowOff>
    </xdr:from>
    <xdr:ext cx="2095500" cy="333375"/>
    <xdr:sp>
      <xdr:nvSpPr>
        <xdr:cNvPr id="244" name="Shape 244">
          <a:hlinkClick r:id="rId10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9525</xdr:rowOff>
    </xdr:from>
    <xdr:ext cx="1295400" cy="542925"/>
    <xdr:sp>
      <xdr:nvSpPr>
        <xdr:cNvPr id="245" name="Shape 245"/>
        <xdr:cNvSpPr txBox="1"/>
      </xdr:nvSpPr>
      <xdr:spPr>
        <a:xfrm>
          <a:off x="4703063" y="3513300"/>
          <a:ext cx="1285875" cy="533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114300</xdr:rowOff>
    </xdr:from>
    <xdr:ext cx="2095500" cy="333375"/>
    <xdr:sp>
      <xdr:nvSpPr>
        <xdr:cNvPr id="246" name="Shape 246">
          <a:hlinkClick r:id="rId11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19050</xdr:rowOff>
    </xdr:from>
    <xdr:ext cx="2095500" cy="304800"/>
    <xdr:sp>
      <xdr:nvSpPr>
        <xdr:cNvPr id="247" name="Shape 247">
          <a:hlinkClick r:id="rId12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352425</xdr:rowOff>
    </xdr:from>
    <xdr:ext cx="2162175" cy="333375"/>
    <xdr:sp>
      <xdr:nvSpPr>
        <xdr:cNvPr id="248" name="Shape 248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1657350</xdr:colOff>
      <xdr:row>0</xdr:row>
      <xdr:rowOff>266700</xdr:rowOff>
    </xdr:from>
    <xdr:ext cx="11839575" cy="600075"/>
    <xdr:grpSp>
      <xdr:nvGrpSpPr>
        <xdr:cNvPr id="2" name="Shape 2"/>
        <xdr:cNvGrpSpPr/>
      </xdr:nvGrpSpPr>
      <xdr:grpSpPr>
        <a:xfrm>
          <a:off x="0" y="3479963"/>
          <a:ext cx="10692000" cy="600075"/>
          <a:chOff x="0" y="3479963"/>
          <a:chExt cx="10692000" cy="600075"/>
        </a:xfrm>
      </xdr:grpSpPr>
      <xdr:grpSp>
        <xdr:nvGrpSpPr>
          <xdr:cNvPr id="249" name="Shape 249"/>
          <xdr:cNvGrpSpPr/>
        </xdr:nvGrpSpPr>
        <xdr:grpSpPr>
          <a:xfrm>
            <a:off x="0" y="3479963"/>
            <a:ext cx="10692000" cy="600075"/>
            <a:chOff x="0" y="3479963"/>
            <a:chExt cx="10692000" cy="600075"/>
          </a:xfrm>
        </xdr:grpSpPr>
        <xdr:sp>
          <xdr:nvSpPr>
            <xdr:cNvPr id="19" name="Shape 19"/>
            <xdr:cNvSpPr/>
          </xdr:nvSpPr>
          <xdr:spPr>
            <a:xfrm>
              <a:off x="0" y="3479963"/>
              <a:ext cx="106920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0" name="Shape 250"/>
            <xdr:cNvGrpSpPr/>
          </xdr:nvGrpSpPr>
          <xdr:grpSpPr>
            <a:xfrm>
              <a:off x="0" y="3479963"/>
              <a:ext cx="10692000" cy="600075"/>
              <a:chOff x="0" y="3479963"/>
              <a:chExt cx="10692000" cy="600075"/>
            </a:xfrm>
          </xdr:grpSpPr>
          <xdr:sp>
            <xdr:nvSpPr>
              <xdr:cNvPr id="251" name="Shape 251"/>
              <xdr:cNvSpPr/>
            </xdr:nvSpPr>
            <xdr:spPr>
              <a:xfrm>
                <a:off x="0" y="3479963"/>
                <a:ext cx="1069200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2" name="Shape 252"/>
              <xdr:cNvGrpSpPr/>
            </xdr:nvGrpSpPr>
            <xdr:grpSpPr>
              <a:xfrm>
                <a:off x="0" y="3479963"/>
                <a:ext cx="10692000" cy="600075"/>
                <a:chOff x="0" y="3479963"/>
                <a:chExt cx="10692000" cy="600075"/>
              </a:xfrm>
            </xdr:grpSpPr>
            <xdr:sp>
              <xdr:nvSpPr>
                <xdr:cNvPr id="253" name="Shape 253"/>
                <xdr:cNvSpPr/>
              </xdr:nvSpPr>
              <xdr:spPr>
                <a:xfrm>
                  <a:off x="0" y="3479963"/>
                  <a:ext cx="10692000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54" name="Shape 254"/>
                <xdr:cNvGrpSpPr/>
              </xdr:nvGrpSpPr>
              <xdr:grpSpPr>
                <a:xfrm>
                  <a:off x="0" y="3479963"/>
                  <a:ext cx="10692000" cy="600075"/>
                  <a:chOff x="1615439" y="49532"/>
                  <a:chExt cx="12302193" cy="607558"/>
                </a:xfrm>
              </xdr:grpSpPr>
              <xdr:sp>
                <xdr:nvSpPr>
                  <xdr:cNvPr id="255" name="Shape 255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56" name="Shape 256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57" name="Shape 257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76200</xdr:rowOff>
    </xdr:from>
    <xdr:ext cx="5734050" cy="2562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782800" cy="1476375"/>
    <xdr:sp>
      <xdr:nvSpPr>
        <xdr:cNvPr id="258" name="Shape 258"/>
        <xdr:cNvSpPr/>
      </xdr:nvSpPr>
      <xdr:spPr>
        <a:xfrm>
          <a:off x="0" y="3046575"/>
          <a:ext cx="10692000" cy="1466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                                                            </a:t>
          </a:r>
          <a:r>
            <a:rPr b="1" lang="en-US" sz="2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8. RESULTADOS SWOT</a:t>
          </a:r>
          <a:endParaRPr b="1" sz="1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1171575</xdr:colOff>
      <xdr:row>1</xdr:row>
      <xdr:rowOff>28575</xdr:rowOff>
    </xdr:from>
    <xdr:ext cx="14020800" cy="466725"/>
    <xdr:sp>
      <xdr:nvSpPr>
        <xdr:cNvPr id="259" name="Shape 259"/>
        <xdr:cNvSpPr txBox="1"/>
      </xdr:nvSpPr>
      <xdr:spPr>
        <a:xfrm>
          <a:off x="0" y="3551400"/>
          <a:ext cx="1069200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28575</xdr:rowOff>
    </xdr:from>
    <xdr:ext cx="2095500" cy="323850"/>
    <xdr:sp>
      <xdr:nvSpPr>
        <xdr:cNvPr id="260" name="Shape 260">
          <a:hlinkClick r:id="rId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9525</xdr:rowOff>
    </xdr:from>
    <xdr:ext cx="2095500" cy="304800"/>
    <xdr:sp>
      <xdr:nvSpPr>
        <xdr:cNvPr id="261" name="Shape 261">
          <a:hlinkClick r:id="rId3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276225</xdr:rowOff>
    </xdr:from>
    <xdr:ext cx="2095500" cy="342900"/>
    <xdr:sp>
      <xdr:nvSpPr>
        <xdr:cNvPr id="262" name="Shape 262">
          <a:hlinkClick r:id="rId4"/>
        </xdr:cNvPr>
        <xdr:cNvSpPr/>
      </xdr:nvSpPr>
      <xdr:spPr>
        <a:xfrm>
          <a:off x="4303013" y="3613313"/>
          <a:ext cx="2085975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28575</xdr:rowOff>
    </xdr:from>
    <xdr:ext cx="2162175" cy="314325"/>
    <xdr:sp>
      <xdr:nvSpPr>
        <xdr:cNvPr id="263" name="Shape 263">
          <a:hlinkClick r:id="rId5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180975</xdr:rowOff>
    </xdr:from>
    <xdr:ext cx="2095500" cy="342900"/>
    <xdr:sp>
      <xdr:nvSpPr>
        <xdr:cNvPr id="264" name="Shape 264">
          <a:hlinkClick r:id="rId6"/>
        </xdr:cNvPr>
        <xdr:cNvSpPr/>
      </xdr:nvSpPr>
      <xdr:spPr>
        <a:xfrm>
          <a:off x="4303013" y="3613313"/>
          <a:ext cx="2085975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333375</xdr:rowOff>
    </xdr:from>
    <xdr:ext cx="2095500" cy="323850"/>
    <xdr:sp>
      <xdr:nvSpPr>
        <xdr:cNvPr id="265" name="Shape 265">
          <a:hlinkClick r:id="rId7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257175</xdr:rowOff>
    </xdr:from>
    <xdr:ext cx="2095500" cy="314325"/>
    <xdr:sp>
      <xdr:nvSpPr>
        <xdr:cNvPr id="266" name="Shape 266">
          <a:hlinkClick r:id="rId8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257175</xdr:rowOff>
    </xdr:from>
    <xdr:ext cx="2095500" cy="314325"/>
    <xdr:sp>
      <xdr:nvSpPr>
        <xdr:cNvPr id="267" name="Shape 267">
          <a:hlinkClick r:id="rId9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438150</xdr:rowOff>
    </xdr:from>
    <xdr:ext cx="2095500" cy="333375"/>
    <xdr:sp>
      <xdr:nvSpPr>
        <xdr:cNvPr id="268" name="Shape 268">
          <a:hlinkClick r:id="rId10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47625</xdr:rowOff>
    </xdr:from>
    <xdr:ext cx="2095500" cy="314325"/>
    <xdr:sp>
      <xdr:nvSpPr>
        <xdr:cNvPr id="269" name="Shape 269">
          <a:hlinkClick r:id="rId11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142875</xdr:rowOff>
    </xdr:from>
    <xdr:ext cx="2095500" cy="314325"/>
    <xdr:sp>
      <xdr:nvSpPr>
        <xdr:cNvPr id="270" name="Shape 270">
          <a:hlinkClick r:id="rId12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400050</xdr:rowOff>
    </xdr:from>
    <xdr:ext cx="2095500" cy="323850"/>
    <xdr:sp>
      <xdr:nvSpPr>
        <xdr:cNvPr id="271" name="Shape 271">
          <a:hlinkClick r:id="rId13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85725</xdr:rowOff>
    </xdr:from>
    <xdr:ext cx="2162175" cy="333375"/>
    <xdr:sp>
      <xdr:nvSpPr>
        <xdr:cNvPr id="272" name="Shape 272">
          <a:hlinkClick r:id="rId14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1638300</xdr:colOff>
      <xdr:row>0</xdr:row>
      <xdr:rowOff>381000</xdr:rowOff>
    </xdr:from>
    <xdr:ext cx="12115800" cy="619125"/>
    <xdr:grpSp>
      <xdr:nvGrpSpPr>
        <xdr:cNvPr id="2" name="Shape 2"/>
        <xdr:cNvGrpSpPr/>
      </xdr:nvGrpSpPr>
      <xdr:grpSpPr>
        <a:xfrm>
          <a:off x="0" y="3470438"/>
          <a:ext cx="10692000" cy="619125"/>
          <a:chOff x="0" y="3470438"/>
          <a:chExt cx="10692000" cy="619125"/>
        </a:xfrm>
      </xdr:grpSpPr>
      <xdr:grpSp>
        <xdr:nvGrpSpPr>
          <xdr:cNvPr id="273" name="Shape 273"/>
          <xdr:cNvGrpSpPr/>
        </xdr:nvGrpSpPr>
        <xdr:grpSpPr>
          <a:xfrm>
            <a:off x="0" y="3470438"/>
            <a:ext cx="10692000" cy="619125"/>
            <a:chOff x="0" y="3470438"/>
            <a:chExt cx="10692000" cy="619125"/>
          </a:xfrm>
        </xdr:grpSpPr>
        <xdr:sp>
          <xdr:nvSpPr>
            <xdr:cNvPr id="19" name="Shape 19"/>
            <xdr:cNvSpPr/>
          </xdr:nvSpPr>
          <xdr:spPr>
            <a:xfrm>
              <a:off x="0" y="3470438"/>
              <a:ext cx="10692000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4" name="Shape 274"/>
            <xdr:cNvGrpSpPr/>
          </xdr:nvGrpSpPr>
          <xdr:grpSpPr>
            <a:xfrm>
              <a:off x="0" y="3470438"/>
              <a:ext cx="10692000" cy="619125"/>
              <a:chOff x="0" y="3470438"/>
              <a:chExt cx="10692000" cy="619125"/>
            </a:xfrm>
          </xdr:grpSpPr>
          <xdr:sp>
            <xdr:nvSpPr>
              <xdr:cNvPr id="275" name="Shape 275"/>
              <xdr:cNvSpPr/>
            </xdr:nvSpPr>
            <xdr:spPr>
              <a:xfrm>
                <a:off x="0" y="3470438"/>
                <a:ext cx="10692000" cy="619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6" name="Shape 276"/>
              <xdr:cNvGrpSpPr/>
            </xdr:nvGrpSpPr>
            <xdr:grpSpPr>
              <a:xfrm>
                <a:off x="0" y="3470438"/>
                <a:ext cx="10692000" cy="619125"/>
                <a:chOff x="0" y="3470438"/>
                <a:chExt cx="10692000" cy="619125"/>
              </a:xfrm>
            </xdr:grpSpPr>
            <xdr:sp>
              <xdr:nvSpPr>
                <xdr:cNvPr id="277" name="Shape 277"/>
                <xdr:cNvSpPr/>
              </xdr:nvSpPr>
              <xdr:spPr>
                <a:xfrm>
                  <a:off x="0" y="3470438"/>
                  <a:ext cx="10692000" cy="619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78" name="Shape 278"/>
                <xdr:cNvGrpSpPr/>
              </xdr:nvGrpSpPr>
              <xdr:grpSpPr>
                <a:xfrm>
                  <a:off x="0" y="3470438"/>
                  <a:ext cx="10692000" cy="619125"/>
                  <a:chOff x="1615439" y="49532"/>
                  <a:chExt cx="12302193" cy="607558"/>
                </a:xfrm>
              </xdr:grpSpPr>
              <xdr:sp>
                <xdr:nvSpPr>
                  <xdr:cNvPr id="279" name="Shape 279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280" name="Shape 280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281" name="Shape 281"/>
                  <xdr:cNvPicPr preferRelativeResize="0"/>
                </xdr:nvPicPr>
                <xdr:blipFill rotWithShape="1">
                  <a:blip r:embed="rId16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3</xdr:col>
      <xdr:colOff>1057275</xdr:colOff>
      <xdr:row>4</xdr:row>
      <xdr:rowOff>19050</xdr:rowOff>
    </xdr:from>
    <xdr:ext cx="7600950" cy="1466850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4676775" cy="2933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1676400</xdr:colOff>
      <xdr:row>7</xdr:row>
      <xdr:rowOff>0</xdr:rowOff>
    </xdr:from>
    <xdr:ext cx="4686300" cy="29337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14</xdr:row>
      <xdr:rowOff>0</xdr:rowOff>
    </xdr:from>
    <xdr:ext cx="9801225" cy="29622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2830175" cy="1628775"/>
    <xdr:sp>
      <xdr:nvSpPr>
        <xdr:cNvPr id="282" name="Shape 282"/>
        <xdr:cNvSpPr/>
      </xdr:nvSpPr>
      <xdr:spPr>
        <a:xfrm>
          <a:off x="0" y="2970375"/>
          <a:ext cx="10692000" cy="16192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1" sz="14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371475</xdr:colOff>
      <xdr:row>1</xdr:row>
      <xdr:rowOff>76200</xdr:rowOff>
    </xdr:from>
    <xdr:ext cx="5572125" cy="466725"/>
    <xdr:sp>
      <xdr:nvSpPr>
        <xdr:cNvPr id="283" name="Shape 283"/>
        <xdr:cNvSpPr txBox="1"/>
      </xdr:nvSpPr>
      <xdr:spPr>
        <a:xfrm>
          <a:off x="2564700" y="3551400"/>
          <a:ext cx="5562600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114300</xdr:rowOff>
    </xdr:from>
    <xdr:ext cx="1962150" cy="381000"/>
    <xdr:sp>
      <xdr:nvSpPr>
        <xdr:cNvPr id="284" name="Shape 284">
          <a:hlinkClick r:id="rId4"/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Gráficos</a:t>
          </a:r>
          <a:endParaRPr sz="1400"/>
        </a:p>
      </xdr:txBody>
    </xdr:sp>
    <xdr:clientData fLocksWithSheet="0"/>
  </xdr:oneCellAnchor>
  <xdr:oneCellAnchor>
    <xdr:from>
      <xdr:col>3</xdr:col>
      <xdr:colOff>200025</xdr:colOff>
      <xdr:row>1</xdr:row>
      <xdr:rowOff>114300</xdr:rowOff>
    </xdr:from>
    <xdr:ext cx="1962150" cy="381000"/>
    <xdr:sp>
      <xdr:nvSpPr>
        <xdr:cNvPr id="285" name="Shape 285"/>
        <xdr:cNvSpPr/>
      </xdr:nvSpPr>
      <xdr:spPr>
        <a:xfrm>
          <a:off x="4369688" y="3594263"/>
          <a:ext cx="1952625" cy="371475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Análise por Área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28575</xdr:rowOff>
    </xdr:from>
    <xdr:ext cx="2095500" cy="323850"/>
    <xdr:sp>
      <xdr:nvSpPr>
        <xdr:cNvPr id="286" name="Shape 286">
          <a:hlinkClick r:id="rId5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419100</xdr:rowOff>
    </xdr:from>
    <xdr:ext cx="2095500" cy="304800"/>
    <xdr:sp>
      <xdr:nvSpPr>
        <xdr:cNvPr id="287" name="Shape 287">
          <a:hlinkClick r:id="rId6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428625</xdr:rowOff>
    </xdr:from>
    <xdr:ext cx="2095500" cy="333375"/>
    <xdr:sp>
      <xdr:nvSpPr>
        <xdr:cNvPr id="288" name="Shape 288">
          <a:hlinkClick r:id="rId7"/>
        </xdr:cNvPr>
        <xdr:cNvSpPr/>
      </xdr:nvSpPr>
      <xdr:spPr>
        <a:xfrm>
          <a:off x="4303013" y="3618075"/>
          <a:ext cx="2085975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</xdr:row>
      <xdr:rowOff>647700</xdr:rowOff>
    </xdr:from>
    <xdr:ext cx="2162175" cy="314325"/>
    <xdr:sp>
      <xdr:nvSpPr>
        <xdr:cNvPr id="289" name="Shape 289">
          <a:hlinkClick r:id="rId8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47625</xdr:rowOff>
    </xdr:from>
    <xdr:ext cx="2095500" cy="323850"/>
    <xdr:sp>
      <xdr:nvSpPr>
        <xdr:cNvPr id="290" name="Shape 290">
          <a:hlinkClick r:id="rId9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95250</xdr:rowOff>
    </xdr:from>
    <xdr:ext cx="2095500" cy="304800"/>
    <xdr:sp>
      <xdr:nvSpPr>
        <xdr:cNvPr id="291" name="Shape 291">
          <a:hlinkClick r:id="rId10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476250</xdr:rowOff>
    </xdr:from>
    <xdr:ext cx="2095500" cy="323850"/>
    <xdr:sp>
      <xdr:nvSpPr>
        <xdr:cNvPr id="292" name="Shape 292">
          <a:hlinkClick r:id="rId11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76200</xdr:rowOff>
    </xdr:from>
    <xdr:ext cx="2095500" cy="323850"/>
    <xdr:sp>
      <xdr:nvSpPr>
        <xdr:cNvPr id="293" name="Shape 293">
          <a:hlinkClick r:id="rId12"/>
        </xdr:cNvPr>
        <xdr:cNvSpPr/>
      </xdr:nvSpPr>
      <xdr:spPr>
        <a:xfrm>
          <a:off x="4303013" y="3622838"/>
          <a:ext cx="2085975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390525</xdr:rowOff>
    </xdr:from>
    <xdr:ext cx="2095500" cy="314325"/>
    <xdr:sp>
      <xdr:nvSpPr>
        <xdr:cNvPr id="294" name="Shape 294">
          <a:hlinkClick r:id="rId13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0</xdr:rowOff>
    </xdr:from>
    <xdr:ext cx="2095500" cy="314325"/>
    <xdr:sp>
      <xdr:nvSpPr>
        <xdr:cNvPr id="295" name="Shape 295">
          <a:hlinkClick r:id="rId14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28575</xdr:rowOff>
    </xdr:from>
    <xdr:ext cx="2095500" cy="314325"/>
    <xdr:sp>
      <xdr:nvSpPr>
        <xdr:cNvPr id="296" name="Shape 296">
          <a:hlinkClick r:id="rId15"/>
        </xdr:cNvPr>
        <xdr:cNvSpPr/>
      </xdr:nvSpPr>
      <xdr:spPr>
        <a:xfrm>
          <a:off x="4303013" y="3627600"/>
          <a:ext cx="2085975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47625</xdr:rowOff>
    </xdr:from>
    <xdr:ext cx="2095500" cy="304800"/>
    <xdr:sp>
      <xdr:nvSpPr>
        <xdr:cNvPr id="297" name="Shape 297">
          <a:hlinkClick r:id="rId16"/>
        </xdr:cNvPr>
        <xdr:cNvSpPr/>
      </xdr:nvSpPr>
      <xdr:spPr>
        <a:xfrm>
          <a:off x="4303013" y="3632363"/>
          <a:ext cx="2085975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142875</xdr:rowOff>
    </xdr:from>
    <xdr:ext cx="2162175" cy="333375"/>
    <xdr:sp>
      <xdr:nvSpPr>
        <xdr:cNvPr id="298" name="Shape 298">
          <a:hlinkClick r:id="rId17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619125</xdr:colOff>
      <xdr:row>0</xdr:row>
      <xdr:rowOff>133350</xdr:rowOff>
    </xdr:from>
    <xdr:ext cx="11487150" cy="704850"/>
    <xdr:grpSp>
      <xdr:nvGrpSpPr>
        <xdr:cNvPr id="2" name="Shape 2"/>
        <xdr:cNvGrpSpPr/>
      </xdr:nvGrpSpPr>
      <xdr:grpSpPr>
        <a:xfrm>
          <a:off x="0" y="3427575"/>
          <a:ext cx="10692000" cy="704850"/>
          <a:chOff x="0" y="3427575"/>
          <a:chExt cx="10692000" cy="704850"/>
        </a:xfrm>
      </xdr:grpSpPr>
      <xdr:grpSp>
        <xdr:nvGrpSpPr>
          <xdr:cNvPr id="299" name="Shape 299"/>
          <xdr:cNvGrpSpPr/>
        </xdr:nvGrpSpPr>
        <xdr:grpSpPr>
          <a:xfrm>
            <a:off x="0" y="3427575"/>
            <a:ext cx="10692000" cy="704850"/>
            <a:chOff x="0" y="3427575"/>
            <a:chExt cx="10692000" cy="704850"/>
          </a:xfrm>
        </xdr:grpSpPr>
        <xdr:sp>
          <xdr:nvSpPr>
            <xdr:cNvPr id="19" name="Shape 19"/>
            <xdr:cNvSpPr/>
          </xdr:nvSpPr>
          <xdr:spPr>
            <a:xfrm>
              <a:off x="0" y="3427575"/>
              <a:ext cx="10692000" cy="704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0" name="Shape 300"/>
            <xdr:cNvGrpSpPr/>
          </xdr:nvGrpSpPr>
          <xdr:grpSpPr>
            <a:xfrm>
              <a:off x="0" y="3427575"/>
              <a:ext cx="10692000" cy="704850"/>
              <a:chOff x="0" y="3427575"/>
              <a:chExt cx="10692000" cy="704850"/>
            </a:xfrm>
          </xdr:grpSpPr>
          <xdr:sp>
            <xdr:nvSpPr>
              <xdr:cNvPr id="301" name="Shape 301"/>
              <xdr:cNvSpPr/>
            </xdr:nvSpPr>
            <xdr:spPr>
              <a:xfrm>
                <a:off x="0" y="3427575"/>
                <a:ext cx="10692000" cy="704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2" name="Shape 302"/>
              <xdr:cNvGrpSpPr/>
            </xdr:nvGrpSpPr>
            <xdr:grpSpPr>
              <a:xfrm>
                <a:off x="0" y="3427575"/>
                <a:ext cx="10692000" cy="704850"/>
                <a:chOff x="0" y="3427575"/>
                <a:chExt cx="10692000" cy="704850"/>
              </a:xfrm>
            </xdr:grpSpPr>
            <xdr:sp>
              <xdr:nvSpPr>
                <xdr:cNvPr id="303" name="Shape 303"/>
                <xdr:cNvSpPr/>
              </xdr:nvSpPr>
              <xdr:spPr>
                <a:xfrm>
                  <a:off x="0" y="3427575"/>
                  <a:ext cx="10692000" cy="704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04" name="Shape 304"/>
                <xdr:cNvGrpSpPr/>
              </xdr:nvGrpSpPr>
              <xdr:grpSpPr>
                <a:xfrm>
                  <a:off x="0" y="3427575"/>
                  <a:ext cx="10692000" cy="704850"/>
                  <a:chOff x="1615439" y="49532"/>
                  <a:chExt cx="12302193" cy="607558"/>
                </a:xfrm>
              </xdr:grpSpPr>
              <xdr:sp>
                <xdr:nvSpPr>
                  <xdr:cNvPr id="305" name="Shape 305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306" name="Shape 306"/>
                  <xdr:cNvPicPr preferRelativeResize="0"/>
                </xdr:nvPicPr>
                <xdr:blipFill rotWithShape="1">
                  <a:blip r:embed="rId18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307" name="Shape 307"/>
                  <xdr:cNvPicPr preferRelativeResize="0"/>
                </xdr:nvPicPr>
                <xdr:blipFill rotWithShape="1">
                  <a:blip r:embed="rId19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0</xdr:col>
      <xdr:colOff>1771650</xdr:colOff>
      <xdr:row>0</xdr:row>
      <xdr:rowOff>104775</xdr:rowOff>
    </xdr:from>
    <xdr:ext cx="5486400" cy="781050"/>
    <xdr:pic>
      <xdr:nvPicPr>
        <xdr:cNvPr id="0" name="image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697450" cy="1819275"/>
    <xdr:sp>
      <xdr:nvSpPr>
        <xdr:cNvPr id="308" name="Shape 308"/>
        <xdr:cNvSpPr/>
      </xdr:nvSpPr>
      <xdr:spPr>
        <a:xfrm>
          <a:off x="0" y="2875125"/>
          <a:ext cx="10692000" cy="18097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1" sz="14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2162175" cy="314325"/>
    <xdr:sp>
      <xdr:nvSpPr>
        <xdr:cNvPr id="309" name="Shape 309">
          <a:hlinkClick r:id="rId1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15</xdr:row>
      <xdr:rowOff>85725</xdr:rowOff>
    </xdr:from>
    <xdr:ext cx="2162175" cy="323850"/>
    <xdr:sp>
      <xdr:nvSpPr>
        <xdr:cNvPr id="310" name="Shape 310">
          <a:hlinkClick r:id="rId2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123825</xdr:rowOff>
    </xdr:from>
    <xdr:ext cx="2162175" cy="342900"/>
    <xdr:sp>
      <xdr:nvSpPr>
        <xdr:cNvPr id="311" name="Shape 311">
          <a:hlinkClick r:id="rId3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809625</xdr:rowOff>
    </xdr:from>
    <xdr:ext cx="2162175" cy="314325"/>
    <xdr:sp>
      <xdr:nvSpPr>
        <xdr:cNvPr id="312" name="Shape 312">
          <a:hlinkClick r:id="rId4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161925</xdr:rowOff>
    </xdr:from>
    <xdr:ext cx="2162175" cy="342900"/>
    <xdr:sp>
      <xdr:nvSpPr>
        <xdr:cNvPr id="313" name="Shape 313">
          <a:hlinkClick r:id="rId5"/>
        </xdr:cNvPr>
        <xdr:cNvSpPr/>
      </xdr:nvSpPr>
      <xdr:spPr>
        <a:xfrm>
          <a:off x="4269675" y="3613313"/>
          <a:ext cx="2152650" cy="3333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104775</xdr:rowOff>
    </xdr:from>
    <xdr:ext cx="2162175" cy="314325"/>
    <xdr:sp>
      <xdr:nvSpPr>
        <xdr:cNvPr id="314" name="Shape 314">
          <a:hlinkClick r:id="rId6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219075</xdr:rowOff>
    </xdr:from>
    <xdr:ext cx="2162175" cy="323850"/>
    <xdr:sp>
      <xdr:nvSpPr>
        <xdr:cNvPr id="315" name="Shape 315">
          <a:hlinkClick r:id="rId7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238125</xdr:rowOff>
    </xdr:from>
    <xdr:ext cx="2162175" cy="333375"/>
    <xdr:sp>
      <xdr:nvSpPr>
        <xdr:cNvPr id="316" name="Shape 316">
          <a:hlinkClick r:id="rId8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295275</xdr:rowOff>
    </xdr:from>
    <xdr:ext cx="2162175" cy="333375"/>
    <xdr:sp>
      <xdr:nvSpPr>
        <xdr:cNvPr id="317" name="Shape 317">
          <a:hlinkClick r:id="rId9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266700</xdr:rowOff>
    </xdr:from>
    <xdr:ext cx="2162175" cy="333375"/>
    <xdr:sp>
      <xdr:nvSpPr>
        <xdr:cNvPr id="318" name="Shape 318">
          <a:hlinkClick r:id="rId10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323850</xdr:rowOff>
    </xdr:from>
    <xdr:ext cx="2162175" cy="323850"/>
    <xdr:sp>
      <xdr:nvSpPr>
        <xdr:cNvPr id="319" name="Shape 319">
          <a:hlinkClick r:id="rId11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104775</xdr:rowOff>
    </xdr:from>
    <xdr:ext cx="2162175" cy="323850"/>
    <xdr:sp>
      <xdr:nvSpPr>
        <xdr:cNvPr id="320" name="Shape 320">
          <a:hlinkClick r:id="rId12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0</xdr:rowOff>
    </xdr:from>
    <xdr:ext cx="2162175" cy="333375"/>
    <xdr:sp>
      <xdr:nvSpPr>
        <xdr:cNvPr id="321" name="Shape 321">
          <a:hlinkClick r:id="rId13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1409700</xdr:colOff>
      <xdr:row>1</xdr:row>
      <xdr:rowOff>85725</xdr:rowOff>
    </xdr:from>
    <xdr:ext cx="13182600" cy="866775"/>
    <xdr:grpSp>
      <xdr:nvGrpSpPr>
        <xdr:cNvPr id="2" name="Shape 2"/>
        <xdr:cNvGrpSpPr/>
      </xdr:nvGrpSpPr>
      <xdr:grpSpPr>
        <a:xfrm>
          <a:off x="0" y="3346613"/>
          <a:ext cx="10692000" cy="866775"/>
          <a:chOff x="0" y="3346613"/>
          <a:chExt cx="10692000" cy="866775"/>
        </a:xfrm>
      </xdr:grpSpPr>
      <xdr:grpSp>
        <xdr:nvGrpSpPr>
          <xdr:cNvPr id="322" name="Shape 322"/>
          <xdr:cNvGrpSpPr/>
        </xdr:nvGrpSpPr>
        <xdr:grpSpPr>
          <a:xfrm>
            <a:off x="0" y="3346613"/>
            <a:ext cx="10692000" cy="866775"/>
            <a:chOff x="0" y="3346613"/>
            <a:chExt cx="10692000" cy="866775"/>
          </a:xfrm>
        </xdr:grpSpPr>
        <xdr:sp>
          <xdr:nvSpPr>
            <xdr:cNvPr id="19" name="Shape 19"/>
            <xdr:cNvSpPr/>
          </xdr:nvSpPr>
          <xdr:spPr>
            <a:xfrm>
              <a:off x="0" y="3346613"/>
              <a:ext cx="1069200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3" name="Shape 323"/>
            <xdr:cNvGrpSpPr/>
          </xdr:nvGrpSpPr>
          <xdr:grpSpPr>
            <a:xfrm>
              <a:off x="0" y="3346613"/>
              <a:ext cx="10692000" cy="866775"/>
              <a:chOff x="0" y="3346613"/>
              <a:chExt cx="10692000" cy="866775"/>
            </a:xfrm>
          </xdr:grpSpPr>
          <xdr:sp>
            <xdr:nvSpPr>
              <xdr:cNvPr id="324" name="Shape 324"/>
              <xdr:cNvSpPr/>
            </xdr:nvSpPr>
            <xdr:spPr>
              <a:xfrm>
                <a:off x="0" y="3346613"/>
                <a:ext cx="10692000" cy="866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5" name="Shape 325"/>
              <xdr:cNvGrpSpPr/>
            </xdr:nvGrpSpPr>
            <xdr:grpSpPr>
              <a:xfrm>
                <a:off x="0" y="3346613"/>
                <a:ext cx="10692000" cy="866775"/>
                <a:chOff x="0" y="3346613"/>
                <a:chExt cx="10692000" cy="866775"/>
              </a:xfrm>
            </xdr:grpSpPr>
            <xdr:sp>
              <xdr:nvSpPr>
                <xdr:cNvPr id="326" name="Shape 326"/>
                <xdr:cNvSpPr/>
              </xdr:nvSpPr>
              <xdr:spPr>
                <a:xfrm>
                  <a:off x="0" y="3346613"/>
                  <a:ext cx="10692000" cy="866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27" name="Shape 327"/>
                <xdr:cNvGrpSpPr/>
              </xdr:nvGrpSpPr>
              <xdr:grpSpPr>
                <a:xfrm>
                  <a:off x="0" y="3346613"/>
                  <a:ext cx="10692000" cy="866775"/>
                  <a:chOff x="1615439" y="49532"/>
                  <a:chExt cx="12302193" cy="607558"/>
                </a:xfrm>
              </xdr:grpSpPr>
              <xdr:sp>
                <xdr:nvSpPr>
                  <xdr:cNvPr id="328" name="Shape 328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329" name="Shape 329"/>
                  <xdr:cNvPicPr preferRelativeResize="0"/>
                </xdr:nvPicPr>
                <xdr:blipFill rotWithShape="1">
                  <a:blip r:embed="rId14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330" name="Shape 330"/>
                  <xdr:cNvPicPr preferRelativeResize="0"/>
                </xdr:nvPicPr>
                <xdr:blipFill rotWithShape="1">
                  <a:blip r:embed="rId15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1</xdr:col>
      <xdr:colOff>38100</xdr:colOff>
      <xdr:row>1</xdr:row>
      <xdr:rowOff>19050</xdr:rowOff>
    </xdr:from>
    <xdr:ext cx="0" cy="542925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57150</xdr:rowOff>
    </xdr:from>
    <xdr:ext cx="0" cy="457200"/>
    <xdr:pic>
      <xdr:nvPicPr>
        <xdr:cNvPr descr="Imagem relacionada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19050</xdr:rowOff>
    </xdr:from>
    <xdr:ext cx="0" cy="514350"/>
    <xdr:pic>
      <xdr:nvPicPr>
        <xdr:cNvPr descr="Resultado de imagem para PLANO  ICONE"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2305050</xdr:colOff>
      <xdr:row>2</xdr:row>
      <xdr:rowOff>47625</xdr:rowOff>
    </xdr:from>
    <xdr:ext cx="4467225" cy="781050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41</xdr:row>
      <xdr:rowOff>0</xdr:rowOff>
    </xdr:from>
    <xdr:ext cx="7553325" cy="3048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51</xdr:row>
      <xdr:rowOff>38100</xdr:rowOff>
    </xdr:from>
    <xdr:ext cx="7505700" cy="29146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28575</xdr:colOff>
      <xdr:row>51</xdr:row>
      <xdr:rowOff>38100</xdr:rowOff>
    </xdr:from>
    <xdr:ext cx="7534275" cy="29146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76200</xdr:colOff>
      <xdr:row>60</xdr:row>
      <xdr:rowOff>38100</xdr:rowOff>
    </xdr:from>
    <xdr:ext cx="15525750" cy="4000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8916650" cy="1628775"/>
    <xdr:sp>
      <xdr:nvSpPr>
        <xdr:cNvPr id="282" name="Shape 282"/>
        <xdr:cNvSpPr/>
      </xdr:nvSpPr>
      <xdr:spPr>
        <a:xfrm>
          <a:off x="0" y="2970375"/>
          <a:ext cx="10692000" cy="16192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1" sz="14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1114425</xdr:colOff>
      <xdr:row>1</xdr:row>
      <xdr:rowOff>342900</xdr:rowOff>
    </xdr:from>
    <xdr:ext cx="6105525" cy="466725"/>
    <xdr:sp>
      <xdr:nvSpPr>
        <xdr:cNvPr id="331" name="Shape 331"/>
        <xdr:cNvSpPr txBox="1"/>
      </xdr:nvSpPr>
      <xdr:spPr>
        <a:xfrm>
          <a:off x="2298000" y="3551400"/>
          <a:ext cx="6096000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Calibri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Imprima o relatório da sua análise SWOT. Apenas o que importa, com formatação econômica para gastar menos tinta e ter melhor aproveitamento do papel</a:t>
          </a:r>
          <a:endParaRPr sz="105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47625</xdr:colOff>
      <xdr:row>3</xdr:row>
      <xdr:rowOff>190500</xdr:rowOff>
    </xdr:from>
    <xdr:ext cx="2162175" cy="314325"/>
    <xdr:sp>
      <xdr:nvSpPr>
        <xdr:cNvPr id="332" name="Shape 332">
          <a:hlinkClick r:id="rId5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0. Início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47625</xdr:colOff>
      <xdr:row>12</xdr:row>
      <xdr:rowOff>190500</xdr:rowOff>
    </xdr:from>
    <xdr:ext cx="2162175" cy="304800"/>
    <xdr:sp>
      <xdr:nvSpPr>
        <xdr:cNvPr id="333" name="Shape 333">
          <a:hlinkClick r:id="rId6"/>
        </xdr:cNvPr>
        <xdr:cNvSpPr/>
      </xdr:nvSpPr>
      <xdr:spPr>
        <a:xfrm>
          <a:off x="4269675" y="3632363"/>
          <a:ext cx="2152650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Planos de Ação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14</xdr:row>
      <xdr:rowOff>285750</xdr:rowOff>
    </xdr:from>
    <xdr:ext cx="2162175" cy="352425"/>
    <xdr:sp>
      <xdr:nvSpPr>
        <xdr:cNvPr id="334" name="Shape 334">
          <a:hlinkClick r:id="rId7"/>
        </xdr:cNvPr>
        <xdr:cNvSpPr/>
      </xdr:nvSpPr>
      <xdr:spPr>
        <a:xfrm>
          <a:off x="4269675" y="3608550"/>
          <a:ext cx="2152650" cy="3429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2</xdr:row>
      <xdr:rowOff>561975</xdr:rowOff>
    </xdr:from>
    <xdr:ext cx="2162175" cy="314325"/>
    <xdr:sp>
      <xdr:nvSpPr>
        <xdr:cNvPr id="335" name="Shape 335">
          <a:hlinkClick r:id="rId8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16</xdr:row>
      <xdr:rowOff>152400</xdr:rowOff>
    </xdr:from>
    <xdr:ext cx="2162175" cy="333375"/>
    <xdr:sp>
      <xdr:nvSpPr>
        <xdr:cNvPr id="336" name="Shape 336">
          <a:hlinkClick r:id="rId9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10. Painel de Estratégico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3</xdr:row>
      <xdr:rowOff>581025</xdr:rowOff>
    </xdr:from>
    <xdr:ext cx="2162175" cy="304800"/>
    <xdr:sp>
      <xdr:nvSpPr>
        <xdr:cNvPr id="337" name="Shape 337">
          <a:hlinkClick r:id="rId10"/>
        </xdr:cNvPr>
        <xdr:cNvSpPr/>
      </xdr:nvSpPr>
      <xdr:spPr>
        <a:xfrm>
          <a:off x="4269675" y="3632363"/>
          <a:ext cx="2152650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Fatores internos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3</xdr:row>
      <xdr:rowOff>962025</xdr:rowOff>
    </xdr:from>
    <xdr:ext cx="2162175" cy="314325"/>
    <xdr:sp>
      <xdr:nvSpPr>
        <xdr:cNvPr id="338" name="Shape 338">
          <a:hlinkClick r:id="rId11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2. Fatores externos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6</xdr:row>
      <xdr:rowOff>0</xdr:rowOff>
    </xdr:from>
    <xdr:ext cx="2162175" cy="314325"/>
    <xdr:sp>
      <xdr:nvSpPr>
        <xdr:cNvPr id="339" name="Shape 339">
          <a:hlinkClick r:id="rId12"/>
        </xdr:cNvPr>
        <xdr:cNvSpPr/>
      </xdr:nvSpPr>
      <xdr:spPr>
        <a:xfrm>
          <a:off x="4269675" y="3627600"/>
          <a:ext cx="2152650" cy="30480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47625</xdr:colOff>
      <xdr:row>9</xdr:row>
      <xdr:rowOff>104775</xdr:rowOff>
    </xdr:from>
    <xdr:ext cx="2162175" cy="323850"/>
    <xdr:sp>
      <xdr:nvSpPr>
        <xdr:cNvPr id="340" name="Shape 340">
          <a:hlinkClick r:id="rId13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5. Objetivos Estratégicos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8</xdr:row>
      <xdr:rowOff>66675</xdr:rowOff>
    </xdr:from>
    <xdr:ext cx="2162175" cy="323850"/>
    <xdr:sp>
      <xdr:nvSpPr>
        <xdr:cNvPr id="341" name="Shape 341">
          <a:hlinkClick r:id="rId14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Cruzamentos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11</xdr:row>
      <xdr:rowOff>0</xdr:rowOff>
    </xdr:from>
    <xdr:ext cx="2162175" cy="323850"/>
    <xdr:sp>
      <xdr:nvSpPr>
        <xdr:cNvPr id="342" name="Shape 342">
          <a:hlinkClick r:id="rId15"/>
        </xdr:cNvPr>
        <xdr:cNvSpPr/>
      </xdr:nvSpPr>
      <xdr:spPr>
        <a:xfrm>
          <a:off x="4269675" y="3622838"/>
          <a:ext cx="2152650" cy="31432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Desdobramentos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13</xdr:row>
      <xdr:rowOff>0</xdr:rowOff>
    </xdr:from>
    <xdr:ext cx="2162175" cy="304800"/>
    <xdr:sp>
      <xdr:nvSpPr>
        <xdr:cNvPr id="343" name="Shape 343">
          <a:hlinkClick r:id="rId16"/>
        </xdr:cNvPr>
        <xdr:cNvSpPr/>
      </xdr:nvSpPr>
      <xdr:spPr>
        <a:xfrm>
          <a:off x="4269675" y="3632363"/>
          <a:ext cx="2152650" cy="295275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SWOT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18</xdr:row>
      <xdr:rowOff>190500</xdr:rowOff>
    </xdr:from>
    <xdr:ext cx="2162175" cy="333375"/>
    <xdr:sp>
      <xdr:nvSpPr>
        <xdr:cNvPr id="344" name="Shape 344">
          <a:hlinkClick r:id="rId17"/>
        </xdr:cNvPr>
        <xdr:cNvSpPr/>
      </xdr:nvSpPr>
      <xdr:spPr>
        <a:xfrm>
          <a:off x="4269675" y="3618075"/>
          <a:ext cx="2152650" cy="323850"/>
        </a:xfrm>
        <a:prstGeom prst="rect">
          <a:avLst/>
        </a:prstGeom>
        <a:gradFill>
          <a:gsLst>
            <a:gs pos="0">
              <a:srgbClr val="0F44CA"/>
            </a:gs>
            <a:gs pos="85000">
              <a:srgbClr val="092879">
                <a:alpha val="10588"/>
              </a:srgbClr>
            </a:gs>
            <a:gs pos="100000">
              <a:srgbClr val="CCE0F2"/>
            </a:gs>
          </a:gsLst>
          <a:path path="circle">
            <a:fillToRect b="50%" l="50%" r="50%" t="50%"/>
          </a:path>
          <a:tileRect/>
        </a:gradFill>
        <a:ln>
          <a:noFill/>
        </a:ln>
        <a:effectLst>
          <a:outerShdw sx="98000" rotWithShape="0" algn="l" sy="98000">
            <a:srgbClr val="0F44CA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1905000</xdr:colOff>
      <xdr:row>0</xdr:row>
      <xdr:rowOff>333375</xdr:rowOff>
    </xdr:from>
    <xdr:ext cx="13696950" cy="885825"/>
    <xdr:grpSp>
      <xdr:nvGrpSpPr>
        <xdr:cNvPr id="2" name="Shape 2"/>
        <xdr:cNvGrpSpPr/>
      </xdr:nvGrpSpPr>
      <xdr:grpSpPr>
        <a:xfrm>
          <a:off x="0" y="3337088"/>
          <a:ext cx="10692000" cy="885825"/>
          <a:chOff x="0" y="3337088"/>
          <a:chExt cx="10692000" cy="885825"/>
        </a:xfrm>
      </xdr:grpSpPr>
      <xdr:grpSp>
        <xdr:nvGrpSpPr>
          <xdr:cNvPr id="345" name="Shape 345"/>
          <xdr:cNvGrpSpPr/>
        </xdr:nvGrpSpPr>
        <xdr:grpSpPr>
          <a:xfrm>
            <a:off x="0" y="3337088"/>
            <a:ext cx="10692000" cy="885825"/>
            <a:chOff x="0" y="3337088"/>
            <a:chExt cx="10692000" cy="885825"/>
          </a:xfrm>
        </xdr:grpSpPr>
        <xdr:sp>
          <xdr:nvSpPr>
            <xdr:cNvPr id="19" name="Shape 19"/>
            <xdr:cNvSpPr/>
          </xdr:nvSpPr>
          <xdr:spPr>
            <a:xfrm>
              <a:off x="0" y="3337088"/>
              <a:ext cx="10692000" cy="885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6" name="Shape 346"/>
            <xdr:cNvGrpSpPr/>
          </xdr:nvGrpSpPr>
          <xdr:grpSpPr>
            <a:xfrm>
              <a:off x="0" y="3337088"/>
              <a:ext cx="10692000" cy="885825"/>
              <a:chOff x="0" y="3337088"/>
              <a:chExt cx="10692000" cy="885825"/>
            </a:xfrm>
          </xdr:grpSpPr>
          <xdr:sp>
            <xdr:nvSpPr>
              <xdr:cNvPr id="347" name="Shape 347"/>
              <xdr:cNvSpPr/>
            </xdr:nvSpPr>
            <xdr:spPr>
              <a:xfrm>
                <a:off x="0" y="3337088"/>
                <a:ext cx="10692000" cy="8858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48" name="Shape 348"/>
              <xdr:cNvGrpSpPr/>
            </xdr:nvGrpSpPr>
            <xdr:grpSpPr>
              <a:xfrm>
                <a:off x="0" y="3337088"/>
                <a:ext cx="10692000" cy="885825"/>
                <a:chOff x="0" y="3337088"/>
                <a:chExt cx="10692000" cy="885825"/>
              </a:xfrm>
            </xdr:grpSpPr>
            <xdr:sp>
              <xdr:nvSpPr>
                <xdr:cNvPr id="349" name="Shape 349"/>
                <xdr:cNvSpPr/>
              </xdr:nvSpPr>
              <xdr:spPr>
                <a:xfrm>
                  <a:off x="0" y="3337088"/>
                  <a:ext cx="10692000" cy="8858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50" name="Shape 350"/>
                <xdr:cNvGrpSpPr/>
              </xdr:nvGrpSpPr>
              <xdr:grpSpPr>
                <a:xfrm>
                  <a:off x="0" y="3337088"/>
                  <a:ext cx="10692000" cy="885825"/>
                  <a:chOff x="1615439" y="49532"/>
                  <a:chExt cx="12302193" cy="607558"/>
                </a:xfrm>
              </xdr:grpSpPr>
              <xdr:sp>
                <xdr:nvSpPr>
                  <xdr:cNvPr id="351" name="Shape 351"/>
                  <xdr:cNvSpPr/>
                </xdr:nvSpPr>
                <xdr:spPr>
                  <a:xfrm>
                    <a:off x="1615439" y="49532"/>
                    <a:ext cx="12302176" cy="607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352" name="Shape 352"/>
                  <xdr:cNvPicPr preferRelativeResize="0"/>
                </xdr:nvPicPr>
                <xdr:blipFill rotWithShape="1">
                  <a:blip r:embed="rId18">
                    <a:alphaModFix/>
                  </a:blip>
                  <a:srcRect b="17430" l="20639" r="16971" t="19725"/>
                  <a:stretch/>
                </xdr:blipFill>
                <xdr:spPr>
                  <a:xfrm flipH="1">
                    <a:off x="1615439" y="128088"/>
                    <a:ext cx="525141" cy="52900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  <xdr:pic>
                <xdr:nvPicPr>
                  <xdr:cNvPr id="353" name="Shape 353"/>
                  <xdr:cNvPicPr preferRelativeResize="0"/>
                </xdr:nvPicPr>
                <xdr:blipFill rotWithShape="1">
                  <a:blip r:embed="rId19">
                    <a:alphaModFix/>
                  </a:blip>
                  <a:srcRect b="25354" l="21805" r="22052" t="28383"/>
                  <a:stretch/>
                </xdr:blipFill>
                <xdr:spPr>
                  <a:xfrm>
                    <a:off x="12609046" y="49532"/>
                    <a:ext cx="1308586" cy="60755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</xdr:row>
      <xdr:rowOff>238125</xdr:rowOff>
    </xdr:from>
    <xdr:ext cx="4914900" cy="781050"/>
    <xdr:pic>
      <xdr:nvPicPr>
        <xdr:cNvPr id="0" name="image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3.71"/>
    <col customWidth="1" min="3" max="3" width="10.0"/>
    <col customWidth="1" min="4" max="4" width="3.29"/>
    <col customWidth="1" min="5" max="8" width="11.43"/>
    <col customWidth="1" min="9" max="12" width="8.71"/>
    <col customWidth="1" min="13" max="13" width="31.29"/>
    <col customWidth="1" min="14" max="15" width="8.71"/>
    <col customWidth="1" min="16" max="16" width="10.71"/>
    <col customWidth="1" min="17" max="17" width="6.86"/>
    <col customWidth="1" min="18" max="18" width="12.29"/>
    <col customWidth="1" min="19" max="25" width="8.71"/>
  </cols>
  <sheetData>
    <row r="1" ht="33.7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87.75" customHeight="1">
      <c r="A2" s="4"/>
      <c r="B2" s="1"/>
      <c r="C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6.0" customHeight="1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10"/>
      <c r="S3" s="11"/>
      <c r="T3" s="11"/>
      <c r="U3" s="11"/>
      <c r="V3" s="11"/>
      <c r="W3" s="11"/>
      <c r="X3" s="11"/>
      <c r="Y3" s="11"/>
    </row>
    <row r="4" ht="33.75" customHeight="1">
      <c r="A4" s="1"/>
      <c r="B4" s="12" t="s">
        <v>1</v>
      </c>
      <c r="N4" s="11"/>
      <c r="O4" s="11"/>
      <c r="P4" s="11"/>
      <c r="Q4" s="11"/>
      <c r="R4" s="13"/>
      <c r="S4" s="11"/>
      <c r="T4" s="11"/>
      <c r="U4" s="11"/>
      <c r="V4" s="11"/>
      <c r="W4" s="11"/>
      <c r="X4" s="11"/>
      <c r="Y4" s="11"/>
    </row>
    <row r="5" ht="12.75" customHeight="1">
      <c r="A5" s="1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1"/>
      <c r="O5" s="11"/>
      <c r="P5" s="11"/>
      <c r="Q5" s="11"/>
      <c r="R5" s="13"/>
      <c r="S5" s="11"/>
      <c r="T5" s="11"/>
      <c r="U5" s="11"/>
      <c r="V5" s="11"/>
      <c r="W5" s="11"/>
      <c r="X5" s="11"/>
      <c r="Y5" s="11"/>
    </row>
    <row r="6" ht="29.25" customHeight="1">
      <c r="A6" s="1"/>
      <c r="B6" s="14"/>
      <c r="C6" s="16" t="s">
        <v>2</v>
      </c>
      <c r="D6" s="17"/>
      <c r="E6" s="18" t="s">
        <v>3</v>
      </c>
      <c r="I6" s="15"/>
      <c r="J6" s="15"/>
      <c r="K6" s="15"/>
      <c r="L6" s="15"/>
      <c r="M6" s="15"/>
      <c r="N6" s="11"/>
      <c r="O6" s="11"/>
      <c r="P6" s="11"/>
      <c r="Q6" s="11"/>
      <c r="R6" s="13"/>
      <c r="S6" s="11"/>
      <c r="T6" s="11"/>
      <c r="U6" s="11"/>
      <c r="V6" s="11"/>
      <c r="W6" s="11"/>
      <c r="X6" s="11"/>
      <c r="Y6" s="11"/>
    </row>
    <row r="7" ht="16.5" customHeight="1">
      <c r="A7" s="1"/>
      <c r="B7" s="14"/>
      <c r="C7" s="19" t="s">
        <v>4</v>
      </c>
      <c r="N7" s="11"/>
      <c r="O7" s="11"/>
      <c r="P7" s="11"/>
      <c r="Q7" s="11"/>
      <c r="R7" s="13"/>
      <c r="S7" s="11"/>
      <c r="T7" s="11"/>
      <c r="U7" s="11"/>
      <c r="V7" s="11"/>
      <c r="W7" s="11"/>
      <c r="X7" s="11"/>
      <c r="Y7" s="11"/>
    </row>
    <row r="8" ht="19.5" customHeight="1">
      <c r="A8" s="1"/>
      <c r="B8" s="14"/>
      <c r="N8" s="11"/>
      <c r="O8" s="11"/>
      <c r="P8" s="11"/>
      <c r="Q8" s="11"/>
      <c r="R8" s="13"/>
      <c r="S8" s="11"/>
      <c r="T8" s="11"/>
      <c r="U8" s="11"/>
      <c r="V8" s="11"/>
      <c r="W8" s="11"/>
      <c r="X8" s="11"/>
      <c r="Y8" s="11"/>
    </row>
    <row r="9" ht="34.5" customHeight="1">
      <c r="A9" s="1"/>
      <c r="B9" s="14"/>
      <c r="C9" s="19" t="s">
        <v>5</v>
      </c>
      <c r="N9" s="11"/>
      <c r="O9" s="11"/>
      <c r="P9" s="11"/>
      <c r="Q9" s="11"/>
      <c r="R9" s="13"/>
      <c r="S9" s="11"/>
      <c r="T9" s="11"/>
      <c r="U9" s="11"/>
      <c r="V9" s="11"/>
      <c r="W9" s="11"/>
      <c r="X9" s="11"/>
      <c r="Y9" s="11"/>
    </row>
    <row r="10" ht="48.0" customHeight="1">
      <c r="A10" s="20"/>
      <c r="B10" s="14"/>
      <c r="C10" s="19" t="s">
        <v>6</v>
      </c>
      <c r="N10" s="11"/>
      <c r="O10" s="11"/>
      <c r="P10" s="11"/>
      <c r="Q10" s="11"/>
      <c r="R10" s="13"/>
      <c r="S10" s="11"/>
      <c r="T10" s="11"/>
      <c r="U10" s="11"/>
      <c r="V10" s="11"/>
      <c r="W10" s="11"/>
      <c r="X10" s="11"/>
      <c r="Y10" s="11"/>
    </row>
    <row r="11" ht="27.0" customHeight="1">
      <c r="A11" s="1"/>
      <c r="B11" s="14"/>
      <c r="C11" s="16" t="s">
        <v>7</v>
      </c>
      <c r="D11" s="17"/>
      <c r="E11" s="18" t="s">
        <v>8</v>
      </c>
      <c r="I11" s="21"/>
      <c r="L11" s="21"/>
      <c r="M11" s="11"/>
      <c r="N11" s="11"/>
      <c r="O11" s="11"/>
      <c r="P11" s="11"/>
      <c r="Q11" s="11"/>
      <c r="R11" s="13"/>
      <c r="S11" s="11"/>
      <c r="T11" s="11"/>
      <c r="U11" s="11"/>
      <c r="V11" s="11"/>
      <c r="W11" s="11"/>
      <c r="X11" s="11"/>
      <c r="Y11" s="11"/>
    </row>
    <row r="12" ht="15.0" customHeight="1">
      <c r="A12" s="1"/>
      <c r="B12" s="14"/>
      <c r="C12" s="19" t="s">
        <v>9</v>
      </c>
      <c r="N12" s="11"/>
      <c r="O12" s="11"/>
      <c r="P12" s="11"/>
      <c r="Q12" s="11"/>
      <c r="R12" s="13"/>
      <c r="S12" s="11"/>
      <c r="T12" s="11"/>
      <c r="U12" s="11"/>
      <c r="V12" s="11"/>
      <c r="W12" s="11"/>
      <c r="X12" s="11"/>
      <c r="Y12" s="11"/>
    </row>
    <row r="13" ht="15.0" customHeight="1">
      <c r="A13" s="1"/>
      <c r="B13" s="14"/>
      <c r="N13" s="11"/>
      <c r="O13" s="11"/>
      <c r="P13" s="11"/>
      <c r="Q13" s="11"/>
      <c r="R13" s="13"/>
      <c r="S13" s="11"/>
      <c r="T13" s="11"/>
      <c r="U13" s="11"/>
      <c r="V13" s="11"/>
      <c r="W13" s="11"/>
      <c r="X13" s="11"/>
      <c r="Y13" s="11"/>
    </row>
    <row r="14" ht="30.0" customHeight="1">
      <c r="A14" s="1"/>
      <c r="B14" s="14"/>
      <c r="C14" s="19" t="s">
        <v>10</v>
      </c>
      <c r="N14" s="11"/>
      <c r="O14" s="11"/>
      <c r="P14" s="11"/>
      <c r="Q14" s="11"/>
      <c r="R14" s="13"/>
      <c r="S14" s="11"/>
      <c r="T14" s="11"/>
      <c r="U14" s="11"/>
      <c r="V14" s="11"/>
      <c r="W14" s="11"/>
      <c r="X14" s="11"/>
      <c r="Y14" s="11"/>
    </row>
    <row r="15" ht="31.5" customHeight="1">
      <c r="A15" s="1"/>
      <c r="B15" s="14"/>
      <c r="C15" s="19" t="s">
        <v>11</v>
      </c>
      <c r="N15" s="11"/>
      <c r="O15" s="11"/>
      <c r="P15" s="11"/>
      <c r="Q15" s="11"/>
      <c r="R15" s="13"/>
      <c r="S15" s="11"/>
      <c r="T15" s="11"/>
      <c r="U15" s="11"/>
      <c r="V15" s="11"/>
      <c r="W15" s="11"/>
      <c r="X15" s="11"/>
      <c r="Y15" s="11"/>
    </row>
    <row r="16" ht="7.5" customHeight="1">
      <c r="A16" s="1"/>
      <c r="B16" s="14"/>
      <c r="C16" s="2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1"/>
      <c r="O16" s="11"/>
      <c r="P16" s="11"/>
      <c r="Q16" s="11"/>
      <c r="R16" s="13"/>
      <c r="S16" s="11"/>
      <c r="T16" s="11"/>
      <c r="U16" s="11"/>
      <c r="V16" s="11"/>
      <c r="W16" s="11"/>
      <c r="X16" s="11"/>
      <c r="Y16" s="11"/>
    </row>
    <row r="17" ht="7.5" customHeight="1">
      <c r="A17" s="1"/>
      <c r="B17" s="14"/>
      <c r="C17" s="15"/>
      <c r="N17" s="11"/>
      <c r="O17" s="11"/>
      <c r="P17" s="11"/>
      <c r="Q17" s="11"/>
      <c r="R17" s="13"/>
      <c r="S17" s="11"/>
      <c r="T17" s="11"/>
      <c r="U17" s="11"/>
      <c r="V17" s="11"/>
      <c r="W17" s="11"/>
      <c r="X17" s="11"/>
      <c r="Y17" s="11"/>
    </row>
    <row r="18" ht="7.5" customHeight="1">
      <c r="A18" s="1"/>
      <c r="B18" s="14"/>
      <c r="N18" s="11"/>
      <c r="O18" s="11"/>
      <c r="P18" s="11"/>
      <c r="Q18" s="11"/>
      <c r="R18" s="13"/>
      <c r="S18" s="11"/>
      <c r="T18" s="11"/>
      <c r="U18" s="11"/>
      <c r="V18" s="11"/>
      <c r="W18" s="11"/>
      <c r="X18" s="11"/>
      <c r="Y18" s="11"/>
    </row>
    <row r="19" ht="7.5" customHeight="1">
      <c r="A19" s="1"/>
      <c r="B19" s="14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3"/>
      <c r="S19" s="11"/>
      <c r="T19" s="11"/>
      <c r="U19" s="11"/>
      <c r="V19" s="11"/>
      <c r="W19" s="11"/>
      <c r="X19" s="11"/>
      <c r="Y19" s="11"/>
    </row>
    <row r="20" ht="25.5" customHeight="1">
      <c r="A20" s="1"/>
      <c r="B20" s="14"/>
      <c r="C20" s="16" t="s">
        <v>12</v>
      </c>
      <c r="D20" s="17"/>
      <c r="E20" s="18" t="s">
        <v>13</v>
      </c>
      <c r="N20" s="11"/>
      <c r="O20" s="11"/>
      <c r="P20" s="11"/>
      <c r="Q20" s="11"/>
      <c r="R20" s="13"/>
      <c r="S20" s="11"/>
      <c r="T20" s="11"/>
      <c r="U20" s="11"/>
      <c r="V20" s="11"/>
      <c r="W20" s="11"/>
      <c r="X20" s="11"/>
      <c r="Y20" s="11"/>
    </row>
    <row r="21" ht="15.0" customHeight="1">
      <c r="A21" s="1"/>
      <c r="B21" s="14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3"/>
      <c r="S21" s="11"/>
      <c r="T21" s="11"/>
      <c r="U21" s="11"/>
      <c r="V21" s="11"/>
      <c r="W21" s="11"/>
      <c r="X21" s="11"/>
      <c r="Y21" s="11"/>
    </row>
    <row r="22" ht="15.0" customHeight="1">
      <c r="A22" s="1"/>
      <c r="B22" s="14"/>
      <c r="C22" s="19" t="s">
        <v>14</v>
      </c>
      <c r="N22" s="11"/>
      <c r="O22" s="11"/>
      <c r="P22" s="11"/>
      <c r="Q22" s="11"/>
      <c r="R22" s="13"/>
      <c r="S22" s="11"/>
      <c r="T22" s="11"/>
      <c r="U22" s="11"/>
      <c r="V22" s="11"/>
      <c r="W22" s="11"/>
      <c r="X22" s="11"/>
      <c r="Y22" s="11"/>
    </row>
    <row r="23" ht="47.25" customHeight="1">
      <c r="A23" s="1"/>
      <c r="B23" s="14"/>
      <c r="N23" s="11"/>
      <c r="O23" s="11"/>
      <c r="P23" s="11"/>
      <c r="Q23" s="11"/>
      <c r="R23" s="13"/>
      <c r="S23" s="11"/>
      <c r="T23" s="11"/>
      <c r="U23" s="11"/>
      <c r="V23" s="11"/>
      <c r="W23" s="11"/>
      <c r="X23" s="11"/>
      <c r="Y23" s="11"/>
    </row>
    <row r="24" ht="15.75" customHeight="1">
      <c r="A24" s="1"/>
      <c r="B24" s="14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3"/>
      <c r="S24" s="11"/>
      <c r="T24" s="11"/>
      <c r="U24" s="11"/>
      <c r="V24" s="11"/>
      <c r="W24" s="11"/>
      <c r="X24" s="11"/>
      <c r="Y24" s="11"/>
    </row>
    <row r="25" ht="15.75" customHeight="1">
      <c r="A25" s="1"/>
      <c r="B25" s="14"/>
      <c r="C25" s="16" t="s">
        <v>15</v>
      </c>
      <c r="D25" s="17"/>
      <c r="E25" s="18" t="s">
        <v>16</v>
      </c>
      <c r="N25" s="11"/>
      <c r="O25" s="11"/>
      <c r="P25" s="11"/>
      <c r="Q25" s="11"/>
      <c r="R25" s="13"/>
      <c r="S25" s="11"/>
      <c r="T25" s="11"/>
      <c r="U25" s="11"/>
      <c r="V25" s="11"/>
      <c r="W25" s="11"/>
      <c r="X25" s="11"/>
      <c r="Y25" s="11"/>
    </row>
    <row r="26" ht="30.0" customHeight="1">
      <c r="A26" s="1"/>
      <c r="B26" s="14"/>
      <c r="C26" s="19" t="s">
        <v>17</v>
      </c>
      <c r="N26" s="11"/>
      <c r="O26" s="11"/>
      <c r="P26" s="11"/>
      <c r="Q26" s="11"/>
      <c r="R26" s="13"/>
      <c r="S26" s="11"/>
      <c r="T26" s="11"/>
      <c r="U26" s="11"/>
      <c r="V26" s="11"/>
      <c r="W26" s="11"/>
      <c r="X26" s="11"/>
      <c r="Y26" s="11"/>
    </row>
    <row r="27" ht="3.0" customHeight="1">
      <c r="A27" s="1"/>
      <c r="B27" s="14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3"/>
      <c r="S27" s="11"/>
      <c r="T27" s="11"/>
      <c r="U27" s="11"/>
      <c r="V27" s="11"/>
      <c r="W27" s="11"/>
      <c r="X27" s="11"/>
      <c r="Y27" s="11"/>
    </row>
    <row r="28" ht="7.5" customHeight="1">
      <c r="A28" s="1"/>
      <c r="B28" s="14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3"/>
      <c r="S28" s="11"/>
      <c r="T28" s="11"/>
      <c r="U28" s="11"/>
      <c r="V28" s="11"/>
      <c r="W28" s="11"/>
      <c r="X28" s="11"/>
      <c r="Y28" s="11"/>
    </row>
    <row r="29" ht="7.5" customHeight="1">
      <c r="A29" s="1"/>
      <c r="B29" s="14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3"/>
      <c r="S29" s="11"/>
      <c r="T29" s="11"/>
      <c r="U29" s="11"/>
      <c r="V29" s="11"/>
      <c r="W29" s="11"/>
      <c r="X29" s="11"/>
      <c r="Y29" s="11"/>
    </row>
    <row r="30" ht="47.25" hidden="1" customHeight="1">
      <c r="A30" s="1"/>
      <c r="B30" s="14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3"/>
      <c r="S30" s="11"/>
      <c r="T30" s="11"/>
      <c r="U30" s="11"/>
      <c r="V30" s="11"/>
      <c r="W30" s="11"/>
      <c r="X30" s="11"/>
      <c r="Y30" s="11"/>
    </row>
    <row r="31" ht="39.75" hidden="1" customHeight="1">
      <c r="A31" s="1"/>
      <c r="B31" s="14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3"/>
      <c r="S31" s="11"/>
      <c r="T31" s="11"/>
      <c r="U31" s="11"/>
      <c r="V31" s="11"/>
      <c r="W31" s="11"/>
      <c r="X31" s="11"/>
      <c r="Y31" s="11"/>
    </row>
    <row r="32" ht="1.5" hidden="1" customHeight="1">
      <c r="A32" s="1"/>
      <c r="B32" s="14"/>
      <c r="C32" s="15"/>
      <c r="N32" s="11"/>
      <c r="O32" s="11"/>
      <c r="P32" s="11"/>
      <c r="Q32" s="11"/>
      <c r="R32" s="13"/>
      <c r="S32" s="11"/>
      <c r="T32" s="11"/>
      <c r="U32" s="11"/>
      <c r="V32" s="11"/>
      <c r="W32" s="11"/>
      <c r="X32" s="11"/>
      <c r="Y32" s="11"/>
    </row>
    <row r="33" ht="2.25" customHeight="1">
      <c r="A33" s="1"/>
      <c r="B33" s="14"/>
      <c r="N33" s="11"/>
      <c r="O33" s="11"/>
      <c r="P33" s="11"/>
      <c r="Q33" s="11"/>
      <c r="R33" s="13"/>
      <c r="S33" s="11"/>
      <c r="T33" s="11"/>
      <c r="U33" s="11"/>
      <c r="V33" s="11"/>
      <c r="W33" s="11"/>
      <c r="X33" s="11"/>
      <c r="Y33" s="11"/>
    </row>
    <row r="34" ht="2.25" customHeight="1">
      <c r="A34" s="1"/>
      <c r="B34" s="14"/>
      <c r="N34" s="11"/>
      <c r="O34" s="11"/>
      <c r="P34" s="11"/>
      <c r="Q34" s="11"/>
      <c r="R34" s="13"/>
      <c r="S34" s="11"/>
      <c r="T34" s="11"/>
      <c r="U34" s="11"/>
      <c r="V34" s="11"/>
      <c r="W34" s="11"/>
      <c r="X34" s="11"/>
      <c r="Y34" s="11"/>
    </row>
    <row r="35" ht="2.25" customHeight="1">
      <c r="A35" s="1"/>
      <c r="B35" s="14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1"/>
      <c r="O35" s="11"/>
      <c r="P35" s="11"/>
      <c r="Q35" s="11"/>
      <c r="R35" s="13"/>
      <c r="S35" s="11"/>
      <c r="T35" s="11"/>
      <c r="U35" s="11"/>
      <c r="V35" s="11"/>
      <c r="W35" s="11"/>
      <c r="X35" s="11"/>
      <c r="Y35" s="11"/>
    </row>
    <row r="36" ht="2.25" customHeight="1">
      <c r="A36" s="1"/>
      <c r="B36" s="14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1"/>
      <c r="O36" s="11"/>
      <c r="P36" s="11"/>
      <c r="Q36" s="11"/>
      <c r="R36" s="13"/>
      <c r="S36" s="11"/>
      <c r="T36" s="11"/>
      <c r="U36" s="11"/>
      <c r="V36" s="11"/>
      <c r="W36" s="11"/>
      <c r="X36" s="11"/>
      <c r="Y36" s="11"/>
    </row>
    <row r="37" ht="15.75" customHeight="1">
      <c r="A37" s="1"/>
      <c r="B37" s="14"/>
      <c r="C37" s="16" t="s">
        <v>18</v>
      </c>
      <c r="D37" s="17"/>
      <c r="E37" s="18" t="s">
        <v>19</v>
      </c>
      <c r="N37" s="11"/>
      <c r="O37" s="11"/>
      <c r="P37" s="11"/>
      <c r="Q37" s="11"/>
      <c r="R37" s="13"/>
      <c r="S37" s="11"/>
      <c r="T37" s="11"/>
      <c r="U37" s="11"/>
      <c r="V37" s="11"/>
      <c r="W37" s="11"/>
      <c r="X37" s="11"/>
      <c r="Y37" s="11"/>
    </row>
    <row r="38" ht="4.5" customHeight="1">
      <c r="A38" s="1"/>
      <c r="B38" s="14"/>
      <c r="C38" s="23"/>
      <c r="D38" s="23"/>
      <c r="E38" s="18"/>
      <c r="F38" s="18"/>
      <c r="G38" s="18"/>
      <c r="H38" s="18"/>
      <c r="I38" s="18"/>
      <c r="J38" s="18"/>
      <c r="K38" s="18"/>
      <c r="L38" s="18"/>
      <c r="M38" s="18"/>
      <c r="N38" s="11"/>
      <c r="O38" s="11"/>
      <c r="P38" s="11"/>
      <c r="Q38" s="11"/>
      <c r="R38" s="13"/>
      <c r="S38" s="11"/>
      <c r="T38" s="11"/>
      <c r="U38" s="11"/>
      <c r="V38" s="11"/>
      <c r="W38" s="11"/>
      <c r="X38" s="11"/>
      <c r="Y38" s="11"/>
    </row>
    <row r="39" ht="23.25" customHeight="1">
      <c r="A39" s="1"/>
      <c r="B39" s="14"/>
      <c r="C39" s="24" t="s">
        <v>20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1"/>
      <c r="T39" s="11"/>
      <c r="U39" s="11"/>
      <c r="V39" s="11"/>
      <c r="W39" s="11"/>
      <c r="X39" s="11"/>
      <c r="Y39" s="11"/>
    </row>
    <row r="40" ht="12.0" customHeight="1">
      <c r="A40" s="1"/>
      <c r="B40" s="1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11"/>
      <c r="O40" s="11"/>
      <c r="P40" s="11"/>
      <c r="Q40" s="11"/>
      <c r="R40" s="13"/>
      <c r="S40" s="11"/>
      <c r="T40" s="11"/>
      <c r="U40" s="11"/>
      <c r="V40" s="11"/>
      <c r="W40" s="11"/>
      <c r="X40" s="11"/>
      <c r="Y40" s="11"/>
    </row>
    <row r="41" ht="3.0" customHeight="1">
      <c r="A41" s="1"/>
      <c r="B41" s="1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11"/>
      <c r="O41" s="11"/>
      <c r="P41" s="11"/>
      <c r="Q41" s="11"/>
      <c r="R41" s="13"/>
      <c r="S41" s="11"/>
      <c r="T41" s="11"/>
      <c r="U41" s="11"/>
      <c r="V41" s="11"/>
      <c r="W41" s="11"/>
      <c r="X41" s="11"/>
      <c r="Y41" s="11"/>
    </row>
    <row r="42" ht="15.75" customHeight="1">
      <c r="A42" s="1"/>
      <c r="B42" s="14"/>
      <c r="C42" s="16" t="s">
        <v>21</v>
      </c>
      <c r="D42" s="17"/>
      <c r="E42" s="18" t="s">
        <v>22</v>
      </c>
      <c r="N42" s="11"/>
      <c r="O42" s="11"/>
      <c r="P42" s="11"/>
      <c r="Q42" s="11"/>
      <c r="R42" s="13"/>
      <c r="S42" s="11"/>
      <c r="T42" s="11"/>
      <c r="U42" s="11"/>
      <c r="V42" s="11"/>
      <c r="W42" s="11"/>
      <c r="X42" s="11"/>
      <c r="Y42" s="11"/>
    </row>
    <row r="43" ht="13.5" customHeight="1">
      <c r="A43" s="1"/>
      <c r="B43" s="14"/>
      <c r="C43" s="19" t="s">
        <v>23</v>
      </c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11"/>
      <c r="Y43" s="11"/>
    </row>
    <row r="44" ht="36.75" customHeight="1">
      <c r="A44" s="1"/>
      <c r="B44" s="14"/>
      <c r="N44" s="11"/>
      <c r="O44" s="11"/>
      <c r="P44" s="11"/>
      <c r="Q44" s="11"/>
      <c r="R44" s="13"/>
      <c r="S44" s="11"/>
      <c r="T44" s="11"/>
      <c r="U44" s="11"/>
      <c r="V44" s="11"/>
      <c r="W44" s="11"/>
      <c r="X44" s="11"/>
      <c r="Y44" s="11"/>
    </row>
    <row r="45" ht="15.75" customHeight="1">
      <c r="A45" s="1"/>
      <c r="B45" s="14"/>
      <c r="C45" s="16" t="s">
        <v>24</v>
      </c>
      <c r="D45" s="17"/>
      <c r="E45" s="18" t="s">
        <v>25</v>
      </c>
      <c r="N45" s="11"/>
      <c r="O45" s="11"/>
      <c r="P45" s="11"/>
      <c r="Q45" s="11"/>
      <c r="R45" s="13"/>
      <c r="S45" s="11"/>
      <c r="T45" s="11"/>
      <c r="U45" s="11"/>
      <c r="V45" s="11"/>
      <c r="W45" s="11"/>
      <c r="X45" s="11"/>
      <c r="Y45" s="11"/>
    </row>
    <row r="46" ht="15.0" customHeight="1">
      <c r="A46" s="1"/>
      <c r="B46" s="14"/>
      <c r="C46" s="19" t="s">
        <v>26</v>
      </c>
      <c r="N46" s="11"/>
      <c r="O46" s="11"/>
      <c r="P46" s="11"/>
      <c r="Q46" s="11"/>
      <c r="R46" s="13"/>
      <c r="S46" s="11"/>
      <c r="T46" s="11"/>
      <c r="U46" s="11"/>
      <c r="V46" s="11"/>
      <c r="W46" s="11"/>
      <c r="X46" s="11"/>
      <c r="Y46" s="11"/>
    </row>
    <row r="47" ht="24.75" customHeight="1">
      <c r="A47" s="1"/>
      <c r="B47" s="14"/>
      <c r="N47" s="11"/>
      <c r="O47" s="11"/>
      <c r="P47" s="11"/>
      <c r="Q47" s="11"/>
      <c r="R47" s="13"/>
      <c r="S47" s="11"/>
      <c r="T47" s="11"/>
      <c r="U47" s="11"/>
      <c r="V47" s="11"/>
      <c r="W47" s="11"/>
      <c r="X47" s="11"/>
      <c r="Y47" s="11"/>
    </row>
    <row r="48" ht="15.75" hidden="1" customHeight="1">
      <c r="A48" s="1"/>
      <c r="B48" s="14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3"/>
      <c r="S48" s="11"/>
      <c r="T48" s="11"/>
      <c r="U48" s="11"/>
      <c r="V48" s="11"/>
      <c r="W48" s="11"/>
      <c r="X48" s="11"/>
      <c r="Y48" s="11"/>
    </row>
    <row r="49" ht="15.75" hidden="1" customHeight="1">
      <c r="A49" s="1"/>
      <c r="B49" s="14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3"/>
      <c r="S49" s="11"/>
      <c r="T49" s="11"/>
      <c r="U49" s="11"/>
      <c r="V49" s="11"/>
      <c r="W49" s="11"/>
      <c r="X49" s="11"/>
      <c r="Y49" s="11"/>
    </row>
    <row r="50" ht="8.25" customHeight="1">
      <c r="A50" s="1"/>
      <c r="B50" s="14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3"/>
      <c r="S50" s="11"/>
      <c r="T50" s="11"/>
      <c r="U50" s="11"/>
      <c r="V50" s="11"/>
      <c r="W50" s="11"/>
      <c r="X50" s="11"/>
      <c r="Y50" s="11"/>
    </row>
    <row r="51" ht="15.75" customHeight="1">
      <c r="A51" s="1"/>
      <c r="B51" s="14"/>
      <c r="C51" s="16" t="s">
        <v>27</v>
      </c>
      <c r="D51" s="17"/>
      <c r="E51" s="18" t="s">
        <v>28</v>
      </c>
      <c r="N51" s="11"/>
      <c r="O51" s="11"/>
      <c r="P51" s="11"/>
      <c r="Q51" s="11"/>
      <c r="R51" s="13"/>
      <c r="S51" s="11"/>
      <c r="T51" s="11"/>
      <c r="U51" s="11"/>
      <c r="V51" s="11"/>
      <c r="W51" s="11"/>
      <c r="X51" s="11"/>
      <c r="Y51" s="11"/>
    </row>
    <row r="52" ht="1.5" customHeight="1">
      <c r="A52" s="1"/>
      <c r="B52" s="14"/>
      <c r="C52" s="19" t="s">
        <v>29</v>
      </c>
      <c r="N52" s="11"/>
      <c r="O52" s="11"/>
      <c r="P52" s="11"/>
      <c r="Q52" s="11"/>
      <c r="R52" s="13"/>
      <c r="S52" s="11"/>
      <c r="T52" s="11"/>
      <c r="U52" s="11"/>
      <c r="V52" s="11"/>
      <c r="W52" s="11"/>
      <c r="X52" s="11"/>
      <c r="Y52" s="11"/>
    </row>
    <row r="53" ht="12.75" hidden="1" customHeight="1">
      <c r="A53" s="1"/>
      <c r="B53" s="14"/>
      <c r="N53" s="11"/>
      <c r="O53" s="11"/>
      <c r="P53" s="11"/>
      <c r="Q53" s="11"/>
      <c r="R53" s="13"/>
      <c r="S53" s="11"/>
      <c r="T53" s="11"/>
      <c r="U53" s="11"/>
      <c r="V53" s="11"/>
      <c r="W53" s="11"/>
      <c r="X53" s="11"/>
      <c r="Y53" s="11"/>
    </row>
    <row r="54" ht="40.5" customHeight="1">
      <c r="A54" s="1"/>
      <c r="B54" s="14"/>
      <c r="N54" s="11"/>
      <c r="O54" s="11"/>
      <c r="P54" s="11"/>
      <c r="Q54" s="11"/>
      <c r="R54" s="13"/>
      <c r="S54" s="11"/>
      <c r="T54" s="11"/>
      <c r="U54" s="11"/>
      <c r="V54" s="11"/>
      <c r="W54" s="11"/>
      <c r="X54" s="11"/>
      <c r="Y54" s="11"/>
    </row>
    <row r="55" ht="15.75" customHeight="1">
      <c r="A55" s="1"/>
      <c r="B55" s="14"/>
      <c r="C55" s="16" t="s">
        <v>30</v>
      </c>
      <c r="D55" s="17"/>
      <c r="E55" s="18" t="s">
        <v>31</v>
      </c>
      <c r="N55" s="11"/>
      <c r="O55" s="11"/>
      <c r="P55" s="11"/>
      <c r="Q55" s="11"/>
      <c r="R55" s="13"/>
      <c r="S55" s="11"/>
      <c r="T55" s="11"/>
      <c r="U55" s="11"/>
      <c r="V55" s="11"/>
      <c r="W55" s="11"/>
      <c r="X55" s="11"/>
      <c r="Y55" s="11"/>
    </row>
    <row r="56" ht="21.75" customHeight="1">
      <c r="A56" s="1"/>
      <c r="B56" s="14"/>
      <c r="C56" s="19" t="s">
        <v>32</v>
      </c>
      <c r="N56" s="11"/>
      <c r="O56" s="11"/>
      <c r="P56" s="11"/>
      <c r="Q56" s="11"/>
      <c r="R56" s="13"/>
      <c r="S56" s="11"/>
      <c r="T56" s="11"/>
      <c r="U56" s="11"/>
      <c r="V56" s="11"/>
      <c r="W56" s="11"/>
      <c r="X56" s="11"/>
      <c r="Y56" s="11"/>
    </row>
    <row r="57" ht="21.0" customHeight="1">
      <c r="A57" s="1"/>
      <c r="B57" s="14"/>
      <c r="N57" s="11"/>
      <c r="O57" s="11"/>
      <c r="P57" s="11"/>
      <c r="Q57" s="11"/>
      <c r="R57" s="13"/>
      <c r="S57" s="11"/>
      <c r="T57" s="11"/>
      <c r="U57" s="11"/>
      <c r="V57" s="11"/>
      <c r="W57" s="11"/>
      <c r="X57" s="11"/>
      <c r="Y57" s="11"/>
    </row>
    <row r="58" ht="15.0" customHeight="1">
      <c r="A58" s="1"/>
      <c r="B58" s="14"/>
      <c r="C58" s="19" t="s">
        <v>33</v>
      </c>
      <c r="N58" s="11"/>
      <c r="O58" s="11"/>
      <c r="P58" s="11"/>
      <c r="Q58" s="11"/>
      <c r="R58" s="13"/>
      <c r="S58" s="11"/>
      <c r="T58" s="11"/>
      <c r="U58" s="11"/>
      <c r="V58" s="11"/>
      <c r="W58" s="11"/>
      <c r="X58" s="11"/>
      <c r="Y58" s="11"/>
    </row>
    <row r="59" ht="25.5" customHeight="1">
      <c r="A59" s="1"/>
      <c r="B59" s="14"/>
      <c r="C59" s="24" t="s">
        <v>34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1"/>
      <c r="O59" s="11"/>
      <c r="P59" s="11"/>
      <c r="Q59" s="11"/>
      <c r="R59" s="13"/>
      <c r="S59" s="11"/>
      <c r="T59" s="11"/>
      <c r="U59" s="11"/>
      <c r="V59" s="11"/>
      <c r="W59" s="11"/>
      <c r="X59" s="11"/>
      <c r="Y59" s="11"/>
    </row>
    <row r="60" ht="17.25" customHeight="1">
      <c r="A60" s="1"/>
      <c r="B60" s="14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S60" s="11"/>
      <c r="T60" s="11"/>
      <c r="U60" s="11"/>
      <c r="V60" s="11"/>
      <c r="W60" s="11"/>
      <c r="X60" s="11"/>
      <c r="Y60" s="11"/>
    </row>
    <row r="61" ht="15.75" customHeight="1">
      <c r="A61" s="1"/>
      <c r="B61" s="14"/>
      <c r="C61" s="16" t="s">
        <v>35</v>
      </c>
      <c r="D61" s="17"/>
      <c r="E61" s="18" t="s">
        <v>36</v>
      </c>
      <c r="N61" s="11"/>
      <c r="O61" s="11"/>
      <c r="P61" s="11"/>
      <c r="Q61" s="11"/>
      <c r="R61" s="13"/>
      <c r="S61" s="11"/>
      <c r="T61" s="11"/>
      <c r="U61" s="11"/>
      <c r="V61" s="11"/>
      <c r="W61" s="11"/>
      <c r="X61" s="11"/>
      <c r="Y61" s="11"/>
    </row>
    <row r="62" ht="14.25" customHeight="1">
      <c r="A62" s="1"/>
      <c r="B62" s="14"/>
      <c r="C62" s="19" t="s">
        <v>29</v>
      </c>
      <c r="N62" s="11"/>
      <c r="O62" s="11"/>
      <c r="P62" s="11"/>
      <c r="Q62" s="11"/>
      <c r="R62" s="13"/>
      <c r="S62" s="11"/>
      <c r="T62" s="11"/>
      <c r="U62" s="11"/>
      <c r="V62" s="11"/>
      <c r="W62" s="11"/>
      <c r="X62" s="11"/>
      <c r="Y62" s="11"/>
    </row>
    <row r="63" ht="14.25" customHeight="1">
      <c r="A63" s="1"/>
      <c r="B63" s="14"/>
      <c r="N63" s="11"/>
      <c r="O63" s="11"/>
      <c r="P63" s="11"/>
      <c r="Q63" s="11"/>
      <c r="R63" s="13"/>
      <c r="S63" s="11"/>
      <c r="T63" s="11"/>
      <c r="U63" s="11"/>
      <c r="V63" s="11"/>
      <c r="W63" s="11"/>
      <c r="X63" s="11"/>
      <c r="Y63" s="11"/>
    </row>
    <row r="64" ht="15.75" customHeight="1">
      <c r="A64" s="1"/>
      <c r="B64" s="14"/>
      <c r="N64" s="11"/>
      <c r="O64" s="11"/>
      <c r="P64" s="11"/>
      <c r="Q64" s="11"/>
      <c r="R64" s="13"/>
      <c r="S64" s="11"/>
      <c r="T64" s="11"/>
      <c r="U64" s="11"/>
      <c r="V64" s="11"/>
      <c r="W64" s="11"/>
      <c r="X64" s="11"/>
      <c r="Y64" s="11"/>
    </row>
    <row r="65" ht="15.75" customHeight="1">
      <c r="A65" s="1"/>
      <c r="B65" s="14"/>
      <c r="C65" s="16" t="s">
        <v>37</v>
      </c>
      <c r="D65" s="17"/>
      <c r="E65" s="18" t="s">
        <v>38</v>
      </c>
      <c r="N65" s="11"/>
      <c r="O65" s="11"/>
      <c r="P65" s="11"/>
      <c r="Q65" s="11"/>
      <c r="R65" s="13"/>
      <c r="S65" s="11"/>
      <c r="T65" s="11"/>
      <c r="U65" s="11"/>
      <c r="V65" s="11"/>
      <c r="W65" s="11"/>
      <c r="X65" s="11"/>
      <c r="Y65" s="11"/>
    </row>
    <row r="66" ht="46.5" customHeight="1">
      <c r="A66" s="1"/>
      <c r="B66" s="14"/>
      <c r="C66" s="19" t="s">
        <v>39</v>
      </c>
      <c r="N66" s="11"/>
      <c r="O66" s="11"/>
      <c r="P66" s="11"/>
      <c r="Q66" s="11"/>
      <c r="R66" s="13"/>
      <c r="S66" s="11"/>
      <c r="T66" s="11"/>
      <c r="U66" s="11"/>
      <c r="V66" s="11"/>
      <c r="W66" s="11"/>
      <c r="X66" s="11"/>
      <c r="Y66" s="11"/>
    </row>
    <row r="67" ht="14.25" customHeight="1">
      <c r="A67" s="1"/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8"/>
      <c r="O67" s="28"/>
      <c r="P67" s="28"/>
      <c r="Q67" s="28"/>
      <c r="R67" s="29"/>
      <c r="S67" s="11"/>
      <c r="T67" s="11"/>
      <c r="U67" s="11"/>
      <c r="V67" s="11"/>
      <c r="W67" s="11"/>
      <c r="X67" s="11"/>
      <c r="Y67" s="11"/>
    </row>
    <row r="68" ht="14.25" customHeight="1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"/>
      <c r="B69" s="11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37.5" customHeight="1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C1:M2"/>
    <mergeCell ref="C3:O3"/>
    <mergeCell ref="B4:M4"/>
    <mergeCell ref="E6:H6"/>
    <mergeCell ref="C7:M8"/>
    <mergeCell ref="C9:M9"/>
    <mergeCell ref="C10:M10"/>
    <mergeCell ref="E11:H11"/>
    <mergeCell ref="I11:K11"/>
    <mergeCell ref="C12:M13"/>
    <mergeCell ref="C14:M14"/>
    <mergeCell ref="C15:M15"/>
    <mergeCell ref="C17:M18"/>
    <mergeCell ref="E20:M20"/>
    <mergeCell ref="C22:M23"/>
    <mergeCell ref="E25:M25"/>
    <mergeCell ref="C26:M26"/>
    <mergeCell ref="C32:M34"/>
    <mergeCell ref="E37:M37"/>
    <mergeCell ref="E42:M42"/>
    <mergeCell ref="C43:M44"/>
    <mergeCell ref="C51:D51"/>
    <mergeCell ref="C55:D55"/>
    <mergeCell ref="C61:D61"/>
    <mergeCell ref="C65:D65"/>
    <mergeCell ref="C6:D6"/>
    <mergeCell ref="C11:D11"/>
    <mergeCell ref="C20:D20"/>
    <mergeCell ref="C25:D25"/>
    <mergeCell ref="C37:D37"/>
    <mergeCell ref="C42:D42"/>
    <mergeCell ref="C45:D45"/>
    <mergeCell ref="E61:M61"/>
    <mergeCell ref="C62:M64"/>
    <mergeCell ref="E65:M65"/>
    <mergeCell ref="C66:M67"/>
    <mergeCell ref="E45:M45"/>
    <mergeCell ref="C46:M47"/>
    <mergeCell ref="E51:M51"/>
    <mergeCell ref="C52:M54"/>
    <mergeCell ref="E55:M55"/>
    <mergeCell ref="C56:M57"/>
    <mergeCell ref="C58:M58"/>
  </mergeCells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69.86"/>
    <col customWidth="1" min="4" max="6" width="25.71"/>
    <col customWidth="1" min="7" max="7" width="24.43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  <col customWidth="1" min="47" max="52" width="14.43"/>
  </cols>
  <sheetData>
    <row r="1" ht="24.0" customHeight="1">
      <c r="A1" s="30"/>
      <c r="B1" s="30"/>
      <c r="C1" s="31"/>
      <c r="D1" s="32"/>
      <c r="E1" s="32"/>
      <c r="F1" s="32"/>
      <c r="G1" s="32"/>
      <c r="H1" s="33"/>
      <c r="I1" s="33"/>
      <c r="J1" s="33"/>
      <c r="K1" s="33"/>
      <c r="L1" s="33"/>
      <c r="M1" s="30"/>
      <c r="N1" s="30"/>
      <c r="O1" s="30"/>
      <c r="P1" s="30"/>
      <c r="Q1" s="30"/>
      <c r="R1" s="30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0"/>
      <c r="AV1" s="30"/>
      <c r="AW1" s="30"/>
      <c r="AX1" s="30"/>
      <c r="AY1" s="30"/>
      <c r="AZ1" s="30"/>
    </row>
    <row r="2" ht="39.0" customHeight="1">
      <c r="A2" s="35"/>
      <c r="B2" s="30"/>
      <c r="C2" s="36"/>
      <c r="D2" s="37"/>
      <c r="E2" s="37"/>
      <c r="F2" s="37"/>
      <c r="G2" s="37"/>
      <c r="H2" s="38"/>
      <c r="I2" s="38"/>
      <c r="J2" s="38"/>
      <c r="K2" s="38"/>
      <c r="L2" s="38"/>
      <c r="M2" s="30"/>
      <c r="N2" s="30"/>
      <c r="O2" s="30"/>
      <c r="P2" s="30"/>
      <c r="Q2" s="30"/>
      <c r="R2" s="3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0"/>
      <c r="AV2" s="30"/>
      <c r="AW2" s="30"/>
      <c r="AX2" s="30"/>
      <c r="AY2" s="30"/>
      <c r="AZ2" s="30"/>
    </row>
    <row r="3" ht="49.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0"/>
      <c r="AV3" s="30"/>
      <c r="AW3" s="30"/>
      <c r="AX3" s="30"/>
      <c r="AY3" s="30"/>
      <c r="AZ3" s="30"/>
    </row>
    <row r="4" ht="27.0" customHeight="1">
      <c r="A4" s="30"/>
      <c r="B4" s="39"/>
      <c r="C4" s="40" t="s">
        <v>40</v>
      </c>
      <c r="D4" s="41" t="s">
        <v>41</v>
      </c>
      <c r="E4" s="41" t="s">
        <v>42</v>
      </c>
      <c r="F4" s="41" t="s">
        <v>43</v>
      </c>
      <c r="G4" s="42" t="s">
        <v>44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3">
        <v>1.0</v>
      </c>
      <c r="T4" s="43">
        <v>1.0</v>
      </c>
      <c r="U4" s="43">
        <v>1.0</v>
      </c>
      <c r="V4" s="43">
        <v>1.0</v>
      </c>
      <c r="W4" s="43">
        <v>2.0</v>
      </c>
      <c r="X4" s="43">
        <v>2.0</v>
      </c>
      <c r="Y4" s="43">
        <v>2.0</v>
      </c>
      <c r="Z4" s="43">
        <v>2.0</v>
      </c>
      <c r="AA4" s="43">
        <v>2.0</v>
      </c>
      <c r="AB4" s="43">
        <v>2.0</v>
      </c>
      <c r="AC4" s="43">
        <v>2.0</v>
      </c>
      <c r="AD4" s="43">
        <v>2.0</v>
      </c>
      <c r="AE4" s="43">
        <v>2.0</v>
      </c>
      <c r="AF4" s="43">
        <v>2.0</v>
      </c>
      <c r="AG4" s="43">
        <v>2.0</v>
      </c>
      <c r="AH4" s="43">
        <v>2.0</v>
      </c>
      <c r="AI4" s="43">
        <v>3.0</v>
      </c>
      <c r="AJ4" s="43">
        <v>3.0</v>
      </c>
      <c r="AK4" s="43">
        <v>3.0</v>
      </c>
      <c r="AL4" s="43">
        <v>3.0</v>
      </c>
      <c r="AM4" s="43">
        <v>3.0</v>
      </c>
      <c r="AN4" s="43">
        <v>3.0</v>
      </c>
      <c r="AO4" s="43">
        <v>3.0</v>
      </c>
      <c r="AP4" s="43">
        <v>3.0</v>
      </c>
      <c r="AQ4" s="43">
        <v>3.0</v>
      </c>
      <c r="AR4" s="43">
        <v>3.0</v>
      </c>
      <c r="AS4" s="43">
        <v>3.0</v>
      </c>
      <c r="AT4" s="43">
        <v>3.0</v>
      </c>
      <c r="AU4" s="30"/>
      <c r="AV4" s="30"/>
      <c r="AW4" s="30"/>
      <c r="AX4" s="30"/>
      <c r="AY4" s="30"/>
      <c r="AZ4" s="30"/>
    </row>
    <row r="5" ht="29.25" customHeight="1">
      <c r="A5" s="30"/>
      <c r="B5" s="30"/>
      <c r="C5" s="44" t="s">
        <v>45</v>
      </c>
      <c r="D5" s="45" t="s">
        <v>46</v>
      </c>
      <c r="E5" s="46" t="s">
        <v>47</v>
      </c>
      <c r="F5" s="47" t="s">
        <v>48</v>
      </c>
      <c r="G5" s="47" t="s">
        <v>49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0"/>
      <c r="AV5" s="30"/>
      <c r="AW5" s="30"/>
      <c r="AX5" s="30"/>
      <c r="AY5" s="30"/>
      <c r="AZ5" s="30"/>
    </row>
    <row r="6" ht="20.25" customHeight="1">
      <c r="A6" s="30"/>
      <c r="B6" s="30"/>
      <c r="C6" s="48" t="s">
        <v>50</v>
      </c>
      <c r="D6" s="49" t="s">
        <v>51</v>
      </c>
      <c r="E6" s="49" t="s">
        <v>52</v>
      </c>
      <c r="F6" s="50" t="s">
        <v>53</v>
      </c>
      <c r="G6" s="51">
        <f t="shared" ref="G6:G24" si="1">IF(ISERROR(VLOOKUP(D6,$I$7:$J$11,2,FALSE)*VLOOKUP(E6,$I$15:$J$19,2,FALSE)*VLOOKUP(F6,$I$23:$J$27,2,FALSE)),"",VLOOKUP(D6,$I$7:$J$11,2,FALSE)*VLOOKUP(E6,$I$15:$J$19,2,FALSE)*VLOOKUP(F6,$I$23:$J$27,2,FALSE))</f>
        <v>30</v>
      </c>
      <c r="H6" s="30" t="s">
        <v>41</v>
      </c>
      <c r="I6" s="34"/>
      <c r="J6" s="34"/>
      <c r="K6" s="34">
        <v>2.0E-4</v>
      </c>
      <c r="L6" s="52">
        <f>IF(G6="","",G6+K6)</f>
        <v>30.0002</v>
      </c>
      <c r="M6" s="53" t="str">
        <f>IF(C6=0,"",C6)</f>
        <v>dasd</v>
      </c>
      <c r="N6" s="52">
        <f>G6</f>
        <v>30</v>
      </c>
      <c r="O6" s="54"/>
      <c r="P6" s="30"/>
      <c r="Q6" s="30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0"/>
      <c r="AU6" s="30"/>
      <c r="AV6" s="30"/>
      <c r="AW6" s="30"/>
      <c r="AX6" s="30"/>
      <c r="AY6" s="30"/>
    </row>
    <row r="7" ht="20.25" customHeight="1">
      <c r="A7" s="30"/>
      <c r="B7" s="30"/>
      <c r="C7" s="55"/>
      <c r="D7" s="56"/>
      <c r="E7" s="56"/>
      <c r="F7" s="57"/>
      <c r="G7" s="51" t="str">
        <f t="shared" si="1"/>
        <v/>
      </c>
      <c r="H7" s="58"/>
      <c r="I7" s="30" t="s">
        <v>54</v>
      </c>
      <c r="J7" s="59">
        <v>1.0</v>
      </c>
      <c r="K7" s="34"/>
      <c r="L7" s="34">
        <v>1.8E-4</v>
      </c>
      <c r="M7" s="52" t="str">
        <f t="shared" ref="M7:M24" si="2">IF(G7="","",G7+L7)</f>
        <v/>
      </c>
      <c r="N7" s="53" t="str">
        <f t="shared" ref="N7:N24" si="3">IF(C7=0,"",C7)</f>
        <v/>
      </c>
      <c r="O7" s="52" t="str">
        <f t="shared" ref="O7:O24" si="4">G7</f>
        <v/>
      </c>
      <c r="P7" s="54"/>
      <c r="Q7" s="30"/>
      <c r="R7" s="30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0"/>
      <c r="AV7" s="30"/>
      <c r="AW7" s="30"/>
      <c r="AX7" s="30"/>
      <c r="AY7" s="30"/>
      <c r="AZ7" s="30"/>
    </row>
    <row r="8" ht="20.25" customHeight="1">
      <c r="A8" s="30"/>
      <c r="B8" s="30"/>
      <c r="C8" s="55"/>
      <c r="D8" s="56"/>
      <c r="E8" s="56"/>
      <c r="F8" s="57"/>
      <c r="G8" s="51" t="str">
        <f t="shared" si="1"/>
        <v/>
      </c>
      <c r="H8" s="30"/>
      <c r="I8" s="30" t="s">
        <v>51</v>
      </c>
      <c r="J8" s="59">
        <v>2.0</v>
      </c>
      <c r="K8" s="34"/>
      <c r="L8" s="34">
        <v>1.7E-4</v>
      </c>
      <c r="M8" s="52" t="str">
        <f t="shared" si="2"/>
        <v/>
      </c>
      <c r="N8" s="53" t="str">
        <f t="shared" si="3"/>
        <v/>
      </c>
      <c r="O8" s="52" t="str">
        <f t="shared" si="4"/>
        <v/>
      </c>
      <c r="P8" s="54"/>
      <c r="Q8" s="30"/>
      <c r="R8" s="30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0"/>
      <c r="AV8" s="30"/>
      <c r="AW8" s="30"/>
      <c r="AX8" s="30"/>
      <c r="AY8" s="30"/>
      <c r="AZ8" s="30"/>
    </row>
    <row r="9" ht="20.25" customHeight="1">
      <c r="A9" s="30"/>
      <c r="B9" s="30"/>
      <c r="C9" s="55"/>
      <c r="D9" s="56"/>
      <c r="E9" s="56"/>
      <c r="F9" s="57"/>
      <c r="G9" s="51" t="str">
        <f t="shared" si="1"/>
        <v/>
      </c>
      <c r="H9" s="30"/>
      <c r="I9" s="30" t="s">
        <v>55</v>
      </c>
      <c r="J9" s="59">
        <v>3.0</v>
      </c>
      <c r="K9" s="34"/>
      <c r="L9" s="34">
        <v>1.6E-4</v>
      </c>
      <c r="M9" s="34" t="str">
        <f t="shared" si="2"/>
        <v/>
      </c>
      <c r="N9" s="34" t="str">
        <f t="shared" si="3"/>
        <v/>
      </c>
      <c r="O9" s="52" t="str">
        <f t="shared" si="4"/>
        <v/>
      </c>
      <c r="P9" s="54"/>
      <c r="Q9" s="30"/>
      <c r="R9" s="30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0"/>
      <c r="AV9" s="30"/>
      <c r="AW9" s="30"/>
      <c r="AX9" s="30"/>
      <c r="AY9" s="30"/>
      <c r="AZ9" s="30"/>
    </row>
    <row r="10" ht="20.25" customHeight="1">
      <c r="A10" s="30"/>
      <c r="B10" s="30"/>
      <c r="C10" s="55"/>
      <c r="D10" s="56"/>
      <c r="E10" s="56"/>
      <c r="F10" s="57"/>
      <c r="G10" s="51" t="str">
        <f t="shared" si="1"/>
        <v/>
      </c>
      <c r="H10" s="30"/>
      <c r="I10" s="30" t="s">
        <v>56</v>
      </c>
      <c r="J10" s="59">
        <v>4.0</v>
      </c>
      <c r="K10" s="34"/>
      <c r="L10" s="34">
        <v>1.5E-4</v>
      </c>
      <c r="M10" s="34" t="str">
        <f t="shared" si="2"/>
        <v/>
      </c>
      <c r="N10" s="34" t="str">
        <f t="shared" si="3"/>
        <v/>
      </c>
      <c r="O10" s="52" t="str">
        <f t="shared" si="4"/>
        <v/>
      </c>
      <c r="P10" s="54"/>
      <c r="Q10" s="30"/>
      <c r="R10" s="30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0"/>
      <c r="AV10" s="30"/>
      <c r="AW10" s="30"/>
      <c r="AX10" s="30"/>
      <c r="AY10" s="30"/>
      <c r="AZ10" s="30"/>
    </row>
    <row r="11" ht="20.25" customHeight="1">
      <c r="A11" s="30"/>
      <c r="B11" s="30"/>
      <c r="C11" s="55"/>
      <c r="D11" s="56"/>
      <c r="E11" s="56"/>
      <c r="F11" s="57"/>
      <c r="G11" s="51" t="str">
        <f t="shared" si="1"/>
        <v/>
      </c>
      <c r="H11" s="30"/>
      <c r="I11" s="30" t="s">
        <v>57</v>
      </c>
      <c r="J11" s="59">
        <v>5.0</v>
      </c>
      <c r="K11" s="34"/>
      <c r="L11" s="34">
        <v>1.4E-4</v>
      </c>
      <c r="M11" s="34" t="str">
        <f t="shared" si="2"/>
        <v/>
      </c>
      <c r="N11" s="34" t="str">
        <f t="shared" si="3"/>
        <v/>
      </c>
      <c r="O11" s="52" t="str">
        <f t="shared" si="4"/>
        <v/>
      </c>
      <c r="P11" s="54"/>
      <c r="Q11" s="30"/>
      <c r="R11" s="30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0"/>
      <c r="AV11" s="30"/>
      <c r="AW11" s="30"/>
      <c r="AX11" s="30"/>
      <c r="AY11" s="30"/>
      <c r="AZ11" s="30"/>
    </row>
    <row r="12" ht="20.25" customHeight="1">
      <c r="A12" s="30"/>
      <c r="B12" s="30"/>
      <c r="C12" s="55"/>
      <c r="D12" s="56"/>
      <c r="E12" s="56"/>
      <c r="F12" s="57"/>
      <c r="G12" s="51" t="str">
        <f t="shared" si="1"/>
        <v/>
      </c>
      <c r="H12" s="30"/>
      <c r="I12" s="30"/>
      <c r="J12" s="34"/>
      <c r="K12" s="34"/>
      <c r="L12" s="34">
        <v>1.3E-4</v>
      </c>
      <c r="M12" s="34" t="str">
        <f t="shared" si="2"/>
        <v/>
      </c>
      <c r="N12" s="34" t="str">
        <f t="shared" si="3"/>
        <v/>
      </c>
      <c r="O12" s="52" t="str">
        <f t="shared" si="4"/>
        <v/>
      </c>
      <c r="P12" s="54"/>
      <c r="Q12" s="30"/>
      <c r="R12" s="30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0"/>
      <c r="AV12" s="30"/>
      <c r="AW12" s="30"/>
      <c r="AX12" s="30"/>
      <c r="AY12" s="30"/>
      <c r="AZ12" s="30"/>
    </row>
    <row r="13" ht="20.25" customHeight="1">
      <c r="A13" s="60"/>
      <c r="B13" s="30"/>
      <c r="C13" s="55"/>
      <c r="D13" s="56"/>
      <c r="E13" s="56"/>
      <c r="F13" s="57"/>
      <c r="G13" s="51" t="str">
        <f t="shared" si="1"/>
        <v/>
      </c>
      <c r="H13" s="30"/>
      <c r="I13" s="30" t="s">
        <v>42</v>
      </c>
      <c r="J13" s="34"/>
      <c r="K13" s="34"/>
      <c r="L13" s="34">
        <v>1.2E-4</v>
      </c>
      <c r="M13" s="34" t="str">
        <f t="shared" si="2"/>
        <v/>
      </c>
      <c r="N13" s="34" t="str">
        <f t="shared" si="3"/>
        <v/>
      </c>
      <c r="O13" s="52" t="str">
        <f t="shared" si="4"/>
        <v/>
      </c>
      <c r="P13" s="54"/>
      <c r="Q13" s="30"/>
      <c r="R13" s="30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0"/>
      <c r="AV13" s="30"/>
      <c r="AW13" s="30"/>
      <c r="AX13" s="30"/>
      <c r="AY13" s="30"/>
      <c r="AZ13" s="30"/>
    </row>
    <row r="14" ht="20.25" customHeight="1">
      <c r="A14" s="60"/>
      <c r="B14" s="30"/>
      <c r="C14" s="55"/>
      <c r="D14" s="56"/>
      <c r="E14" s="56"/>
      <c r="F14" s="57"/>
      <c r="G14" s="51" t="str">
        <f t="shared" si="1"/>
        <v/>
      </c>
      <c r="H14" s="30"/>
      <c r="I14" s="61"/>
      <c r="J14" s="34"/>
      <c r="K14" s="34"/>
      <c r="L14" s="34">
        <v>1.1E-4</v>
      </c>
      <c r="M14" s="34" t="str">
        <f t="shared" si="2"/>
        <v/>
      </c>
      <c r="N14" s="34" t="str">
        <f t="shared" si="3"/>
        <v/>
      </c>
      <c r="O14" s="52" t="str">
        <f t="shared" si="4"/>
        <v/>
      </c>
      <c r="P14" s="54"/>
      <c r="Q14" s="30"/>
      <c r="R14" s="30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0"/>
      <c r="AV14" s="30"/>
      <c r="AW14" s="30"/>
      <c r="AX14" s="30"/>
      <c r="AY14" s="30"/>
      <c r="AZ14" s="30"/>
    </row>
    <row r="15" ht="20.25" customHeight="1">
      <c r="A15" s="30"/>
      <c r="B15" s="30"/>
      <c r="C15" s="55"/>
      <c r="D15" s="56"/>
      <c r="E15" s="56"/>
      <c r="F15" s="57"/>
      <c r="G15" s="51" t="str">
        <f t="shared" si="1"/>
        <v/>
      </c>
      <c r="H15" s="30"/>
      <c r="I15" s="30" t="s">
        <v>58</v>
      </c>
      <c r="J15" s="59">
        <v>5.0</v>
      </c>
      <c r="K15" s="34"/>
      <c r="L15" s="34">
        <v>1.0E-4</v>
      </c>
      <c r="M15" s="34" t="str">
        <f t="shared" si="2"/>
        <v/>
      </c>
      <c r="N15" s="34" t="str">
        <f t="shared" si="3"/>
        <v/>
      </c>
      <c r="O15" s="52" t="str">
        <f t="shared" si="4"/>
        <v/>
      </c>
      <c r="P15" s="54"/>
      <c r="Q15" s="30"/>
      <c r="R15" s="30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0"/>
      <c r="AV15" s="30"/>
      <c r="AW15" s="30"/>
      <c r="AX15" s="30"/>
      <c r="AY15" s="30"/>
      <c r="AZ15" s="30"/>
    </row>
    <row r="16" ht="20.25" customHeight="1">
      <c r="A16" s="30"/>
      <c r="B16" s="30"/>
      <c r="C16" s="55"/>
      <c r="D16" s="56"/>
      <c r="E16" s="56"/>
      <c r="F16" s="57"/>
      <c r="G16" s="51" t="str">
        <f t="shared" si="1"/>
        <v/>
      </c>
      <c r="H16" s="30"/>
      <c r="I16" s="30" t="s">
        <v>59</v>
      </c>
      <c r="J16" s="59">
        <v>4.0</v>
      </c>
      <c r="K16" s="34"/>
      <c r="L16" s="34">
        <v>9.0E-5</v>
      </c>
      <c r="M16" s="34" t="str">
        <f t="shared" si="2"/>
        <v/>
      </c>
      <c r="N16" s="34" t="str">
        <f t="shared" si="3"/>
        <v/>
      </c>
      <c r="O16" s="52" t="str">
        <f t="shared" si="4"/>
        <v/>
      </c>
      <c r="P16" s="54"/>
      <c r="Q16" s="30"/>
      <c r="R16" s="30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0"/>
      <c r="AV16" s="30"/>
      <c r="AW16" s="30"/>
      <c r="AX16" s="30"/>
      <c r="AY16" s="30"/>
      <c r="AZ16" s="30"/>
    </row>
    <row r="17" ht="20.25" customHeight="1">
      <c r="A17" s="30"/>
      <c r="B17" s="30"/>
      <c r="C17" s="55"/>
      <c r="D17" s="56"/>
      <c r="E17" s="56"/>
      <c r="F17" s="57"/>
      <c r="G17" s="51" t="str">
        <f t="shared" si="1"/>
        <v/>
      </c>
      <c r="H17" s="30"/>
      <c r="I17" s="30" t="s">
        <v>52</v>
      </c>
      <c r="J17" s="59">
        <v>3.0</v>
      </c>
      <c r="K17" s="34"/>
      <c r="L17" s="34">
        <v>8.0E-5</v>
      </c>
      <c r="M17" s="34" t="str">
        <f t="shared" si="2"/>
        <v/>
      </c>
      <c r="N17" s="34" t="str">
        <f t="shared" si="3"/>
        <v/>
      </c>
      <c r="O17" s="52" t="str">
        <f t="shared" si="4"/>
        <v/>
      </c>
      <c r="P17" s="54"/>
      <c r="Q17" s="30"/>
      <c r="R17" s="30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0"/>
      <c r="AV17" s="30"/>
      <c r="AW17" s="30"/>
      <c r="AX17" s="30"/>
      <c r="AY17" s="30"/>
      <c r="AZ17" s="30"/>
    </row>
    <row r="18" ht="20.25" customHeight="1">
      <c r="A18" s="30"/>
      <c r="B18" s="30"/>
      <c r="C18" s="55"/>
      <c r="D18" s="56"/>
      <c r="E18" s="56"/>
      <c r="F18" s="57"/>
      <c r="G18" s="51" t="str">
        <f t="shared" si="1"/>
        <v/>
      </c>
      <c r="H18" s="30"/>
      <c r="I18" s="30" t="s">
        <v>60</v>
      </c>
      <c r="J18" s="59">
        <v>2.0</v>
      </c>
      <c r="K18" s="34"/>
      <c r="L18" s="34">
        <v>7.0E-5</v>
      </c>
      <c r="M18" s="34" t="str">
        <f t="shared" si="2"/>
        <v/>
      </c>
      <c r="N18" s="34" t="str">
        <f t="shared" si="3"/>
        <v/>
      </c>
      <c r="O18" s="52" t="str">
        <f t="shared" si="4"/>
        <v/>
      </c>
      <c r="P18" s="54"/>
      <c r="Q18" s="30"/>
      <c r="R18" s="30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0"/>
      <c r="AV18" s="30"/>
      <c r="AW18" s="30"/>
      <c r="AX18" s="30"/>
      <c r="AY18" s="30"/>
      <c r="AZ18" s="30"/>
    </row>
    <row r="19" ht="20.25" customHeight="1">
      <c r="A19" s="30"/>
      <c r="B19" s="30"/>
      <c r="C19" s="55"/>
      <c r="D19" s="56"/>
      <c r="E19" s="56"/>
      <c r="F19" s="57"/>
      <c r="G19" s="51" t="str">
        <f t="shared" si="1"/>
        <v/>
      </c>
      <c r="H19" s="30"/>
      <c r="I19" s="30" t="s">
        <v>61</v>
      </c>
      <c r="J19" s="59">
        <v>1.0</v>
      </c>
      <c r="K19" s="34"/>
      <c r="L19" s="34">
        <v>6.0E-5</v>
      </c>
      <c r="M19" s="34" t="str">
        <f t="shared" si="2"/>
        <v/>
      </c>
      <c r="N19" s="34" t="str">
        <f t="shared" si="3"/>
        <v/>
      </c>
      <c r="O19" s="52" t="str">
        <f t="shared" si="4"/>
        <v/>
      </c>
      <c r="P19" s="54"/>
      <c r="Q19" s="30"/>
      <c r="R19" s="30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0"/>
      <c r="AV19" s="30"/>
      <c r="AW19" s="30"/>
      <c r="AX19" s="30"/>
      <c r="AY19" s="30"/>
      <c r="AZ19" s="30"/>
    </row>
    <row r="20" ht="20.25" customHeight="1">
      <c r="A20" s="30"/>
      <c r="B20" s="30"/>
      <c r="C20" s="55"/>
      <c r="D20" s="56"/>
      <c r="E20" s="56"/>
      <c r="F20" s="57"/>
      <c r="G20" s="51" t="str">
        <f t="shared" si="1"/>
        <v/>
      </c>
      <c r="H20" s="30"/>
      <c r="I20" s="30"/>
      <c r="J20" s="34"/>
      <c r="K20" s="34"/>
      <c r="L20" s="34">
        <v>5.0E-5</v>
      </c>
      <c r="M20" s="34" t="str">
        <f t="shared" si="2"/>
        <v/>
      </c>
      <c r="N20" s="34" t="str">
        <f t="shared" si="3"/>
        <v/>
      </c>
      <c r="O20" s="52" t="str">
        <f t="shared" si="4"/>
        <v/>
      </c>
      <c r="P20" s="54"/>
      <c r="Q20" s="30"/>
      <c r="R20" s="30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0"/>
      <c r="AV20" s="30"/>
      <c r="AW20" s="30"/>
      <c r="AX20" s="30"/>
      <c r="AY20" s="30"/>
      <c r="AZ20" s="30"/>
    </row>
    <row r="21" ht="20.25" customHeight="1">
      <c r="A21" s="30"/>
      <c r="B21" s="30"/>
      <c r="C21" s="55"/>
      <c r="D21" s="56"/>
      <c r="E21" s="56"/>
      <c r="F21" s="57"/>
      <c r="G21" s="51" t="str">
        <f t="shared" si="1"/>
        <v/>
      </c>
      <c r="H21" s="30"/>
      <c r="I21" s="30" t="s">
        <v>43</v>
      </c>
      <c r="J21" s="34"/>
      <c r="K21" s="34"/>
      <c r="L21" s="34">
        <v>4.0E-5</v>
      </c>
      <c r="M21" s="34" t="str">
        <f t="shared" si="2"/>
        <v/>
      </c>
      <c r="N21" s="34" t="str">
        <f t="shared" si="3"/>
        <v/>
      </c>
      <c r="O21" s="52" t="str">
        <f t="shared" si="4"/>
        <v/>
      </c>
      <c r="P21" s="54"/>
      <c r="Q21" s="30"/>
      <c r="R21" s="30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0"/>
      <c r="AV21" s="30"/>
      <c r="AW21" s="30"/>
      <c r="AX21" s="30"/>
      <c r="AY21" s="30"/>
      <c r="AZ21" s="30"/>
    </row>
    <row r="22" ht="20.25" customHeight="1">
      <c r="A22" s="60"/>
      <c r="B22" s="30"/>
      <c r="C22" s="55"/>
      <c r="D22" s="56"/>
      <c r="E22" s="56"/>
      <c r="F22" s="57"/>
      <c r="G22" s="51" t="str">
        <f t="shared" si="1"/>
        <v/>
      </c>
      <c r="H22" s="30"/>
      <c r="I22" s="61"/>
      <c r="J22" s="34"/>
      <c r="K22" s="34"/>
      <c r="L22" s="34">
        <v>3.0E-5</v>
      </c>
      <c r="M22" s="34" t="str">
        <f t="shared" si="2"/>
        <v/>
      </c>
      <c r="N22" s="34" t="str">
        <f t="shared" si="3"/>
        <v/>
      </c>
      <c r="O22" s="52" t="str">
        <f t="shared" si="4"/>
        <v/>
      </c>
      <c r="P22" s="54"/>
      <c r="Q22" s="30"/>
      <c r="R22" s="30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0"/>
      <c r="AV22" s="30"/>
      <c r="AW22" s="30"/>
      <c r="AX22" s="30"/>
      <c r="AY22" s="30"/>
      <c r="AZ22" s="30"/>
    </row>
    <row r="23" ht="20.25" customHeight="1">
      <c r="A23" s="60"/>
      <c r="B23" s="30"/>
      <c r="C23" s="55"/>
      <c r="D23" s="56"/>
      <c r="E23" s="56"/>
      <c r="F23" s="57"/>
      <c r="G23" s="51" t="str">
        <f t="shared" si="1"/>
        <v/>
      </c>
      <c r="H23" s="30"/>
      <c r="I23" s="30" t="s">
        <v>53</v>
      </c>
      <c r="J23" s="59">
        <v>5.0</v>
      </c>
      <c r="K23" s="34"/>
      <c r="L23" s="34">
        <v>2.0E-5</v>
      </c>
      <c r="M23" s="34" t="str">
        <f t="shared" si="2"/>
        <v/>
      </c>
      <c r="N23" s="34" t="str">
        <f t="shared" si="3"/>
        <v/>
      </c>
      <c r="O23" s="52" t="str">
        <f t="shared" si="4"/>
        <v/>
      </c>
      <c r="P23" s="54"/>
      <c r="Q23" s="30"/>
      <c r="R23" s="30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0"/>
      <c r="AV23" s="30"/>
      <c r="AW23" s="30"/>
      <c r="AX23" s="30"/>
      <c r="AY23" s="30"/>
      <c r="AZ23" s="30"/>
    </row>
    <row r="24" ht="20.25" customHeight="1">
      <c r="A24" s="30"/>
      <c r="B24" s="30"/>
      <c r="C24" s="55"/>
      <c r="D24" s="56"/>
      <c r="E24" s="56"/>
      <c r="F24" s="57"/>
      <c r="G24" s="51" t="str">
        <f t="shared" si="1"/>
        <v/>
      </c>
      <c r="H24" s="30"/>
      <c r="I24" s="30" t="s">
        <v>62</v>
      </c>
      <c r="J24" s="59">
        <v>4.0</v>
      </c>
      <c r="K24" s="34"/>
      <c r="L24" s="34">
        <v>1.0E-5</v>
      </c>
      <c r="M24" s="34" t="str">
        <f t="shared" si="2"/>
        <v/>
      </c>
      <c r="N24" s="34" t="str">
        <f t="shared" si="3"/>
        <v/>
      </c>
      <c r="O24" s="52" t="str">
        <f t="shared" si="4"/>
        <v/>
      </c>
      <c r="P24" s="54"/>
      <c r="Q24" s="30"/>
      <c r="R24" s="30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0"/>
      <c r="AV24" s="30"/>
      <c r="AW24" s="30"/>
      <c r="AX24" s="30"/>
      <c r="AY24" s="30"/>
      <c r="AZ24" s="30"/>
    </row>
    <row r="25" ht="20.25" customHeight="1">
      <c r="A25" s="30"/>
      <c r="B25" s="30"/>
      <c r="C25" s="62" t="s">
        <v>63</v>
      </c>
      <c r="D25" s="63"/>
      <c r="E25" s="63"/>
      <c r="F25" s="64" t="s">
        <v>64</v>
      </c>
      <c r="G25" s="65">
        <f>SUM(G6:G24)</f>
        <v>30</v>
      </c>
      <c r="H25" s="30"/>
      <c r="I25" s="30" t="s">
        <v>65</v>
      </c>
      <c r="J25" s="59">
        <v>3.0</v>
      </c>
      <c r="K25" s="34"/>
      <c r="L25" s="34"/>
      <c r="M25" s="34"/>
      <c r="N25" s="34"/>
      <c r="O25" s="52"/>
      <c r="P25" s="54"/>
      <c r="Q25" s="30"/>
      <c r="R25" s="30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0"/>
      <c r="AV25" s="30"/>
      <c r="AW25" s="30"/>
      <c r="AX25" s="30"/>
      <c r="AY25" s="30"/>
      <c r="AZ25" s="30"/>
    </row>
    <row r="26" ht="20.25" customHeight="1">
      <c r="A26" s="30"/>
      <c r="B26" s="30"/>
      <c r="C26" s="66"/>
      <c r="H26" s="30"/>
      <c r="I26" s="30" t="s">
        <v>66</v>
      </c>
      <c r="J26" s="59">
        <v>2.0</v>
      </c>
      <c r="K26" s="34"/>
      <c r="L26" s="34"/>
      <c r="M26" s="34"/>
      <c r="N26" s="34"/>
      <c r="O26" s="52"/>
      <c r="P26" s="54"/>
      <c r="Q26" s="30"/>
      <c r="R26" s="30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0"/>
      <c r="AV26" s="30"/>
      <c r="AW26" s="30"/>
      <c r="AX26" s="30"/>
      <c r="AY26" s="30"/>
      <c r="AZ26" s="30"/>
    </row>
    <row r="27" ht="20.25" customHeight="1">
      <c r="A27" s="30"/>
      <c r="B27" s="30"/>
      <c r="C27" s="66"/>
      <c r="H27" s="30"/>
      <c r="I27" s="30" t="s">
        <v>67</v>
      </c>
      <c r="J27" s="59">
        <v>1.0</v>
      </c>
      <c r="K27" s="34"/>
      <c r="L27" s="34"/>
      <c r="M27" s="34"/>
      <c r="N27" s="34"/>
      <c r="O27" s="52"/>
      <c r="P27" s="54"/>
      <c r="Q27" s="30"/>
      <c r="R27" s="30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0"/>
      <c r="AV27" s="30"/>
      <c r="AW27" s="30"/>
      <c r="AX27" s="30"/>
      <c r="AY27" s="30"/>
      <c r="AZ27" s="30"/>
    </row>
    <row r="28" ht="20.25" customHeight="1">
      <c r="A28" s="30"/>
      <c r="B28" s="30"/>
      <c r="C28" s="66"/>
      <c r="H28" s="30"/>
      <c r="I28" s="30"/>
      <c r="J28" s="30"/>
      <c r="K28" s="30"/>
      <c r="L28" s="30"/>
      <c r="M28" s="30"/>
      <c r="N28" s="30"/>
      <c r="O28" s="67"/>
      <c r="P28" s="54"/>
      <c r="Q28" s="30"/>
      <c r="R28" s="30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0"/>
      <c r="AV28" s="30"/>
      <c r="AW28" s="30"/>
      <c r="AX28" s="30"/>
      <c r="AY28" s="30"/>
      <c r="AZ28" s="30"/>
    </row>
    <row r="29" ht="20.25" customHeight="1">
      <c r="A29" s="30"/>
      <c r="B29" s="30"/>
      <c r="C29" s="66"/>
      <c r="H29" s="30"/>
      <c r="I29" s="30"/>
      <c r="J29" s="30"/>
      <c r="K29" s="30"/>
      <c r="L29" s="30"/>
      <c r="M29" s="30"/>
      <c r="N29" s="30"/>
      <c r="O29" s="67"/>
      <c r="P29" s="54"/>
      <c r="Q29" s="30"/>
      <c r="R29" s="30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0"/>
      <c r="AV29" s="30"/>
      <c r="AW29" s="30"/>
      <c r="AX29" s="30"/>
      <c r="AY29" s="30"/>
      <c r="AZ29" s="30"/>
    </row>
    <row r="30" ht="20.25" customHeight="1">
      <c r="A30" s="30"/>
      <c r="B30" s="30"/>
      <c r="C30" s="66"/>
      <c r="H30" s="30"/>
      <c r="I30" s="30"/>
      <c r="J30" s="30"/>
      <c r="K30" s="30"/>
      <c r="L30" s="30"/>
      <c r="M30" s="30"/>
      <c r="N30" s="30"/>
      <c r="O30" s="67"/>
      <c r="P30" s="54"/>
      <c r="Q30" s="30"/>
      <c r="R30" s="30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0"/>
      <c r="AV30" s="30"/>
      <c r="AW30" s="30"/>
      <c r="AX30" s="30"/>
      <c r="AY30" s="30"/>
      <c r="AZ30" s="30"/>
    </row>
    <row r="31" ht="20.25" customHeight="1">
      <c r="A31" s="30"/>
      <c r="B31" s="30"/>
      <c r="C31" s="66"/>
      <c r="H31" s="30"/>
      <c r="I31" s="30"/>
      <c r="J31" s="30"/>
      <c r="K31" s="30"/>
      <c r="L31" s="30"/>
      <c r="M31" s="30"/>
      <c r="N31" s="30"/>
      <c r="O31" s="67"/>
      <c r="P31" s="54"/>
      <c r="Q31" s="30"/>
      <c r="R31" s="30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0"/>
      <c r="AV31" s="30"/>
      <c r="AW31" s="30"/>
      <c r="AX31" s="30"/>
      <c r="AY31" s="30"/>
      <c r="AZ31" s="30"/>
    </row>
    <row r="32" ht="20.25" customHeight="1">
      <c r="A32" s="30"/>
      <c r="B32" s="30"/>
      <c r="C32" s="66"/>
      <c r="H32" s="30"/>
      <c r="I32" s="30"/>
      <c r="J32" s="30"/>
      <c r="K32" s="30"/>
      <c r="L32" s="30"/>
      <c r="M32" s="30"/>
      <c r="N32" s="30"/>
      <c r="O32" s="67"/>
      <c r="P32" s="54"/>
      <c r="Q32" s="30"/>
      <c r="R32" s="30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0"/>
      <c r="AV32" s="30"/>
      <c r="AW32" s="30"/>
      <c r="AX32" s="30"/>
      <c r="AY32" s="30"/>
      <c r="AZ32" s="30"/>
    </row>
    <row r="33" ht="20.25" customHeight="1">
      <c r="A33" s="30"/>
      <c r="B33" s="30"/>
      <c r="C33" s="66"/>
      <c r="H33" s="30"/>
      <c r="I33" s="30"/>
      <c r="J33" s="30"/>
      <c r="K33" s="30"/>
      <c r="L33" s="30"/>
      <c r="M33" s="30"/>
      <c r="N33" s="30"/>
      <c r="O33" s="67"/>
      <c r="P33" s="54"/>
      <c r="Q33" s="30"/>
      <c r="R33" s="30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0"/>
      <c r="AV33" s="30"/>
      <c r="AW33" s="30"/>
      <c r="AX33" s="30"/>
      <c r="AY33" s="30"/>
      <c r="AZ33" s="30"/>
    </row>
    <row r="34" ht="20.25" customHeight="1">
      <c r="A34" s="30"/>
      <c r="B34" s="30"/>
      <c r="C34" s="66"/>
      <c r="H34" s="30"/>
      <c r="I34" s="30"/>
      <c r="J34" s="30"/>
      <c r="K34" s="30"/>
      <c r="L34" s="30"/>
      <c r="M34" s="30"/>
      <c r="N34" s="30"/>
      <c r="O34" s="67"/>
      <c r="P34" s="54"/>
      <c r="Q34" s="30"/>
      <c r="R34" s="30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0"/>
      <c r="AV34" s="30"/>
      <c r="AW34" s="30"/>
      <c r="AX34" s="30"/>
      <c r="AY34" s="30"/>
      <c r="AZ34" s="30"/>
    </row>
    <row r="35" ht="20.25" customHeight="1">
      <c r="A35" s="30"/>
      <c r="B35" s="30"/>
      <c r="C35" s="66"/>
      <c r="H35" s="30"/>
      <c r="I35" s="30"/>
      <c r="J35" s="30"/>
      <c r="K35" s="30"/>
      <c r="L35" s="30"/>
      <c r="M35" s="30"/>
      <c r="N35" s="30"/>
      <c r="O35" s="67"/>
      <c r="P35" s="54"/>
      <c r="Q35" s="30"/>
      <c r="R35" s="30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0"/>
      <c r="AV35" s="30"/>
      <c r="AW35" s="30"/>
      <c r="AX35" s="30"/>
      <c r="AY35" s="30"/>
      <c r="AZ35" s="30"/>
    </row>
    <row r="36" ht="20.25" customHeight="1">
      <c r="A36" s="30"/>
      <c r="B36" s="30"/>
      <c r="C36" s="66"/>
      <c r="H36" s="30"/>
      <c r="I36" s="30"/>
      <c r="J36" s="30"/>
      <c r="K36" s="30"/>
      <c r="L36" s="30"/>
      <c r="M36" s="30"/>
      <c r="N36" s="30"/>
      <c r="O36" s="67"/>
      <c r="P36" s="54"/>
      <c r="Q36" s="30"/>
      <c r="R36" s="30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0"/>
      <c r="AV36" s="30"/>
      <c r="AW36" s="30"/>
      <c r="AX36" s="30"/>
      <c r="AY36" s="30"/>
      <c r="AZ36" s="30"/>
    </row>
    <row r="37" ht="20.25" customHeight="1">
      <c r="A37" s="30"/>
      <c r="B37" s="30"/>
      <c r="C37" s="66"/>
      <c r="H37" s="30"/>
      <c r="I37" s="30"/>
      <c r="J37" s="30"/>
      <c r="K37" s="30"/>
      <c r="L37" s="30"/>
      <c r="M37" s="30"/>
      <c r="N37" s="30"/>
      <c r="O37" s="67"/>
      <c r="P37" s="54"/>
      <c r="Q37" s="30"/>
      <c r="R37" s="30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0"/>
      <c r="AV37" s="30"/>
      <c r="AW37" s="30"/>
      <c r="AX37" s="30"/>
      <c r="AY37" s="30"/>
      <c r="AZ37" s="30"/>
    </row>
    <row r="38" ht="20.25" customHeight="1">
      <c r="A38" s="30"/>
      <c r="B38" s="30"/>
      <c r="C38" s="66"/>
      <c r="H38" s="30"/>
      <c r="I38" s="30"/>
      <c r="J38" s="30"/>
      <c r="K38" s="30"/>
      <c r="L38" s="30"/>
      <c r="M38" s="30"/>
      <c r="N38" s="30"/>
      <c r="O38" s="67"/>
      <c r="P38" s="54"/>
      <c r="Q38" s="30"/>
      <c r="R38" s="30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0"/>
      <c r="AV38" s="30"/>
      <c r="AW38" s="30"/>
      <c r="AX38" s="30"/>
      <c r="AY38" s="30"/>
      <c r="AZ38" s="30"/>
    </row>
    <row r="39" ht="20.25" customHeight="1">
      <c r="A39" s="30"/>
      <c r="B39" s="30"/>
      <c r="C39" s="66"/>
      <c r="H39" s="30"/>
      <c r="I39" s="30"/>
      <c r="J39" s="30"/>
      <c r="K39" s="30"/>
      <c r="L39" s="30"/>
      <c r="M39" s="30"/>
      <c r="N39" s="30"/>
      <c r="O39" s="67"/>
      <c r="P39" s="54"/>
      <c r="Q39" s="30"/>
      <c r="R39" s="30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0"/>
      <c r="AV39" s="30"/>
      <c r="AW39" s="30"/>
      <c r="AX39" s="30"/>
      <c r="AY39" s="30"/>
      <c r="AZ39" s="30"/>
    </row>
    <row r="40" ht="20.25" customHeight="1">
      <c r="A40" s="30"/>
      <c r="B40" s="30"/>
      <c r="C40" s="66"/>
      <c r="H40" s="30"/>
      <c r="I40" s="30"/>
      <c r="J40" s="30"/>
      <c r="K40" s="30"/>
      <c r="L40" s="30"/>
      <c r="M40" s="30"/>
      <c r="N40" s="30"/>
      <c r="O40" s="67"/>
      <c r="P40" s="54"/>
      <c r="Q40" s="30"/>
      <c r="R40" s="30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0"/>
      <c r="AV40" s="30"/>
      <c r="AW40" s="30"/>
      <c r="AX40" s="30"/>
      <c r="AY40" s="30"/>
      <c r="AZ40" s="30"/>
    </row>
    <row r="41" ht="20.25" customHeight="1">
      <c r="A41" s="30"/>
      <c r="B41" s="30"/>
      <c r="C41" s="66"/>
      <c r="H41" s="30"/>
      <c r="I41" s="30"/>
      <c r="J41" s="30"/>
      <c r="K41" s="30"/>
      <c r="L41" s="30"/>
      <c r="M41" s="30"/>
      <c r="N41" s="30"/>
      <c r="O41" s="67"/>
      <c r="P41" s="54"/>
      <c r="Q41" s="30"/>
      <c r="R41" s="30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0"/>
      <c r="AV41" s="30"/>
      <c r="AW41" s="30"/>
      <c r="AX41" s="30"/>
      <c r="AY41" s="30"/>
      <c r="AZ41" s="30"/>
    </row>
    <row r="42" ht="20.25" customHeight="1">
      <c r="A42" s="30"/>
      <c r="B42" s="30"/>
      <c r="C42" s="66"/>
      <c r="H42" s="30"/>
      <c r="I42" s="30"/>
      <c r="J42" s="30"/>
      <c r="K42" s="30"/>
      <c r="L42" s="30"/>
      <c r="M42" s="30"/>
      <c r="N42" s="30"/>
      <c r="O42" s="67"/>
      <c r="P42" s="54"/>
      <c r="Q42" s="30"/>
      <c r="R42" s="30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0"/>
      <c r="AV42" s="30"/>
      <c r="AW42" s="30"/>
      <c r="AX42" s="30"/>
      <c r="AY42" s="30"/>
      <c r="AZ42" s="30"/>
    </row>
    <row r="43" ht="20.25" customHeight="1">
      <c r="A43" s="30"/>
      <c r="B43" s="30"/>
      <c r="C43" s="66"/>
      <c r="H43" s="30"/>
      <c r="I43" s="30"/>
      <c r="J43" s="30"/>
      <c r="K43" s="30"/>
      <c r="L43" s="30"/>
      <c r="M43" s="30"/>
      <c r="N43" s="30"/>
      <c r="O43" s="67"/>
      <c r="P43" s="54"/>
      <c r="Q43" s="30"/>
      <c r="R43" s="30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0"/>
      <c r="AV43" s="30"/>
      <c r="AW43" s="30"/>
      <c r="AX43" s="30"/>
      <c r="AY43" s="30"/>
      <c r="AZ43" s="30"/>
    </row>
    <row r="44" ht="20.25" customHeight="1">
      <c r="A44" s="30"/>
      <c r="B44" s="30"/>
      <c r="C44" s="66"/>
      <c r="H44" s="30"/>
      <c r="I44" s="30"/>
      <c r="J44" s="30"/>
      <c r="K44" s="30"/>
      <c r="L44" s="30"/>
      <c r="M44" s="30"/>
      <c r="N44" s="30"/>
      <c r="O44" s="67"/>
      <c r="P44" s="54"/>
      <c r="Q44" s="30"/>
      <c r="R44" s="30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0"/>
      <c r="AV44" s="30"/>
      <c r="AW44" s="30"/>
      <c r="AX44" s="30"/>
      <c r="AY44" s="30"/>
      <c r="AZ44" s="30"/>
    </row>
    <row r="45" ht="20.25" customHeight="1">
      <c r="A45" s="30"/>
      <c r="B45" s="30"/>
      <c r="C45" s="66"/>
      <c r="H45" s="30"/>
      <c r="I45" s="30"/>
      <c r="J45" s="30"/>
      <c r="K45" s="30"/>
      <c r="L45" s="30"/>
      <c r="M45" s="30"/>
      <c r="N45" s="54"/>
      <c r="O45" s="30"/>
      <c r="P45" s="30"/>
      <c r="Q45" s="30"/>
      <c r="R45" s="30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0"/>
      <c r="AV45" s="30"/>
      <c r="AW45" s="30"/>
      <c r="AX45" s="30"/>
      <c r="AY45" s="30"/>
      <c r="AZ45" s="30"/>
    </row>
    <row r="46" ht="20.25" customHeight="1">
      <c r="A46" s="30"/>
      <c r="B46" s="30"/>
      <c r="C46" s="66"/>
      <c r="H46" s="30"/>
      <c r="I46" s="30"/>
      <c r="J46" s="30"/>
      <c r="K46" s="30"/>
      <c r="L46" s="30"/>
      <c r="M46" s="30"/>
      <c r="N46" s="54"/>
      <c r="O46" s="30"/>
      <c r="P46" s="30"/>
      <c r="Q46" s="30"/>
      <c r="R46" s="30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0"/>
      <c r="AV46" s="30"/>
      <c r="AW46" s="30"/>
      <c r="AX46" s="30"/>
      <c r="AY46" s="30"/>
      <c r="AZ46" s="30"/>
    </row>
    <row r="47" ht="20.25" customHeight="1">
      <c r="A47" s="30"/>
      <c r="B47" s="30"/>
      <c r="C47" s="66"/>
      <c r="H47" s="30"/>
      <c r="I47" s="30"/>
      <c r="J47" s="30"/>
      <c r="K47" s="30"/>
      <c r="L47" s="30"/>
      <c r="M47" s="30"/>
      <c r="N47" s="54"/>
      <c r="O47" s="30"/>
      <c r="P47" s="30"/>
      <c r="Q47" s="30"/>
      <c r="R47" s="30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0"/>
      <c r="AV47" s="30"/>
      <c r="AW47" s="30"/>
      <c r="AX47" s="30"/>
      <c r="AY47" s="30"/>
      <c r="AZ47" s="30"/>
    </row>
    <row r="48" ht="20.25" customHeight="1">
      <c r="A48" s="30"/>
      <c r="B48" s="30"/>
      <c r="C48" s="66"/>
      <c r="D48" s="68"/>
      <c r="E48" s="68"/>
      <c r="H48" s="30"/>
      <c r="I48" s="30"/>
      <c r="J48" s="30"/>
      <c r="K48" s="30"/>
      <c r="L48" s="30"/>
      <c r="M48" s="30"/>
      <c r="N48" s="54"/>
      <c r="O48" s="30"/>
      <c r="P48" s="30"/>
      <c r="Q48" s="30"/>
      <c r="R48" s="30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0"/>
      <c r="AV48" s="30"/>
      <c r="AW48" s="30"/>
      <c r="AX48" s="30"/>
      <c r="AY48" s="30"/>
      <c r="AZ48" s="30"/>
    </row>
    <row r="49" ht="20.25" customHeight="1">
      <c r="A49" s="30"/>
      <c r="B49" s="30"/>
      <c r="C49" s="66"/>
      <c r="D49" s="68"/>
      <c r="E49" s="68"/>
      <c r="H49" s="30"/>
      <c r="I49" s="30"/>
      <c r="J49" s="30"/>
      <c r="K49" s="30"/>
      <c r="L49" s="30"/>
      <c r="M49" s="30"/>
      <c r="N49" s="54"/>
      <c r="O49" s="30"/>
      <c r="P49" s="30"/>
      <c r="Q49" s="30"/>
      <c r="R49" s="30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0"/>
      <c r="AV49" s="30"/>
      <c r="AW49" s="30"/>
      <c r="AX49" s="30"/>
      <c r="AY49" s="30"/>
      <c r="AZ49" s="30"/>
    </row>
    <row r="50" ht="20.25" customHeight="1">
      <c r="A50" s="30"/>
      <c r="B50" s="30"/>
      <c r="C50" s="66"/>
      <c r="D50" s="68"/>
      <c r="E50" s="68"/>
      <c r="H50" s="30"/>
      <c r="I50" s="30"/>
      <c r="J50" s="30"/>
      <c r="K50" s="30"/>
      <c r="L50" s="30"/>
      <c r="M50" s="30"/>
      <c r="N50" s="54"/>
      <c r="O50" s="30"/>
      <c r="P50" s="30"/>
      <c r="Q50" s="30"/>
      <c r="R50" s="30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0"/>
      <c r="AV50" s="30"/>
      <c r="AW50" s="30"/>
      <c r="AX50" s="30"/>
      <c r="AY50" s="30"/>
      <c r="AZ50" s="30"/>
    </row>
    <row r="51" ht="20.25" customHeight="1">
      <c r="A51" s="30"/>
      <c r="B51" s="30"/>
      <c r="C51" s="66"/>
      <c r="D51" s="68"/>
      <c r="E51" s="68"/>
      <c r="H51" s="30"/>
      <c r="I51" s="30"/>
      <c r="J51" s="30"/>
      <c r="K51" s="30"/>
      <c r="L51" s="30"/>
      <c r="M51" s="30"/>
      <c r="N51" s="54"/>
      <c r="O51" s="30"/>
      <c r="P51" s="30"/>
      <c r="Q51" s="30"/>
      <c r="R51" s="30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0"/>
      <c r="AV51" s="30"/>
      <c r="AW51" s="30"/>
      <c r="AX51" s="30"/>
      <c r="AY51" s="30"/>
      <c r="AZ51" s="30"/>
    </row>
    <row r="52" ht="20.25" customHeight="1">
      <c r="A52" s="30"/>
      <c r="B52" s="30"/>
      <c r="C52" s="66"/>
      <c r="D52" s="68"/>
      <c r="E52" s="68"/>
      <c r="H52" s="30"/>
      <c r="I52" s="30"/>
      <c r="J52" s="30"/>
      <c r="K52" s="30"/>
      <c r="L52" s="30"/>
      <c r="M52" s="30"/>
      <c r="N52" s="54"/>
      <c r="O52" s="30"/>
      <c r="P52" s="30"/>
      <c r="Q52" s="30"/>
      <c r="R52" s="30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0"/>
      <c r="AV52" s="30"/>
      <c r="AW52" s="30"/>
      <c r="AX52" s="30"/>
      <c r="AY52" s="30"/>
      <c r="AZ52" s="30"/>
    </row>
    <row r="53" ht="20.25" customHeight="1">
      <c r="A53" s="30"/>
      <c r="B53" s="30"/>
      <c r="C53" s="66"/>
      <c r="D53" s="68"/>
      <c r="E53" s="68"/>
      <c r="H53" s="30"/>
      <c r="I53" s="30"/>
      <c r="J53" s="30"/>
      <c r="K53" s="30"/>
      <c r="L53" s="30"/>
      <c r="M53" s="30"/>
      <c r="N53" s="54"/>
      <c r="O53" s="30"/>
      <c r="P53" s="30"/>
      <c r="Q53" s="30"/>
      <c r="R53" s="30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0"/>
      <c r="AV53" s="30"/>
      <c r="AW53" s="30"/>
      <c r="AX53" s="30"/>
      <c r="AY53" s="30"/>
      <c r="AZ53" s="30"/>
    </row>
    <row r="54" ht="20.25" customHeight="1">
      <c r="A54" s="60"/>
      <c r="B54" s="30"/>
      <c r="C54" s="66"/>
      <c r="D54" s="68"/>
      <c r="E54" s="68"/>
      <c r="H54" s="30"/>
      <c r="I54" s="30"/>
      <c r="J54" s="30"/>
      <c r="K54" s="30"/>
      <c r="L54" s="30"/>
      <c r="M54" s="30"/>
      <c r="N54" s="54"/>
      <c r="O54" s="30"/>
      <c r="P54" s="30"/>
      <c r="Q54" s="30"/>
      <c r="R54" s="30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0"/>
      <c r="AV54" s="30"/>
      <c r="AW54" s="30"/>
      <c r="AX54" s="30"/>
      <c r="AY54" s="30"/>
      <c r="AZ54" s="30"/>
    </row>
    <row r="55" ht="20.25" customHeight="1">
      <c r="A55" s="60"/>
      <c r="B55" s="30"/>
      <c r="C55" s="66"/>
      <c r="D55" s="68"/>
      <c r="E55" s="68"/>
      <c r="H55" s="30"/>
      <c r="I55" s="30"/>
      <c r="J55" s="30"/>
      <c r="K55" s="30"/>
      <c r="L55" s="30"/>
      <c r="M55" s="30"/>
      <c r="N55" s="54"/>
      <c r="O55" s="30"/>
      <c r="P55" s="30"/>
      <c r="Q55" s="30"/>
      <c r="R55" s="30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0"/>
      <c r="AV55" s="30"/>
      <c r="AW55" s="30"/>
      <c r="AX55" s="30"/>
      <c r="AY55" s="30"/>
      <c r="AZ55" s="30"/>
    </row>
    <row r="56" ht="20.25" customHeight="1">
      <c r="A56" s="60"/>
      <c r="B56" s="30"/>
      <c r="C56" s="66"/>
      <c r="D56" s="68"/>
      <c r="E56" s="68"/>
      <c r="H56" s="30"/>
      <c r="I56" s="30"/>
      <c r="J56" s="30"/>
      <c r="K56" s="30"/>
      <c r="L56" s="30"/>
      <c r="M56" s="30"/>
      <c r="N56" s="54"/>
      <c r="O56" s="30"/>
      <c r="P56" s="30"/>
      <c r="Q56" s="30"/>
      <c r="R56" s="3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0"/>
      <c r="AV56" s="30"/>
      <c r="AW56" s="30"/>
      <c r="AX56" s="30"/>
      <c r="AY56" s="30"/>
      <c r="AZ56" s="30"/>
    </row>
    <row r="57" ht="20.25" customHeight="1">
      <c r="A57" s="30"/>
      <c r="B57" s="30"/>
      <c r="C57" s="66"/>
      <c r="D57" s="68"/>
      <c r="E57" s="68"/>
      <c r="H57" s="30"/>
      <c r="I57" s="30"/>
      <c r="J57" s="30"/>
      <c r="K57" s="30"/>
      <c r="L57" s="30"/>
      <c r="M57" s="30"/>
      <c r="N57" s="54"/>
      <c r="O57" s="30"/>
      <c r="P57" s="30"/>
      <c r="Q57" s="30"/>
      <c r="R57" s="3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0"/>
      <c r="AV57" s="30"/>
      <c r="AW57" s="30"/>
      <c r="AX57" s="30"/>
      <c r="AY57" s="30"/>
      <c r="AZ57" s="30"/>
    </row>
    <row r="58" ht="20.25" customHeight="1">
      <c r="A58" s="30"/>
      <c r="B58" s="30"/>
      <c r="C58" s="66"/>
      <c r="D58" s="68"/>
      <c r="E58" s="68"/>
      <c r="H58" s="30"/>
      <c r="I58" s="30"/>
      <c r="J58" s="30"/>
      <c r="K58" s="30"/>
      <c r="L58" s="30"/>
      <c r="M58" s="30"/>
      <c r="N58" s="54"/>
      <c r="O58" s="30"/>
      <c r="P58" s="30"/>
      <c r="Q58" s="30"/>
      <c r="R58" s="30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0"/>
      <c r="AV58" s="30"/>
      <c r="AW58" s="30"/>
      <c r="AX58" s="30"/>
      <c r="AY58" s="30"/>
      <c r="AZ58" s="30"/>
    </row>
    <row r="59" ht="20.25" customHeight="1">
      <c r="A59" s="30"/>
      <c r="B59" s="30"/>
      <c r="C59" s="66"/>
      <c r="D59" s="68"/>
      <c r="E59" s="68"/>
      <c r="H59" s="30"/>
      <c r="I59" s="30"/>
      <c r="J59" s="30"/>
      <c r="K59" s="30"/>
      <c r="L59" s="30"/>
      <c r="M59" s="30"/>
      <c r="N59" s="54"/>
      <c r="O59" s="30"/>
      <c r="P59" s="30"/>
      <c r="Q59" s="30"/>
      <c r="R59" s="30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0"/>
      <c r="AV59" s="30"/>
      <c r="AW59" s="30"/>
      <c r="AX59" s="30"/>
      <c r="AY59" s="30"/>
      <c r="AZ59" s="30"/>
    </row>
    <row r="60" ht="20.25" customHeight="1">
      <c r="A60" s="30"/>
      <c r="B60" s="30"/>
      <c r="C60" s="66"/>
      <c r="D60" s="68"/>
      <c r="E60" s="68"/>
      <c r="H60" s="30"/>
      <c r="I60" s="30"/>
      <c r="J60" s="30"/>
      <c r="K60" s="30"/>
      <c r="L60" s="30"/>
      <c r="M60" s="30"/>
      <c r="N60" s="54"/>
      <c r="O60" s="30"/>
      <c r="P60" s="30"/>
      <c r="Q60" s="30"/>
      <c r="R60" s="30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0"/>
      <c r="AV60" s="30"/>
      <c r="AW60" s="30"/>
      <c r="AX60" s="30"/>
      <c r="AY60" s="30"/>
      <c r="AZ60" s="30"/>
    </row>
    <row r="61" ht="20.25" customHeight="1">
      <c r="A61" s="30"/>
      <c r="B61" s="30"/>
      <c r="C61" s="66"/>
      <c r="D61" s="68"/>
      <c r="E61" s="68"/>
      <c r="H61" s="30"/>
      <c r="I61" s="30"/>
      <c r="J61" s="30"/>
      <c r="K61" s="30"/>
      <c r="L61" s="30"/>
      <c r="M61" s="30"/>
      <c r="N61" s="54"/>
      <c r="O61" s="30"/>
      <c r="P61" s="30"/>
      <c r="Q61" s="30"/>
      <c r="R61" s="30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0"/>
      <c r="AV61" s="30"/>
      <c r="AW61" s="30"/>
      <c r="AX61" s="30"/>
      <c r="AY61" s="30"/>
      <c r="AZ61" s="30"/>
    </row>
    <row r="62" ht="20.25" customHeight="1">
      <c r="A62" s="30"/>
      <c r="B62" s="30"/>
      <c r="C62" s="66"/>
      <c r="D62" s="68"/>
      <c r="E62" s="68"/>
      <c r="H62" s="30"/>
      <c r="I62" s="30"/>
      <c r="J62" s="30"/>
      <c r="K62" s="30"/>
      <c r="L62" s="30"/>
      <c r="M62" s="30"/>
      <c r="N62" s="54"/>
      <c r="O62" s="30"/>
      <c r="P62" s="30"/>
      <c r="Q62" s="30"/>
      <c r="R62" s="30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0"/>
      <c r="AV62" s="30"/>
      <c r="AW62" s="30"/>
      <c r="AX62" s="30"/>
      <c r="AY62" s="30"/>
      <c r="AZ62" s="30"/>
    </row>
    <row r="63" ht="20.25" customHeight="1">
      <c r="A63" s="30"/>
      <c r="B63" s="30"/>
      <c r="C63" s="66"/>
      <c r="D63" s="68"/>
      <c r="E63" s="68"/>
      <c r="H63" s="30"/>
      <c r="I63" s="30"/>
      <c r="J63" s="30"/>
      <c r="K63" s="30"/>
      <c r="L63" s="30"/>
      <c r="M63" s="30"/>
      <c r="N63" s="54"/>
      <c r="O63" s="30"/>
      <c r="P63" s="30"/>
      <c r="Q63" s="30"/>
      <c r="R63" s="30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0"/>
      <c r="AV63" s="30"/>
      <c r="AW63" s="30"/>
      <c r="AX63" s="30"/>
      <c r="AY63" s="30"/>
      <c r="AZ63" s="30"/>
    </row>
    <row r="64" ht="20.25" customHeight="1">
      <c r="A64" s="30"/>
      <c r="B64" s="30"/>
      <c r="C64" s="66"/>
      <c r="D64" s="68"/>
      <c r="E64" s="6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0"/>
      <c r="AV64" s="30"/>
      <c r="AW64" s="30"/>
      <c r="AX64" s="30"/>
      <c r="AY64" s="30"/>
      <c r="AZ64" s="30"/>
    </row>
    <row r="65" ht="20.25" customHeight="1">
      <c r="A65" s="30"/>
      <c r="B65" s="30"/>
      <c r="C65" s="66"/>
      <c r="D65" s="68"/>
      <c r="E65" s="6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0"/>
      <c r="AV65" s="30"/>
      <c r="AW65" s="30"/>
      <c r="AX65" s="30"/>
      <c r="AY65" s="30"/>
      <c r="AZ65" s="30"/>
    </row>
    <row r="66" ht="20.25" customHeight="1">
      <c r="A66" s="30"/>
      <c r="B66" s="30"/>
      <c r="C66" s="66"/>
      <c r="D66" s="68"/>
      <c r="E66" s="6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0"/>
      <c r="AV66" s="30"/>
      <c r="AW66" s="30"/>
      <c r="AX66" s="30"/>
      <c r="AY66" s="30"/>
      <c r="AZ66" s="30"/>
    </row>
    <row r="67" ht="20.25" customHeight="1">
      <c r="A67" s="30"/>
      <c r="B67" s="30"/>
      <c r="C67" s="66"/>
      <c r="D67" s="68"/>
      <c r="E67" s="6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0"/>
      <c r="AV67" s="30"/>
      <c r="AW67" s="30"/>
      <c r="AX67" s="30"/>
      <c r="AY67" s="30"/>
      <c r="AZ67" s="30"/>
    </row>
    <row r="68" ht="20.25" customHeight="1">
      <c r="A68" s="30"/>
      <c r="B68" s="30"/>
      <c r="C68" s="66"/>
      <c r="D68" s="68"/>
      <c r="E68" s="6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0"/>
      <c r="AV68" s="30"/>
      <c r="AW68" s="30"/>
      <c r="AX68" s="30"/>
      <c r="AY68" s="30"/>
      <c r="AZ68" s="30"/>
    </row>
    <row r="69" ht="20.25" customHeight="1">
      <c r="A69" s="30"/>
      <c r="B69" s="30"/>
      <c r="C69" s="66"/>
      <c r="D69" s="68"/>
      <c r="E69" s="6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0"/>
      <c r="AV69" s="30"/>
      <c r="AW69" s="30"/>
      <c r="AX69" s="30"/>
      <c r="AY69" s="30"/>
      <c r="AZ69" s="30"/>
    </row>
    <row r="70" ht="20.25" customHeight="1">
      <c r="A70" s="30"/>
      <c r="B70" s="30"/>
      <c r="C70" s="66"/>
      <c r="D70" s="68"/>
      <c r="E70" s="6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0"/>
      <c r="AV70" s="30"/>
      <c r="AW70" s="30"/>
      <c r="AX70" s="30"/>
      <c r="AY70" s="30"/>
      <c r="AZ70" s="30"/>
    </row>
    <row r="71" ht="20.25" customHeight="1">
      <c r="A71" s="30"/>
      <c r="B71" s="30"/>
      <c r="C71" s="66"/>
      <c r="D71" s="68"/>
      <c r="E71" s="6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0"/>
      <c r="AV71" s="30"/>
      <c r="AW71" s="30"/>
      <c r="AX71" s="30"/>
      <c r="AY71" s="30"/>
      <c r="AZ71" s="30"/>
    </row>
    <row r="72" ht="20.25" customHeight="1">
      <c r="A72" s="30"/>
      <c r="B72" s="30"/>
      <c r="C72" s="66"/>
      <c r="D72" s="68"/>
      <c r="E72" s="6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0"/>
      <c r="AV72" s="30"/>
      <c r="AW72" s="30"/>
      <c r="AX72" s="30"/>
      <c r="AY72" s="30"/>
      <c r="AZ72" s="30"/>
    </row>
    <row r="73" ht="20.25" customHeight="1">
      <c r="A73" s="30"/>
      <c r="B73" s="30"/>
      <c r="C73" s="66"/>
      <c r="D73" s="68"/>
      <c r="E73" s="6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0"/>
      <c r="AV73" s="30"/>
      <c r="AW73" s="30"/>
      <c r="AX73" s="30"/>
      <c r="AY73" s="30"/>
      <c r="AZ73" s="30"/>
    </row>
    <row r="74" ht="20.25" customHeight="1">
      <c r="A74" s="30"/>
      <c r="B74" s="30"/>
      <c r="C74" s="66"/>
      <c r="D74" s="68"/>
      <c r="E74" s="6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0"/>
      <c r="AV74" s="30"/>
      <c r="AW74" s="30"/>
      <c r="AX74" s="30"/>
      <c r="AY74" s="30"/>
      <c r="AZ74" s="30"/>
    </row>
    <row r="75" ht="20.25" customHeight="1">
      <c r="A75" s="30"/>
      <c r="B75" s="30"/>
      <c r="C75" s="66"/>
      <c r="D75" s="68"/>
      <c r="E75" s="6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0"/>
      <c r="AV75" s="30"/>
      <c r="AW75" s="30"/>
      <c r="AX75" s="30"/>
      <c r="AY75" s="30"/>
      <c r="AZ75" s="30"/>
    </row>
    <row r="76" ht="20.25" customHeight="1">
      <c r="A76" s="30"/>
      <c r="B76" s="30"/>
      <c r="C76" s="66"/>
      <c r="D76" s="68"/>
      <c r="E76" s="6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0"/>
      <c r="AV76" s="30"/>
      <c r="AW76" s="30"/>
      <c r="AX76" s="30"/>
      <c r="AY76" s="30"/>
      <c r="AZ76" s="30"/>
    </row>
    <row r="77" ht="20.25" customHeight="1">
      <c r="A77" s="30"/>
      <c r="B77" s="30"/>
      <c r="C77" s="66"/>
      <c r="D77" s="68"/>
      <c r="E77" s="6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0"/>
      <c r="AV77" s="30"/>
      <c r="AW77" s="30"/>
      <c r="AX77" s="30"/>
      <c r="AY77" s="30"/>
      <c r="AZ77" s="30"/>
    </row>
    <row r="78" ht="20.25" customHeight="1">
      <c r="A78" s="30"/>
      <c r="B78" s="30"/>
      <c r="C78" s="66"/>
      <c r="D78" s="68"/>
      <c r="E78" s="6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0"/>
      <c r="AV78" s="30"/>
      <c r="AW78" s="30"/>
      <c r="AX78" s="30"/>
      <c r="AY78" s="30"/>
      <c r="AZ78" s="30"/>
    </row>
    <row r="79" ht="20.25" customHeight="1">
      <c r="A79" s="30"/>
      <c r="B79" s="30"/>
      <c r="C79" s="66"/>
      <c r="D79" s="68"/>
      <c r="E79" s="6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0"/>
      <c r="AV79" s="30"/>
      <c r="AW79" s="30"/>
      <c r="AX79" s="30"/>
      <c r="AY79" s="30"/>
      <c r="AZ79" s="30"/>
    </row>
    <row r="80" ht="20.25" customHeight="1">
      <c r="A80" s="30"/>
      <c r="B80" s="30"/>
      <c r="C80" s="66"/>
      <c r="D80" s="68"/>
      <c r="E80" s="6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0"/>
      <c r="AV80" s="30"/>
      <c r="AW80" s="30"/>
      <c r="AX80" s="30"/>
      <c r="AY80" s="30"/>
      <c r="AZ80" s="30"/>
    </row>
    <row r="81" ht="20.25" customHeight="1">
      <c r="A81" s="30"/>
      <c r="B81" s="30"/>
      <c r="C81" s="66"/>
      <c r="D81" s="68"/>
      <c r="E81" s="6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0"/>
      <c r="AV81" s="30"/>
      <c r="AW81" s="30"/>
      <c r="AX81" s="30"/>
      <c r="AY81" s="30"/>
      <c r="AZ81" s="30"/>
    </row>
    <row r="82" ht="20.25" customHeight="1">
      <c r="A82" s="30"/>
      <c r="B82" s="30"/>
      <c r="C82" s="66"/>
      <c r="D82" s="68"/>
      <c r="E82" s="6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0"/>
      <c r="AV82" s="30"/>
      <c r="AW82" s="30"/>
      <c r="AX82" s="30"/>
      <c r="AY82" s="30"/>
      <c r="AZ82" s="30"/>
    </row>
    <row r="83" ht="20.25" customHeight="1">
      <c r="A83" s="30"/>
      <c r="B83" s="30"/>
      <c r="C83" s="66"/>
      <c r="D83" s="68"/>
      <c r="E83" s="6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0"/>
      <c r="AV83" s="30"/>
      <c r="AW83" s="30"/>
      <c r="AX83" s="30"/>
      <c r="AY83" s="30"/>
      <c r="AZ83" s="30"/>
    </row>
    <row r="84" ht="20.25" customHeight="1">
      <c r="A84" s="30"/>
      <c r="B84" s="30"/>
      <c r="C84" s="66"/>
      <c r="D84" s="68"/>
      <c r="E84" s="6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0"/>
      <c r="AV84" s="30"/>
      <c r="AW84" s="30"/>
      <c r="AX84" s="30"/>
      <c r="AY84" s="30"/>
      <c r="AZ84" s="30"/>
    </row>
    <row r="85" ht="20.25" customHeight="1">
      <c r="A85" s="30"/>
      <c r="B85" s="30"/>
      <c r="C85" s="66"/>
      <c r="D85" s="68"/>
      <c r="E85" s="6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0"/>
      <c r="AV85" s="30"/>
      <c r="AW85" s="30"/>
      <c r="AX85" s="30"/>
      <c r="AY85" s="30"/>
      <c r="AZ85" s="30"/>
    </row>
    <row r="86" ht="20.25" customHeight="1">
      <c r="A86" s="30"/>
      <c r="B86" s="30"/>
      <c r="C86" s="66"/>
      <c r="D86" s="68"/>
      <c r="E86" s="6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0"/>
      <c r="AV86" s="30"/>
      <c r="AW86" s="30"/>
      <c r="AX86" s="30"/>
      <c r="AY86" s="30"/>
      <c r="AZ86" s="30"/>
    </row>
    <row r="87" ht="20.25" customHeight="1">
      <c r="A87" s="30"/>
      <c r="B87" s="30"/>
      <c r="C87" s="66"/>
      <c r="D87" s="68"/>
      <c r="E87" s="6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0"/>
      <c r="AV87" s="30"/>
      <c r="AW87" s="30"/>
      <c r="AX87" s="30"/>
      <c r="AY87" s="30"/>
      <c r="AZ87" s="30"/>
    </row>
    <row r="88" ht="20.25" customHeight="1">
      <c r="A88" s="30"/>
      <c r="B88" s="30"/>
      <c r="C88" s="66"/>
      <c r="D88" s="68"/>
      <c r="E88" s="6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0"/>
      <c r="AV88" s="30"/>
      <c r="AW88" s="30"/>
      <c r="AX88" s="30"/>
      <c r="AY88" s="30"/>
      <c r="AZ88" s="30"/>
    </row>
    <row r="89" ht="20.25" customHeight="1">
      <c r="A89" s="30"/>
      <c r="B89" s="30"/>
      <c r="C89" s="66"/>
      <c r="D89" s="68"/>
      <c r="E89" s="6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0"/>
      <c r="AV89" s="30"/>
      <c r="AW89" s="30"/>
      <c r="AX89" s="30"/>
      <c r="AY89" s="30"/>
      <c r="AZ89" s="30"/>
    </row>
    <row r="90" ht="20.25" customHeight="1">
      <c r="A90" s="30"/>
      <c r="B90" s="30"/>
      <c r="C90" s="66"/>
      <c r="D90" s="68"/>
      <c r="E90" s="6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0"/>
      <c r="AV90" s="30"/>
      <c r="AW90" s="30"/>
      <c r="AX90" s="30"/>
      <c r="AY90" s="30"/>
      <c r="AZ90" s="30"/>
    </row>
    <row r="91" ht="20.25" customHeight="1">
      <c r="A91" s="30"/>
      <c r="B91" s="30"/>
      <c r="C91" s="66"/>
      <c r="D91" s="68"/>
      <c r="E91" s="6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0"/>
      <c r="AV91" s="30"/>
      <c r="AW91" s="30"/>
      <c r="AX91" s="30"/>
      <c r="AY91" s="30"/>
      <c r="AZ91" s="30"/>
    </row>
    <row r="92" ht="20.25" customHeight="1">
      <c r="A92" s="30"/>
      <c r="B92" s="30"/>
      <c r="C92" s="66"/>
      <c r="D92" s="68"/>
      <c r="E92" s="6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0"/>
      <c r="AV92" s="30"/>
      <c r="AW92" s="30"/>
      <c r="AX92" s="30"/>
      <c r="AY92" s="30"/>
      <c r="AZ92" s="30"/>
    </row>
    <row r="93" ht="20.25" customHeight="1">
      <c r="A93" s="30"/>
      <c r="B93" s="30"/>
      <c r="C93" s="66"/>
      <c r="D93" s="68"/>
      <c r="E93" s="6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0"/>
      <c r="AV93" s="30"/>
      <c r="AW93" s="30"/>
      <c r="AX93" s="30"/>
      <c r="AY93" s="30"/>
      <c r="AZ93" s="30"/>
    </row>
    <row r="94" ht="20.25" customHeight="1">
      <c r="A94" s="30"/>
      <c r="B94" s="30"/>
      <c r="C94" s="66"/>
      <c r="D94" s="68"/>
      <c r="E94" s="6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0"/>
      <c r="AV94" s="30"/>
      <c r="AW94" s="30"/>
      <c r="AX94" s="30"/>
      <c r="AY94" s="30"/>
      <c r="AZ94" s="30"/>
    </row>
    <row r="95" ht="20.25" customHeight="1">
      <c r="A95" s="30"/>
      <c r="B95" s="30"/>
      <c r="C95" s="66"/>
      <c r="D95" s="68"/>
      <c r="E95" s="6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0"/>
      <c r="AV95" s="30"/>
      <c r="AW95" s="30"/>
      <c r="AX95" s="30"/>
      <c r="AY95" s="30"/>
      <c r="AZ95" s="30"/>
    </row>
    <row r="96" ht="20.25" customHeight="1">
      <c r="A96" s="30"/>
      <c r="B96" s="30"/>
      <c r="C96" s="66"/>
      <c r="D96" s="68"/>
      <c r="E96" s="6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0"/>
      <c r="AV96" s="30"/>
      <c r="AW96" s="30"/>
      <c r="AX96" s="30"/>
      <c r="AY96" s="30"/>
      <c r="AZ96" s="30"/>
    </row>
    <row r="97" ht="20.25" customHeight="1">
      <c r="A97" s="30"/>
      <c r="B97" s="30"/>
      <c r="C97" s="66"/>
      <c r="D97" s="68"/>
      <c r="E97" s="6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0"/>
      <c r="AV97" s="30"/>
      <c r="AW97" s="30"/>
      <c r="AX97" s="30"/>
      <c r="AY97" s="30"/>
      <c r="AZ97" s="30"/>
    </row>
    <row r="98" ht="20.25" customHeight="1">
      <c r="A98" s="30"/>
      <c r="B98" s="30"/>
      <c r="C98" s="66"/>
      <c r="D98" s="68"/>
      <c r="E98" s="68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0"/>
      <c r="AV98" s="30"/>
      <c r="AW98" s="30"/>
      <c r="AX98" s="30"/>
      <c r="AY98" s="30"/>
      <c r="AZ98" s="30"/>
    </row>
    <row r="99" ht="20.25" customHeight="1">
      <c r="A99" s="30"/>
      <c r="B99" s="30"/>
      <c r="C99" s="66"/>
      <c r="D99" s="68"/>
      <c r="E99" s="6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0"/>
      <c r="AV99" s="30"/>
      <c r="AW99" s="30"/>
      <c r="AX99" s="30"/>
      <c r="AY99" s="30"/>
      <c r="AZ99" s="30"/>
    </row>
    <row r="100" ht="20.25" customHeight="1">
      <c r="A100" s="30"/>
      <c r="B100" s="30"/>
      <c r="C100" s="66"/>
      <c r="D100" s="68"/>
      <c r="E100" s="68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0"/>
      <c r="AV100" s="30"/>
      <c r="AW100" s="30"/>
      <c r="AX100" s="30"/>
      <c r="AY100" s="30"/>
      <c r="AZ100" s="30"/>
    </row>
    <row r="101" ht="20.25" customHeight="1">
      <c r="A101" s="30"/>
      <c r="B101" s="30"/>
      <c r="C101" s="66"/>
      <c r="D101" s="68"/>
      <c r="E101" s="6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0"/>
      <c r="AV101" s="30"/>
      <c r="AW101" s="30"/>
      <c r="AX101" s="30"/>
      <c r="AY101" s="30"/>
      <c r="AZ101" s="30"/>
    </row>
    <row r="102" ht="20.25" customHeight="1">
      <c r="A102" s="30"/>
      <c r="B102" s="30"/>
      <c r="C102" s="66"/>
      <c r="D102" s="68"/>
      <c r="E102" s="68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0"/>
      <c r="AV102" s="30"/>
      <c r="AW102" s="30"/>
      <c r="AX102" s="30"/>
      <c r="AY102" s="30"/>
      <c r="AZ102" s="30"/>
    </row>
    <row r="103" ht="20.25" customHeight="1">
      <c r="A103" s="30"/>
      <c r="B103" s="30"/>
      <c r="C103" s="66"/>
      <c r="D103" s="68"/>
      <c r="E103" s="68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0"/>
      <c r="AV103" s="30"/>
      <c r="AW103" s="30"/>
      <c r="AX103" s="30"/>
      <c r="AY103" s="30"/>
      <c r="AZ103" s="30"/>
    </row>
    <row r="104" ht="20.25" customHeight="1">
      <c r="A104" s="30"/>
      <c r="B104" s="30"/>
      <c r="C104" s="66"/>
      <c r="D104" s="68"/>
      <c r="E104" s="68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0"/>
      <c r="AV104" s="30"/>
      <c r="AW104" s="30"/>
      <c r="AX104" s="30"/>
      <c r="AY104" s="30"/>
      <c r="AZ104" s="30"/>
    </row>
    <row r="105" ht="20.25" customHeight="1">
      <c r="A105" s="30"/>
      <c r="B105" s="30"/>
      <c r="C105" s="66"/>
      <c r="D105" s="68"/>
      <c r="E105" s="68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0"/>
      <c r="AV105" s="30"/>
      <c r="AW105" s="30"/>
      <c r="AX105" s="30"/>
      <c r="AY105" s="30"/>
      <c r="AZ105" s="30"/>
    </row>
    <row r="106" ht="20.25" customHeight="1">
      <c r="A106" s="30"/>
      <c r="B106" s="30"/>
      <c r="C106" s="66"/>
      <c r="D106" s="68"/>
      <c r="E106" s="68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0"/>
      <c r="AV106" s="30"/>
      <c r="AW106" s="30"/>
      <c r="AX106" s="30"/>
      <c r="AY106" s="30"/>
      <c r="AZ106" s="30"/>
    </row>
    <row r="107" ht="20.25" customHeight="1">
      <c r="A107" s="30"/>
      <c r="B107" s="30"/>
      <c r="C107" s="66"/>
      <c r="D107" s="68"/>
      <c r="E107" s="68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0"/>
      <c r="AV107" s="30"/>
      <c r="AW107" s="30"/>
      <c r="AX107" s="30"/>
      <c r="AY107" s="30"/>
      <c r="AZ107" s="30"/>
    </row>
    <row r="108" ht="20.25" customHeight="1">
      <c r="A108" s="30"/>
      <c r="B108" s="30"/>
      <c r="C108" s="66"/>
      <c r="D108" s="68"/>
      <c r="E108" s="68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0"/>
      <c r="AV108" s="30"/>
      <c r="AW108" s="30"/>
      <c r="AX108" s="30"/>
      <c r="AY108" s="30"/>
      <c r="AZ108" s="30"/>
    </row>
    <row r="109" ht="20.25" customHeight="1">
      <c r="A109" s="30"/>
      <c r="B109" s="30"/>
      <c r="C109" s="66"/>
      <c r="D109" s="68"/>
      <c r="E109" s="68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0"/>
      <c r="AV109" s="30"/>
      <c r="AW109" s="30"/>
      <c r="AX109" s="30"/>
      <c r="AY109" s="30"/>
      <c r="AZ109" s="30"/>
    </row>
    <row r="110" ht="20.25" customHeight="1">
      <c r="A110" s="30"/>
      <c r="B110" s="30"/>
      <c r="C110" s="66"/>
      <c r="D110" s="68"/>
      <c r="E110" s="68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0"/>
      <c r="AV110" s="30"/>
      <c r="AW110" s="30"/>
      <c r="AX110" s="30"/>
      <c r="AY110" s="30"/>
      <c r="AZ110" s="30"/>
    </row>
    <row r="111" ht="20.25" customHeight="1">
      <c r="A111" s="30"/>
      <c r="B111" s="30"/>
      <c r="C111" s="66"/>
      <c r="D111" s="68"/>
      <c r="E111" s="68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0"/>
      <c r="AV111" s="30"/>
      <c r="AW111" s="30"/>
      <c r="AX111" s="30"/>
      <c r="AY111" s="30"/>
      <c r="AZ111" s="30"/>
    </row>
    <row r="112" ht="20.25" customHeight="1">
      <c r="A112" s="30"/>
      <c r="B112" s="30"/>
      <c r="C112" s="66"/>
      <c r="D112" s="68"/>
      <c r="E112" s="68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0"/>
      <c r="AV112" s="30"/>
      <c r="AW112" s="30"/>
      <c r="AX112" s="30"/>
      <c r="AY112" s="30"/>
      <c r="AZ112" s="30"/>
    </row>
    <row r="113" ht="20.25" customHeight="1">
      <c r="A113" s="30"/>
      <c r="B113" s="30"/>
      <c r="C113" s="66"/>
      <c r="D113" s="68"/>
      <c r="E113" s="68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0"/>
      <c r="AV113" s="30"/>
      <c r="AW113" s="30"/>
      <c r="AX113" s="30"/>
      <c r="AY113" s="30"/>
      <c r="AZ113" s="30"/>
    </row>
    <row r="114" ht="20.25" customHeight="1">
      <c r="A114" s="30"/>
      <c r="B114" s="30"/>
      <c r="C114" s="66"/>
      <c r="D114" s="68"/>
      <c r="E114" s="68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0"/>
      <c r="AV114" s="30"/>
      <c r="AW114" s="30"/>
      <c r="AX114" s="30"/>
      <c r="AY114" s="30"/>
      <c r="AZ114" s="30"/>
    </row>
    <row r="115" ht="20.25" customHeight="1">
      <c r="A115" s="30"/>
      <c r="B115" s="30"/>
      <c r="C115" s="66"/>
      <c r="D115" s="68"/>
      <c r="E115" s="68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0"/>
      <c r="AV115" s="30"/>
      <c r="AW115" s="30"/>
      <c r="AX115" s="30"/>
      <c r="AY115" s="30"/>
      <c r="AZ115" s="30"/>
    </row>
    <row r="116" ht="20.25" customHeight="1">
      <c r="A116" s="30"/>
      <c r="B116" s="30"/>
      <c r="C116" s="66"/>
      <c r="D116" s="68"/>
      <c r="E116" s="68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0"/>
      <c r="AV116" s="30"/>
      <c r="AW116" s="30"/>
      <c r="AX116" s="30"/>
      <c r="AY116" s="30"/>
      <c r="AZ116" s="30"/>
    </row>
    <row r="117" ht="20.25" customHeight="1">
      <c r="A117" s="30"/>
      <c r="B117" s="30"/>
      <c r="C117" s="66"/>
      <c r="D117" s="68"/>
      <c r="E117" s="68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0"/>
      <c r="AV117" s="30"/>
      <c r="AW117" s="30"/>
      <c r="AX117" s="30"/>
      <c r="AY117" s="30"/>
      <c r="AZ117" s="30"/>
    </row>
    <row r="118" ht="20.25" customHeight="1">
      <c r="A118" s="30"/>
      <c r="B118" s="30"/>
      <c r="C118" s="66"/>
      <c r="D118" s="68"/>
      <c r="E118" s="68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0"/>
      <c r="AV118" s="30"/>
      <c r="AW118" s="30"/>
      <c r="AX118" s="30"/>
      <c r="AY118" s="30"/>
      <c r="AZ118" s="30"/>
    </row>
    <row r="119" ht="20.25" customHeight="1">
      <c r="A119" s="30"/>
      <c r="B119" s="30"/>
      <c r="C119" s="66"/>
      <c r="D119" s="68"/>
      <c r="E119" s="68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0"/>
      <c r="AV119" s="30"/>
      <c r="AW119" s="30"/>
      <c r="AX119" s="30"/>
      <c r="AY119" s="30"/>
      <c r="AZ119" s="30"/>
    </row>
    <row r="120" ht="20.25" customHeight="1">
      <c r="A120" s="30"/>
      <c r="B120" s="30"/>
      <c r="C120" s="66"/>
      <c r="D120" s="68"/>
      <c r="E120" s="68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0"/>
      <c r="AV120" s="30"/>
      <c r="AW120" s="30"/>
      <c r="AX120" s="30"/>
      <c r="AY120" s="30"/>
      <c r="AZ120" s="30"/>
    </row>
    <row r="121" ht="20.25" customHeight="1">
      <c r="A121" s="30"/>
      <c r="B121" s="30"/>
      <c r="C121" s="66"/>
      <c r="D121" s="68"/>
      <c r="E121" s="68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0"/>
      <c r="AV121" s="30"/>
      <c r="AW121" s="30"/>
      <c r="AX121" s="30"/>
      <c r="AY121" s="30"/>
      <c r="AZ121" s="30"/>
    </row>
    <row r="122" ht="20.25" customHeight="1">
      <c r="A122" s="30"/>
      <c r="B122" s="30"/>
      <c r="C122" s="66"/>
      <c r="D122" s="68"/>
      <c r="E122" s="68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0"/>
      <c r="AV122" s="30"/>
      <c r="AW122" s="30"/>
      <c r="AX122" s="30"/>
      <c r="AY122" s="30"/>
      <c r="AZ122" s="30"/>
    </row>
    <row r="123" ht="20.25" customHeight="1">
      <c r="A123" s="30"/>
      <c r="B123" s="30"/>
      <c r="C123" s="66"/>
      <c r="D123" s="68"/>
      <c r="E123" s="68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0"/>
      <c r="AV123" s="30"/>
      <c r="AW123" s="30"/>
      <c r="AX123" s="30"/>
      <c r="AY123" s="30"/>
      <c r="AZ123" s="30"/>
    </row>
    <row r="124" ht="20.25" customHeight="1">
      <c r="A124" s="30"/>
      <c r="B124" s="30"/>
      <c r="C124" s="66"/>
      <c r="D124" s="68"/>
      <c r="E124" s="68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0"/>
      <c r="AV124" s="30"/>
      <c r="AW124" s="30"/>
      <c r="AX124" s="30"/>
      <c r="AY124" s="30"/>
      <c r="AZ124" s="30"/>
    </row>
    <row r="125" ht="20.25" customHeight="1">
      <c r="A125" s="30"/>
      <c r="B125" s="30"/>
      <c r="C125" s="66"/>
      <c r="D125" s="68"/>
      <c r="E125" s="68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0"/>
      <c r="AV125" s="30"/>
      <c r="AW125" s="30"/>
      <c r="AX125" s="30"/>
      <c r="AY125" s="30"/>
      <c r="AZ125" s="30"/>
    </row>
    <row r="126" ht="20.25" customHeight="1">
      <c r="A126" s="30"/>
      <c r="B126" s="30"/>
      <c r="C126" s="66"/>
      <c r="D126" s="68"/>
      <c r="E126" s="68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0"/>
      <c r="AV126" s="30"/>
      <c r="AW126" s="30"/>
      <c r="AX126" s="30"/>
      <c r="AY126" s="30"/>
      <c r="AZ126" s="30"/>
    </row>
    <row r="127" ht="20.25" customHeight="1">
      <c r="A127" s="30"/>
      <c r="B127" s="30"/>
      <c r="C127" s="66"/>
      <c r="D127" s="68"/>
      <c r="E127" s="68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0"/>
      <c r="AV127" s="30"/>
      <c r="AW127" s="30"/>
      <c r="AX127" s="30"/>
      <c r="AY127" s="30"/>
      <c r="AZ127" s="30"/>
    </row>
    <row r="128" ht="20.25" customHeight="1">
      <c r="A128" s="30"/>
      <c r="B128" s="30"/>
      <c r="C128" s="66"/>
      <c r="D128" s="68"/>
      <c r="E128" s="68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0"/>
      <c r="AV128" s="30"/>
      <c r="AW128" s="30"/>
      <c r="AX128" s="30"/>
      <c r="AY128" s="30"/>
      <c r="AZ128" s="30"/>
    </row>
    <row r="129" ht="20.25" customHeight="1">
      <c r="A129" s="30"/>
      <c r="B129" s="30"/>
      <c r="C129" s="66"/>
      <c r="D129" s="68"/>
      <c r="E129" s="68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0"/>
      <c r="AV129" s="30"/>
      <c r="AW129" s="30"/>
      <c r="AX129" s="30"/>
      <c r="AY129" s="30"/>
      <c r="AZ129" s="30"/>
    </row>
    <row r="130" ht="20.25" customHeight="1">
      <c r="A130" s="30"/>
      <c r="B130" s="30"/>
      <c r="C130" s="66"/>
      <c r="D130" s="68"/>
      <c r="E130" s="68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0"/>
      <c r="AV130" s="30"/>
      <c r="AW130" s="30"/>
      <c r="AX130" s="30"/>
      <c r="AY130" s="30"/>
      <c r="AZ130" s="30"/>
    </row>
    <row r="131" ht="20.25" customHeight="1">
      <c r="A131" s="30"/>
      <c r="B131" s="30"/>
      <c r="C131" s="66"/>
      <c r="D131" s="68"/>
      <c r="E131" s="68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0"/>
      <c r="AV131" s="30"/>
      <c r="AW131" s="30"/>
      <c r="AX131" s="30"/>
      <c r="AY131" s="30"/>
      <c r="AZ131" s="30"/>
    </row>
    <row r="132" ht="20.25" customHeight="1">
      <c r="A132" s="30"/>
      <c r="B132" s="30"/>
      <c r="C132" s="66"/>
      <c r="D132" s="68"/>
      <c r="E132" s="68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0"/>
      <c r="AV132" s="30"/>
      <c r="AW132" s="30"/>
      <c r="AX132" s="30"/>
      <c r="AY132" s="30"/>
      <c r="AZ132" s="30"/>
    </row>
    <row r="133" ht="20.25" customHeight="1">
      <c r="A133" s="30"/>
      <c r="B133" s="30"/>
      <c r="C133" s="66"/>
      <c r="D133" s="68"/>
      <c r="E133" s="68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0"/>
      <c r="AV133" s="30"/>
      <c r="AW133" s="30"/>
      <c r="AX133" s="30"/>
      <c r="AY133" s="30"/>
      <c r="AZ133" s="30"/>
    </row>
    <row r="134" ht="20.25" customHeight="1">
      <c r="A134" s="30"/>
      <c r="B134" s="30"/>
      <c r="C134" s="66"/>
      <c r="D134" s="68"/>
      <c r="E134" s="68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0"/>
      <c r="AV134" s="30"/>
      <c r="AW134" s="30"/>
      <c r="AX134" s="30"/>
      <c r="AY134" s="30"/>
      <c r="AZ134" s="30"/>
    </row>
    <row r="135" ht="20.25" customHeight="1">
      <c r="A135" s="30"/>
      <c r="B135" s="30"/>
      <c r="C135" s="66"/>
      <c r="D135" s="68"/>
      <c r="E135" s="68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0"/>
      <c r="AV135" s="30"/>
      <c r="AW135" s="30"/>
      <c r="AX135" s="30"/>
      <c r="AY135" s="30"/>
      <c r="AZ135" s="30"/>
    </row>
    <row r="136" ht="20.25" customHeight="1">
      <c r="A136" s="30"/>
      <c r="B136" s="30"/>
      <c r="C136" s="66"/>
      <c r="D136" s="68"/>
      <c r="E136" s="6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0"/>
      <c r="AV136" s="30"/>
      <c r="AW136" s="30"/>
      <c r="AX136" s="30"/>
      <c r="AY136" s="30"/>
      <c r="AZ136" s="30"/>
    </row>
    <row r="137" ht="20.25" customHeight="1">
      <c r="A137" s="30"/>
      <c r="B137" s="30"/>
      <c r="C137" s="66"/>
      <c r="D137" s="68"/>
      <c r="E137" s="68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0"/>
      <c r="AV137" s="30"/>
      <c r="AW137" s="30"/>
      <c r="AX137" s="30"/>
      <c r="AY137" s="30"/>
      <c r="AZ137" s="30"/>
    </row>
    <row r="138" ht="20.25" customHeight="1">
      <c r="A138" s="30"/>
      <c r="B138" s="30"/>
      <c r="C138" s="66"/>
      <c r="D138" s="68"/>
      <c r="E138" s="68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0"/>
      <c r="AV138" s="30"/>
      <c r="AW138" s="30"/>
      <c r="AX138" s="30"/>
      <c r="AY138" s="30"/>
      <c r="AZ138" s="30"/>
    </row>
    <row r="139" ht="20.25" customHeight="1">
      <c r="A139" s="30"/>
      <c r="B139" s="30"/>
      <c r="C139" s="66"/>
      <c r="D139" s="68"/>
      <c r="E139" s="68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0"/>
      <c r="AV139" s="30"/>
      <c r="AW139" s="30"/>
      <c r="AX139" s="30"/>
      <c r="AY139" s="30"/>
      <c r="AZ139" s="30"/>
    </row>
    <row r="140" ht="20.25" customHeight="1">
      <c r="A140" s="30"/>
      <c r="B140" s="30"/>
      <c r="C140" s="66"/>
      <c r="D140" s="68"/>
      <c r="E140" s="68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0"/>
      <c r="AV140" s="30"/>
      <c r="AW140" s="30"/>
      <c r="AX140" s="30"/>
      <c r="AY140" s="30"/>
      <c r="AZ140" s="30"/>
    </row>
    <row r="141" ht="20.25" customHeight="1">
      <c r="A141" s="30"/>
      <c r="B141" s="30"/>
      <c r="C141" s="66"/>
      <c r="D141" s="68"/>
      <c r="E141" s="68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0"/>
      <c r="AV141" s="30"/>
      <c r="AW141" s="30"/>
      <c r="AX141" s="30"/>
      <c r="AY141" s="30"/>
      <c r="AZ141" s="30"/>
    </row>
    <row r="142" ht="20.25" customHeight="1">
      <c r="A142" s="30"/>
      <c r="B142" s="30"/>
      <c r="C142" s="66"/>
      <c r="D142" s="68"/>
      <c r="E142" s="68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0"/>
      <c r="AV142" s="30"/>
      <c r="AW142" s="30"/>
      <c r="AX142" s="30"/>
      <c r="AY142" s="30"/>
      <c r="AZ142" s="30"/>
    </row>
    <row r="143" ht="20.25" customHeight="1">
      <c r="A143" s="30"/>
      <c r="B143" s="30"/>
      <c r="C143" s="66"/>
      <c r="D143" s="68"/>
      <c r="E143" s="6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0"/>
      <c r="AV143" s="30"/>
      <c r="AW143" s="30"/>
      <c r="AX143" s="30"/>
      <c r="AY143" s="30"/>
      <c r="AZ143" s="30"/>
    </row>
    <row r="144" ht="20.25" customHeight="1">
      <c r="A144" s="30"/>
      <c r="B144" s="30"/>
      <c r="C144" s="66"/>
      <c r="D144" s="68"/>
      <c r="E144" s="68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0"/>
      <c r="AV144" s="30"/>
      <c r="AW144" s="30"/>
      <c r="AX144" s="30"/>
      <c r="AY144" s="30"/>
      <c r="AZ144" s="30"/>
    </row>
    <row r="145" ht="20.25" customHeight="1">
      <c r="A145" s="30"/>
      <c r="B145" s="30"/>
      <c r="C145" s="66"/>
      <c r="D145" s="68"/>
      <c r="E145" s="68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0"/>
      <c r="AV145" s="30"/>
      <c r="AW145" s="30"/>
      <c r="AX145" s="30"/>
      <c r="AY145" s="30"/>
      <c r="AZ145" s="30"/>
    </row>
    <row r="146" ht="20.25" customHeight="1">
      <c r="A146" s="30"/>
      <c r="B146" s="30"/>
      <c r="C146" s="66"/>
      <c r="D146" s="68"/>
      <c r="E146" s="68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0"/>
      <c r="AV146" s="30"/>
      <c r="AW146" s="30"/>
      <c r="AX146" s="30"/>
      <c r="AY146" s="30"/>
      <c r="AZ146" s="30"/>
    </row>
    <row r="147" ht="20.25" customHeight="1">
      <c r="A147" s="30"/>
      <c r="B147" s="30"/>
      <c r="C147" s="66"/>
      <c r="D147" s="68"/>
      <c r="E147" s="68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0"/>
      <c r="AV147" s="30"/>
      <c r="AW147" s="30"/>
      <c r="AX147" s="30"/>
      <c r="AY147" s="30"/>
      <c r="AZ147" s="30"/>
    </row>
    <row r="148" ht="20.25" customHeight="1">
      <c r="A148" s="30"/>
      <c r="B148" s="30"/>
      <c r="C148" s="66"/>
      <c r="D148" s="68"/>
      <c r="E148" s="68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0"/>
      <c r="AV148" s="30"/>
      <c r="AW148" s="30"/>
      <c r="AX148" s="30"/>
      <c r="AY148" s="30"/>
      <c r="AZ148" s="30"/>
    </row>
    <row r="149" ht="20.25" customHeight="1">
      <c r="A149" s="30"/>
      <c r="B149" s="30"/>
      <c r="C149" s="66"/>
      <c r="D149" s="68"/>
      <c r="E149" s="6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0"/>
      <c r="AV149" s="30"/>
      <c r="AW149" s="30"/>
      <c r="AX149" s="30"/>
      <c r="AY149" s="30"/>
      <c r="AZ149" s="30"/>
    </row>
    <row r="150" ht="20.25" customHeight="1">
      <c r="A150" s="30"/>
      <c r="B150" s="30"/>
      <c r="C150" s="66"/>
      <c r="D150" s="68"/>
      <c r="E150" s="68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0"/>
      <c r="AV150" s="30"/>
      <c r="AW150" s="30"/>
      <c r="AX150" s="30"/>
      <c r="AY150" s="30"/>
      <c r="AZ150" s="30"/>
    </row>
    <row r="151" ht="20.25" customHeight="1">
      <c r="A151" s="30"/>
      <c r="B151" s="30"/>
      <c r="C151" s="66"/>
      <c r="D151" s="68"/>
      <c r="E151" s="68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0"/>
      <c r="AV151" s="30"/>
      <c r="AW151" s="30"/>
      <c r="AX151" s="30"/>
      <c r="AY151" s="30"/>
      <c r="AZ151" s="30"/>
    </row>
    <row r="152" ht="20.25" customHeight="1">
      <c r="A152" s="30"/>
      <c r="B152" s="30"/>
      <c r="C152" s="66"/>
      <c r="D152" s="68"/>
      <c r="E152" s="68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0"/>
      <c r="AV152" s="30"/>
      <c r="AW152" s="30"/>
      <c r="AX152" s="30"/>
      <c r="AY152" s="30"/>
      <c r="AZ152" s="30"/>
    </row>
    <row r="153" ht="20.25" customHeight="1">
      <c r="A153" s="30"/>
      <c r="B153" s="30"/>
      <c r="C153" s="66"/>
      <c r="D153" s="68"/>
      <c r="E153" s="68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0"/>
      <c r="AV153" s="30"/>
      <c r="AW153" s="30"/>
      <c r="AX153" s="30"/>
      <c r="AY153" s="30"/>
      <c r="AZ153" s="30"/>
    </row>
    <row r="154" ht="20.25" customHeight="1">
      <c r="A154" s="30"/>
      <c r="B154" s="30"/>
      <c r="C154" s="66"/>
      <c r="D154" s="68"/>
      <c r="E154" s="68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0"/>
      <c r="AV154" s="30"/>
      <c r="AW154" s="30"/>
      <c r="AX154" s="30"/>
      <c r="AY154" s="30"/>
      <c r="AZ154" s="30"/>
    </row>
    <row r="155" ht="20.25" customHeight="1">
      <c r="A155" s="30"/>
      <c r="B155" s="30"/>
      <c r="C155" s="66"/>
      <c r="D155" s="68"/>
      <c r="E155" s="68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0"/>
      <c r="AV155" s="30"/>
      <c r="AW155" s="30"/>
      <c r="AX155" s="30"/>
      <c r="AY155" s="30"/>
      <c r="AZ155" s="30"/>
    </row>
    <row r="156" ht="20.25" customHeight="1">
      <c r="A156" s="30"/>
      <c r="B156" s="30"/>
      <c r="C156" s="66"/>
      <c r="D156" s="68"/>
      <c r="E156" s="68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0"/>
      <c r="AV156" s="30"/>
      <c r="AW156" s="30"/>
      <c r="AX156" s="30"/>
      <c r="AY156" s="30"/>
      <c r="AZ156" s="30"/>
    </row>
    <row r="157" ht="20.25" customHeight="1">
      <c r="A157" s="30"/>
      <c r="B157" s="30"/>
      <c r="C157" s="66"/>
      <c r="D157" s="68"/>
      <c r="E157" s="68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0"/>
      <c r="AV157" s="30"/>
      <c r="AW157" s="30"/>
      <c r="AX157" s="30"/>
      <c r="AY157" s="30"/>
      <c r="AZ157" s="30"/>
    </row>
    <row r="158" ht="20.25" customHeight="1">
      <c r="A158" s="30"/>
      <c r="B158" s="30"/>
      <c r="C158" s="66"/>
      <c r="D158" s="68"/>
      <c r="E158" s="68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0"/>
      <c r="AV158" s="30"/>
      <c r="AW158" s="30"/>
      <c r="AX158" s="30"/>
      <c r="AY158" s="30"/>
      <c r="AZ158" s="30"/>
    </row>
    <row r="159" ht="20.25" customHeight="1">
      <c r="A159" s="30"/>
      <c r="B159" s="30"/>
      <c r="C159" s="66"/>
      <c r="D159" s="68"/>
      <c r="E159" s="68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0"/>
      <c r="AV159" s="30"/>
      <c r="AW159" s="30"/>
      <c r="AX159" s="30"/>
      <c r="AY159" s="30"/>
      <c r="AZ159" s="30"/>
    </row>
    <row r="160" ht="20.25" customHeight="1">
      <c r="A160" s="30"/>
      <c r="B160" s="30"/>
      <c r="C160" s="66"/>
      <c r="D160" s="68"/>
      <c r="E160" s="68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0"/>
      <c r="AV160" s="30"/>
      <c r="AW160" s="30"/>
      <c r="AX160" s="30"/>
      <c r="AY160" s="30"/>
      <c r="AZ160" s="30"/>
    </row>
    <row r="161" ht="20.25" customHeight="1">
      <c r="A161" s="30"/>
      <c r="B161" s="30"/>
      <c r="C161" s="66"/>
      <c r="D161" s="68"/>
      <c r="E161" s="68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0"/>
      <c r="AV161" s="30"/>
      <c r="AW161" s="30"/>
      <c r="AX161" s="30"/>
      <c r="AY161" s="30"/>
      <c r="AZ161" s="30"/>
    </row>
    <row r="162" ht="20.25" customHeight="1">
      <c r="A162" s="30"/>
      <c r="B162" s="30"/>
      <c r="C162" s="66"/>
      <c r="D162" s="68"/>
      <c r="E162" s="68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0"/>
      <c r="AV162" s="30"/>
      <c r="AW162" s="30"/>
      <c r="AX162" s="30"/>
      <c r="AY162" s="30"/>
      <c r="AZ162" s="30"/>
    </row>
    <row r="163" ht="20.25" customHeight="1">
      <c r="A163" s="30"/>
      <c r="B163" s="30"/>
      <c r="C163" s="66"/>
      <c r="D163" s="68"/>
      <c r="E163" s="68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0"/>
      <c r="AV163" s="30"/>
      <c r="AW163" s="30"/>
      <c r="AX163" s="30"/>
      <c r="AY163" s="30"/>
      <c r="AZ163" s="30"/>
    </row>
    <row r="164" ht="20.25" customHeight="1">
      <c r="A164" s="30"/>
      <c r="B164" s="30"/>
      <c r="C164" s="66"/>
      <c r="D164" s="68"/>
      <c r="E164" s="68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0"/>
      <c r="AV164" s="30"/>
      <c r="AW164" s="30"/>
      <c r="AX164" s="30"/>
      <c r="AY164" s="30"/>
      <c r="AZ164" s="30"/>
    </row>
    <row r="165" ht="20.25" customHeight="1">
      <c r="A165" s="30"/>
      <c r="B165" s="30"/>
      <c r="C165" s="66"/>
      <c r="D165" s="68"/>
      <c r="E165" s="68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0"/>
      <c r="AV165" s="30"/>
      <c r="AW165" s="30"/>
      <c r="AX165" s="30"/>
      <c r="AY165" s="30"/>
      <c r="AZ165" s="30"/>
    </row>
    <row r="166" ht="20.25" customHeight="1">
      <c r="A166" s="30"/>
      <c r="B166" s="30"/>
      <c r="C166" s="66"/>
      <c r="D166" s="68"/>
      <c r="E166" s="68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0"/>
      <c r="AV166" s="30"/>
      <c r="AW166" s="30"/>
      <c r="AX166" s="30"/>
      <c r="AY166" s="30"/>
      <c r="AZ166" s="30"/>
    </row>
    <row r="167" ht="20.25" customHeight="1">
      <c r="A167" s="30"/>
      <c r="B167" s="30"/>
      <c r="C167" s="66"/>
      <c r="D167" s="68"/>
      <c r="E167" s="68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0"/>
      <c r="AV167" s="30"/>
      <c r="AW167" s="30"/>
      <c r="AX167" s="30"/>
      <c r="AY167" s="30"/>
      <c r="AZ167" s="30"/>
    </row>
    <row r="168" ht="20.25" customHeight="1">
      <c r="A168" s="30"/>
      <c r="B168" s="30"/>
      <c r="C168" s="66"/>
      <c r="D168" s="68"/>
      <c r="E168" s="68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0"/>
      <c r="AV168" s="30"/>
      <c r="AW168" s="30"/>
      <c r="AX168" s="30"/>
      <c r="AY168" s="30"/>
      <c r="AZ168" s="30"/>
    </row>
    <row r="169" ht="20.25" customHeight="1">
      <c r="A169" s="30"/>
      <c r="B169" s="30"/>
      <c r="C169" s="66"/>
      <c r="D169" s="68"/>
      <c r="E169" s="68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0"/>
      <c r="AV169" s="30"/>
      <c r="AW169" s="30"/>
      <c r="AX169" s="30"/>
      <c r="AY169" s="30"/>
      <c r="AZ169" s="30"/>
    </row>
    <row r="170" ht="20.25" customHeight="1">
      <c r="A170" s="30"/>
      <c r="B170" s="30"/>
      <c r="C170" s="66"/>
      <c r="D170" s="68"/>
      <c r="E170" s="68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0"/>
      <c r="AV170" s="30"/>
      <c r="AW170" s="30"/>
      <c r="AX170" s="30"/>
      <c r="AY170" s="30"/>
      <c r="AZ170" s="30"/>
    </row>
    <row r="171" ht="20.25" customHeight="1">
      <c r="A171" s="30"/>
      <c r="B171" s="30"/>
      <c r="C171" s="66"/>
      <c r="D171" s="68"/>
      <c r="E171" s="68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0"/>
      <c r="AV171" s="30"/>
      <c r="AW171" s="30"/>
      <c r="AX171" s="30"/>
      <c r="AY171" s="30"/>
      <c r="AZ171" s="30"/>
    </row>
    <row r="172" ht="20.25" customHeight="1">
      <c r="A172" s="30"/>
      <c r="B172" s="30"/>
      <c r="C172" s="66"/>
      <c r="D172" s="68"/>
      <c r="E172" s="68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0"/>
      <c r="AV172" s="30"/>
      <c r="AW172" s="30"/>
      <c r="AX172" s="30"/>
      <c r="AY172" s="30"/>
      <c r="AZ172" s="30"/>
    </row>
    <row r="173" ht="20.25" customHeight="1">
      <c r="A173" s="30"/>
      <c r="B173" s="30"/>
      <c r="C173" s="66"/>
      <c r="D173" s="68"/>
      <c r="E173" s="68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0"/>
      <c r="AV173" s="30"/>
      <c r="AW173" s="30"/>
      <c r="AX173" s="30"/>
      <c r="AY173" s="30"/>
      <c r="AZ173" s="30"/>
    </row>
    <row r="174" ht="20.25" customHeight="1">
      <c r="A174" s="30"/>
      <c r="B174" s="30"/>
      <c r="C174" s="66"/>
      <c r="D174" s="68"/>
      <c r="E174" s="68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0"/>
      <c r="AV174" s="30"/>
      <c r="AW174" s="30"/>
      <c r="AX174" s="30"/>
      <c r="AY174" s="30"/>
      <c r="AZ174" s="30"/>
    </row>
    <row r="175" ht="20.25" customHeight="1">
      <c r="A175" s="30"/>
      <c r="B175" s="30"/>
      <c r="C175" s="66"/>
      <c r="D175" s="68"/>
      <c r="E175" s="68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0"/>
      <c r="AV175" s="30"/>
      <c r="AW175" s="30"/>
      <c r="AX175" s="30"/>
      <c r="AY175" s="30"/>
      <c r="AZ175" s="30"/>
    </row>
    <row r="176" ht="20.25" customHeight="1">
      <c r="A176" s="30"/>
      <c r="B176" s="30"/>
      <c r="C176" s="66"/>
      <c r="D176" s="68"/>
      <c r="E176" s="68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0"/>
      <c r="AV176" s="30"/>
      <c r="AW176" s="30"/>
      <c r="AX176" s="30"/>
      <c r="AY176" s="30"/>
      <c r="AZ176" s="30"/>
    </row>
    <row r="177" ht="20.25" customHeight="1">
      <c r="A177" s="30"/>
      <c r="B177" s="30"/>
      <c r="C177" s="66"/>
      <c r="D177" s="68"/>
      <c r="E177" s="68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0"/>
      <c r="AV177" s="30"/>
      <c r="AW177" s="30"/>
      <c r="AX177" s="30"/>
      <c r="AY177" s="30"/>
      <c r="AZ177" s="30"/>
    </row>
    <row r="178" ht="20.25" customHeight="1">
      <c r="A178" s="30"/>
      <c r="B178" s="30"/>
      <c r="C178" s="66"/>
      <c r="D178" s="68"/>
      <c r="E178" s="68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0"/>
      <c r="AV178" s="30"/>
      <c r="AW178" s="30"/>
      <c r="AX178" s="30"/>
      <c r="AY178" s="30"/>
      <c r="AZ178" s="30"/>
    </row>
    <row r="179" ht="20.25" customHeight="1">
      <c r="A179" s="30"/>
      <c r="B179" s="30"/>
      <c r="C179" s="66"/>
      <c r="D179" s="68"/>
      <c r="E179" s="68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0"/>
      <c r="AV179" s="30"/>
      <c r="AW179" s="30"/>
      <c r="AX179" s="30"/>
      <c r="AY179" s="30"/>
      <c r="AZ179" s="30"/>
    </row>
    <row r="180" ht="20.25" customHeight="1">
      <c r="A180" s="30"/>
      <c r="B180" s="30"/>
      <c r="C180" s="66"/>
      <c r="D180" s="68"/>
      <c r="E180" s="68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0"/>
      <c r="AV180" s="30"/>
      <c r="AW180" s="30"/>
      <c r="AX180" s="30"/>
      <c r="AY180" s="30"/>
      <c r="AZ180" s="30"/>
    </row>
    <row r="181" ht="20.25" customHeight="1">
      <c r="A181" s="30"/>
      <c r="B181" s="30"/>
      <c r="C181" s="66"/>
      <c r="D181" s="68"/>
      <c r="E181" s="68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0"/>
      <c r="AV181" s="30"/>
      <c r="AW181" s="30"/>
      <c r="AX181" s="30"/>
      <c r="AY181" s="30"/>
      <c r="AZ181" s="30"/>
    </row>
    <row r="182" ht="20.25" customHeight="1">
      <c r="A182" s="30"/>
      <c r="B182" s="30"/>
      <c r="C182" s="66"/>
      <c r="D182" s="68"/>
      <c r="E182" s="68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0"/>
      <c r="AV182" s="30"/>
      <c r="AW182" s="30"/>
      <c r="AX182" s="30"/>
      <c r="AY182" s="30"/>
      <c r="AZ182" s="30"/>
    </row>
    <row r="183" ht="20.25" customHeight="1">
      <c r="A183" s="30"/>
      <c r="B183" s="30"/>
      <c r="C183" s="66"/>
      <c r="D183" s="68"/>
      <c r="E183" s="68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0"/>
      <c r="AV183" s="30"/>
      <c r="AW183" s="30"/>
      <c r="AX183" s="30"/>
      <c r="AY183" s="30"/>
      <c r="AZ183" s="30"/>
    </row>
    <row r="184" ht="20.25" customHeight="1">
      <c r="A184" s="30"/>
      <c r="B184" s="30"/>
      <c r="C184" s="66"/>
      <c r="D184" s="68"/>
      <c r="E184" s="68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0"/>
      <c r="AV184" s="30"/>
      <c r="AW184" s="30"/>
      <c r="AX184" s="30"/>
      <c r="AY184" s="30"/>
      <c r="AZ184" s="30"/>
    </row>
    <row r="185" ht="20.25" customHeight="1">
      <c r="A185" s="30"/>
      <c r="B185" s="30"/>
      <c r="C185" s="66"/>
      <c r="D185" s="68"/>
      <c r="E185" s="68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0"/>
      <c r="AV185" s="30"/>
      <c r="AW185" s="30"/>
      <c r="AX185" s="30"/>
      <c r="AY185" s="30"/>
      <c r="AZ185" s="30"/>
    </row>
    <row r="186" ht="20.25" customHeight="1">
      <c r="A186" s="30"/>
      <c r="B186" s="30"/>
      <c r="C186" s="66"/>
      <c r="D186" s="68"/>
      <c r="E186" s="68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0"/>
      <c r="AV186" s="30"/>
      <c r="AW186" s="30"/>
      <c r="AX186" s="30"/>
      <c r="AY186" s="30"/>
      <c r="AZ186" s="30"/>
    </row>
    <row r="187" ht="20.25" customHeight="1">
      <c r="A187" s="30"/>
      <c r="B187" s="30"/>
      <c r="C187" s="66"/>
      <c r="D187" s="68"/>
      <c r="E187" s="68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0"/>
      <c r="AV187" s="30"/>
      <c r="AW187" s="30"/>
      <c r="AX187" s="30"/>
      <c r="AY187" s="30"/>
      <c r="AZ187" s="30"/>
    </row>
    <row r="188" ht="20.25" customHeight="1">
      <c r="A188" s="30"/>
      <c r="B188" s="30"/>
      <c r="C188" s="66"/>
      <c r="D188" s="68"/>
      <c r="E188" s="68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0"/>
      <c r="AV188" s="30"/>
      <c r="AW188" s="30"/>
      <c r="AX188" s="30"/>
      <c r="AY188" s="30"/>
      <c r="AZ188" s="30"/>
    </row>
    <row r="189" ht="20.25" customHeight="1">
      <c r="A189" s="30"/>
      <c r="B189" s="30"/>
      <c r="C189" s="66"/>
      <c r="D189" s="68"/>
      <c r="E189" s="68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0"/>
      <c r="AV189" s="30"/>
      <c r="AW189" s="30"/>
      <c r="AX189" s="30"/>
      <c r="AY189" s="30"/>
      <c r="AZ189" s="30"/>
    </row>
    <row r="190" ht="20.25" customHeight="1">
      <c r="A190" s="30"/>
      <c r="B190" s="30"/>
      <c r="C190" s="66"/>
      <c r="D190" s="68"/>
      <c r="E190" s="68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0"/>
      <c r="AV190" s="30"/>
      <c r="AW190" s="30"/>
      <c r="AX190" s="30"/>
      <c r="AY190" s="30"/>
      <c r="AZ190" s="30"/>
    </row>
    <row r="191" ht="20.25" customHeight="1">
      <c r="A191" s="30"/>
      <c r="B191" s="30"/>
      <c r="C191" s="66"/>
      <c r="D191" s="68"/>
      <c r="E191" s="68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0"/>
      <c r="AV191" s="30"/>
      <c r="AW191" s="30"/>
      <c r="AX191" s="30"/>
      <c r="AY191" s="30"/>
      <c r="AZ191" s="30"/>
    </row>
    <row r="192" ht="20.25" customHeight="1">
      <c r="A192" s="30"/>
      <c r="B192" s="30"/>
      <c r="C192" s="66"/>
      <c r="D192" s="68"/>
      <c r="E192" s="68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0"/>
      <c r="AV192" s="30"/>
      <c r="AW192" s="30"/>
      <c r="AX192" s="30"/>
      <c r="AY192" s="30"/>
      <c r="AZ192" s="30"/>
    </row>
    <row r="193" ht="20.25" customHeight="1">
      <c r="A193" s="30"/>
      <c r="B193" s="30"/>
      <c r="C193" s="66"/>
      <c r="D193" s="68"/>
      <c r="E193" s="68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0"/>
      <c r="AV193" s="30"/>
      <c r="AW193" s="30"/>
      <c r="AX193" s="30"/>
      <c r="AY193" s="30"/>
      <c r="AZ193" s="30"/>
    </row>
    <row r="194" ht="20.25" customHeight="1">
      <c r="A194" s="30"/>
      <c r="B194" s="30"/>
      <c r="C194" s="66"/>
      <c r="D194" s="68"/>
      <c r="E194" s="68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0"/>
      <c r="AV194" s="30"/>
      <c r="AW194" s="30"/>
      <c r="AX194" s="30"/>
      <c r="AY194" s="30"/>
      <c r="AZ194" s="30"/>
    </row>
    <row r="195" ht="20.25" customHeight="1">
      <c r="A195" s="30"/>
      <c r="B195" s="30"/>
      <c r="C195" s="66"/>
      <c r="D195" s="68"/>
      <c r="E195" s="68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0"/>
      <c r="AV195" s="30"/>
      <c r="AW195" s="30"/>
      <c r="AX195" s="30"/>
      <c r="AY195" s="30"/>
      <c r="AZ195" s="30"/>
    </row>
    <row r="196" ht="20.25" customHeight="1">
      <c r="A196" s="30"/>
      <c r="B196" s="30"/>
      <c r="C196" s="66"/>
      <c r="D196" s="68"/>
      <c r="E196" s="68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0"/>
      <c r="AV196" s="30"/>
      <c r="AW196" s="30"/>
      <c r="AX196" s="30"/>
      <c r="AY196" s="30"/>
      <c r="AZ196" s="30"/>
    </row>
    <row r="197" ht="20.25" customHeight="1">
      <c r="A197" s="30"/>
      <c r="B197" s="30"/>
      <c r="C197" s="66"/>
      <c r="D197" s="68"/>
      <c r="E197" s="68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0"/>
      <c r="AV197" s="30"/>
      <c r="AW197" s="30"/>
      <c r="AX197" s="30"/>
      <c r="AY197" s="30"/>
      <c r="AZ197" s="30"/>
    </row>
    <row r="198" ht="20.25" customHeight="1">
      <c r="A198" s="30"/>
      <c r="B198" s="30"/>
      <c r="C198" s="66"/>
      <c r="D198" s="68"/>
      <c r="E198" s="68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0"/>
      <c r="AV198" s="30"/>
      <c r="AW198" s="30"/>
      <c r="AX198" s="30"/>
      <c r="AY198" s="30"/>
      <c r="AZ198" s="30"/>
    </row>
    <row r="199" ht="20.25" customHeight="1">
      <c r="A199" s="30"/>
      <c r="B199" s="30"/>
      <c r="C199" s="66"/>
      <c r="D199" s="68"/>
      <c r="E199" s="6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0"/>
      <c r="AV199" s="30"/>
      <c r="AW199" s="30"/>
      <c r="AX199" s="30"/>
      <c r="AY199" s="30"/>
      <c r="AZ199" s="30"/>
    </row>
    <row r="200" ht="20.25" customHeight="1">
      <c r="A200" s="30"/>
      <c r="B200" s="30"/>
      <c r="C200" s="66"/>
      <c r="D200" s="68"/>
      <c r="E200" s="68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0"/>
      <c r="AV200" s="30"/>
      <c r="AW200" s="30"/>
      <c r="AX200" s="30"/>
      <c r="AY200" s="30"/>
      <c r="AZ200" s="30"/>
    </row>
    <row r="201" ht="20.25" customHeight="1">
      <c r="A201" s="30"/>
      <c r="B201" s="30"/>
      <c r="C201" s="66"/>
      <c r="D201" s="68"/>
      <c r="E201" s="68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0"/>
      <c r="AV201" s="30"/>
      <c r="AW201" s="30"/>
      <c r="AX201" s="30"/>
      <c r="AY201" s="30"/>
      <c r="AZ201" s="30"/>
    </row>
    <row r="202" ht="20.25" customHeight="1">
      <c r="A202" s="30"/>
      <c r="B202" s="30"/>
      <c r="C202" s="66"/>
      <c r="D202" s="68"/>
      <c r="E202" s="68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0"/>
      <c r="AV202" s="30"/>
      <c r="AW202" s="30"/>
      <c r="AX202" s="30"/>
      <c r="AY202" s="30"/>
      <c r="AZ202" s="30"/>
    </row>
    <row r="203" ht="20.25" customHeight="1">
      <c r="A203" s="30"/>
      <c r="B203" s="30"/>
      <c r="C203" s="66"/>
      <c r="D203" s="68"/>
      <c r="E203" s="68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0"/>
      <c r="AV203" s="30"/>
      <c r="AW203" s="30"/>
      <c r="AX203" s="30"/>
      <c r="AY203" s="30"/>
      <c r="AZ203" s="30"/>
    </row>
    <row r="204" ht="20.25" customHeight="1">
      <c r="A204" s="30"/>
      <c r="B204" s="30"/>
      <c r="C204" s="66"/>
      <c r="D204" s="68"/>
      <c r="E204" s="68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0"/>
      <c r="AV204" s="30"/>
      <c r="AW204" s="30"/>
      <c r="AX204" s="30"/>
      <c r="AY204" s="30"/>
      <c r="AZ204" s="30"/>
    </row>
    <row r="205" ht="20.25" customHeight="1">
      <c r="A205" s="30"/>
      <c r="B205" s="30"/>
      <c r="C205" s="66"/>
      <c r="D205" s="68"/>
      <c r="E205" s="68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0"/>
      <c r="AV205" s="30"/>
      <c r="AW205" s="30"/>
      <c r="AX205" s="30"/>
      <c r="AY205" s="30"/>
      <c r="AZ205" s="30"/>
    </row>
    <row r="206" ht="20.25" customHeight="1">
      <c r="A206" s="30"/>
      <c r="B206" s="30"/>
      <c r="C206" s="66"/>
      <c r="D206" s="68"/>
      <c r="E206" s="68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0"/>
      <c r="AV206" s="30"/>
      <c r="AW206" s="30"/>
      <c r="AX206" s="30"/>
      <c r="AY206" s="30"/>
      <c r="AZ206" s="30"/>
    </row>
    <row r="207" ht="20.25" customHeight="1">
      <c r="A207" s="30"/>
      <c r="B207" s="30"/>
      <c r="C207" s="66"/>
      <c r="D207" s="68"/>
      <c r="E207" s="68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0"/>
      <c r="AV207" s="30"/>
      <c r="AW207" s="30"/>
      <c r="AX207" s="30"/>
      <c r="AY207" s="30"/>
      <c r="AZ207" s="30"/>
    </row>
    <row r="208" ht="20.25" customHeight="1">
      <c r="A208" s="30"/>
      <c r="B208" s="30"/>
      <c r="C208" s="66"/>
      <c r="D208" s="68"/>
      <c r="E208" s="68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0"/>
      <c r="AV208" s="30"/>
      <c r="AW208" s="30"/>
      <c r="AX208" s="30"/>
      <c r="AY208" s="30"/>
      <c r="AZ208" s="30"/>
    </row>
    <row r="209" ht="20.25" customHeight="1">
      <c r="A209" s="30"/>
      <c r="B209" s="30"/>
      <c r="C209" s="66"/>
      <c r="D209" s="68"/>
      <c r="E209" s="6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0"/>
      <c r="AV209" s="30"/>
      <c r="AW209" s="30"/>
      <c r="AX209" s="30"/>
      <c r="AY209" s="30"/>
      <c r="AZ209" s="30"/>
    </row>
    <row r="210" ht="20.25" customHeight="1">
      <c r="A210" s="30"/>
      <c r="B210" s="30"/>
      <c r="C210" s="66"/>
      <c r="D210" s="68"/>
      <c r="E210" s="68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0"/>
      <c r="AV210" s="30"/>
      <c r="AW210" s="30"/>
      <c r="AX210" s="30"/>
      <c r="AY210" s="30"/>
      <c r="AZ210" s="30"/>
    </row>
    <row r="211" ht="20.25" customHeight="1">
      <c r="A211" s="30"/>
      <c r="B211" s="30"/>
      <c r="C211" s="66"/>
      <c r="D211" s="68"/>
      <c r="E211" s="68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0"/>
      <c r="AV211" s="30"/>
      <c r="AW211" s="30"/>
      <c r="AX211" s="30"/>
      <c r="AY211" s="30"/>
      <c r="AZ211" s="30"/>
    </row>
    <row r="212" ht="20.25" customHeight="1">
      <c r="A212" s="30"/>
      <c r="B212" s="30"/>
      <c r="C212" s="66"/>
      <c r="D212" s="68"/>
      <c r="E212" s="68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0"/>
      <c r="AV212" s="30"/>
      <c r="AW212" s="30"/>
      <c r="AX212" s="30"/>
      <c r="AY212" s="30"/>
      <c r="AZ212" s="30"/>
    </row>
    <row r="213" ht="20.25" customHeight="1">
      <c r="A213" s="30"/>
      <c r="B213" s="30"/>
      <c r="C213" s="66"/>
      <c r="D213" s="68"/>
      <c r="E213" s="68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0"/>
      <c r="AV213" s="30"/>
      <c r="AW213" s="30"/>
      <c r="AX213" s="30"/>
      <c r="AY213" s="30"/>
      <c r="AZ213" s="30"/>
    </row>
    <row r="214" ht="20.25" customHeight="1">
      <c r="A214" s="30"/>
      <c r="B214" s="30"/>
      <c r="C214" s="66"/>
      <c r="D214" s="68"/>
      <c r="E214" s="68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0"/>
      <c r="AV214" s="30"/>
      <c r="AW214" s="30"/>
      <c r="AX214" s="30"/>
      <c r="AY214" s="30"/>
      <c r="AZ214" s="30"/>
    </row>
    <row r="215" ht="20.25" customHeight="1">
      <c r="A215" s="30"/>
      <c r="B215" s="30"/>
      <c r="C215" s="66"/>
      <c r="D215" s="68"/>
      <c r="E215" s="68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0"/>
      <c r="AV215" s="30"/>
      <c r="AW215" s="30"/>
      <c r="AX215" s="30"/>
      <c r="AY215" s="30"/>
      <c r="AZ215" s="30"/>
    </row>
    <row r="216" ht="20.25" customHeight="1">
      <c r="A216" s="30"/>
      <c r="B216" s="30"/>
      <c r="C216" s="66"/>
      <c r="D216" s="68"/>
      <c r="E216" s="68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0"/>
      <c r="AV216" s="30"/>
      <c r="AW216" s="30"/>
      <c r="AX216" s="30"/>
      <c r="AY216" s="30"/>
      <c r="AZ216" s="30"/>
    </row>
    <row r="217" ht="20.25" customHeight="1">
      <c r="A217" s="30"/>
      <c r="B217" s="30"/>
      <c r="C217" s="66"/>
      <c r="D217" s="68"/>
      <c r="E217" s="68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0"/>
      <c r="AV217" s="30"/>
      <c r="AW217" s="30"/>
      <c r="AX217" s="30"/>
      <c r="AY217" s="30"/>
      <c r="AZ217" s="30"/>
    </row>
    <row r="218" ht="20.25" customHeight="1">
      <c r="A218" s="30"/>
      <c r="B218" s="30"/>
      <c r="C218" s="66"/>
      <c r="D218" s="68"/>
      <c r="E218" s="68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0"/>
      <c r="AV218" s="30"/>
      <c r="AW218" s="30"/>
      <c r="AX218" s="30"/>
      <c r="AY218" s="30"/>
      <c r="AZ218" s="30"/>
    </row>
    <row r="219" ht="20.25" customHeight="1">
      <c r="A219" s="30"/>
      <c r="B219" s="30"/>
      <c r="C219" s="66"/>
      <c r="D219" s="68"/>
      <c r="E219" s="68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0"/>
      <c r="AV219" s="30"/>
      <c r="AW219" s="30"/>
      <c r="AX219" s="30"/>
      <c r="AY219" s="30"/>
      <c r="AZ219" s="30"/>
    </row>
    <row r="220" ht="20.25" customHeight="1">
      <c r="A220" s="30"/>
      <c r="B220" s="30"/>
      <c r="C220" s="66"/>
      <c r="D220" s="68"/>
      <c r="E220" s="68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0"/>
      <c r="AV220" s="30"/>
      <c r="AW220" s="30"/>
      <c r="AX220" s="30"/>
      <c r="AY220" s="30"/>
      <c r="AZ220" s="30"/>
    </row>
    <row r="221" ht="20.25" customHeight="1">
      <c r="A221" s="30"/>
      <c r="B221" s="30"/>
      <c r="C221" s="66"/>
      <c r="D221" s="68"/>
      <c r="E221" s="68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0"/>
      <c r="AV221" s="30"/>
      <c r="AW221" s="30"/>
      <c r="AX221" s="30"/>
      <c r="AY221" s="30"/>
      <c r="AZ221" s="30"/>
    </row>
    <row r="222" ht="20.25" customHeight="1">
      <c r="A222" s="30"/>
      <c r="B222" s="30"/>
      <c r="C222" s="66"/>
      <c r="D222" s="68"/>
      <c r="E222" s="68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0"/>
      <c r="AV222" s="30"/>
      <c r="AW222" s="30"/>
      <c r="AX222" s="30"/>
      <c r="AY222" s="30"/>
      <c r="AZ222" s="30"/>
    </row>
    <row r="223" ht="20.25" customHeight="1">
      <c r="A223" s="30"/>
      <c r="B223" s="30"/>
      <c r="C223" s="66"/>
      <c r="D223" s="68"/>
      <c r="E223" s="68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0"/>
      <c r="AV223" s="30"/>
      <c r="AW223" s="30"/>
      <c r="AX223" s="30"/>
      <c r="AY223" s="30"/>
      <c r="AZ223" s="30"/>
    </row>
    <row r="224" ht="20.25" customHeight="1">
      <c r="A224" s="30"/>
      <c r="B224" s="30"/>
      <c r="C224" s="66"/>
      <c r="D224" s="68"/>
      <c r="E224" s="68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0"/>
      <c r="AV224" s="30"/>
      <c r="AW224" s="30"/>
      <c r="AX224" s="30"/>
      <c r="AY224" s="30"/>
      <c r="AZ224" s="30"/>
    </row>
    <row r="225" ht="20.25" customHeight="1">
      <c r="A225" s="30"/>
      <c r="B225" s="30"/>
      <c r="C225" s="66"/>
      <c r="D225" s="68"/>
      <c r="E225" s="68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0"/>
      <c r="AV225" s="30"/>
      <c r="AW225" s="30"/>
      <c r="AX225" s="30"/>
      <c r="AY225" s="30"/>
      <c r="AZ225" s="30"/>
    </row>
    <row r="226" ht="20.25" customHeight="1">
      <c r="A226" s="30"/>
      <c r="B226" s="30"/>
      <c r="C226" s="66"/>
      <c r="D226" s="68"/>
      <c r="E226" s="68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0"/>
      <c r="AV226" s="30"/>
      <c r="AW226" s="30"/>
      <c r="AX226" s="30"/>
      <c r="AY226" s="30"/>
      <c r="AZ226" s="30"/>
    </row>
    <row r="227" ht="20.25" customHeight="1">
      <c r="A227" s="30"/>
      <c r="B227" s="30"/>
      <c r="C227" s="66"/>
      <c r="D227" s="68"/>
      <c r="E227" s="68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0"/>
      <c r="AV227" s="30"/>
      <c r="AW227" s="30"/>
      <c r="AX227" s="30"/>
      <c r="AY227" s="30"/>
      <c r="AZ227" s="3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5:E25"/>
  </mergeCells>
  <conditionalFormatting sqref="D6:D24">
    <cfRule type="containsText" dxfId="0" priority="1" operator="containsText" text="Pouco">
      <formula>NOT(ISERROR(SEARCH(("Pouco"),(D6))))</formula>
    </cfRule>
  </conditionalFormatting>
  <conditionalFormatting sqref="D6:D24">
    <cfRule type="containsText" dxfId="1" priority="2" operator="containsText" text="Sem">
      <formula>NOT(ISERROR(SEARCH(("Sem"),(D6))))</formula>
    </cfRule>
  </conditionalFormatting>
  <conditionalFormatting sqref="D6:D24">
    <cfRule type="containsText" dxfId="2" priority="3" operator="containsText" text="Muito">
      <formula>NOT(ISERROR(SEARCH(("Muito"),(D6))))</formula>
    </cfRule>
  </conditionalFormatting>
  <conditionalFormatting sqref="D6:D24">
    <cfRule type="containsText" dxfId="3" priority="4" operator="containsText" text="Totalmente">
      <formula>NOT(ISERROR(SEARCH(("Totalmente"),(D6))))</formula>
    </cfRule>
  </conditionalFormatting>
  <conditionalFormatting sqref="E6:E24">
    <cfRule type="containsText" dxfId="1" priority="5" operator="containsText" text="Muito fraca">
      <formula>NOT(ISERROR(SEARCH(("Muito fraca"),(E6))))</formula>
    </cfRule>
  </conditionalFormatting>
  <conditionalFormatting sqref="E6:E24">
    <cfRule type="containsText" dxfId="0" priority="6" operator="containsText" text="Fraca">
      <formula>NOT(ISERROR(SEARCH(("Fraca"),(E6))))</formula>
    </cfRule>
  </conditionalFormatting>
  <conditionalFormatting sqref="E6:E24">
    <cfRule type="containsText" dxfId="3" priority="7" operator="containsText" text="Muito forte">
      <formula>NOT(ISERROR(SEARCH(("Muito forte"),(E6))))</formula>
    </cfRule>
  </conditionalFormatting>
  <conditionalFormatting sqref="E6:E24">
    <cfRule type="containsText" dxfId="2" priority="8" operator="containsText" text="Forte">
      <formula>NOT(ISERROR(SEARCH(("Forte"),(E6))))</formula>
    </cfRule>
  </conditionalFormatting>
  <conditionalFormatting sqref="F6:F24">
    <cfRule type="containsText" dxfId="1" priority="9" operator="containsText" text="Piora muito">
      <formula>NOT(ISERROR(SEARCH(("Piora muito"),(F6))))</formula>
    </cfRule>
  </conditionalFormatting>
  <conditionalFormatting sqref="F6:F24">
    <cfRule type="containsText" dxfId="0" priority="10" operator="containsText" text="Piora">
      <formula>NOT(ISERROR(SEARCH(("Piora"),(F6))))</formula>
    </cfRule>
  </conditionalFormatting>
  <conditionalFormatting sqref="F6:F24">
    <cfRule type="containsText" dxfId="3" priority="11" operator="containsText" text="Melhora muito">
      <formula>NOT(ISERROR(SEARCH(("Melhora muito"),(F6))))</formula>
    </cfRule>
  </conditionalFormatting>
  <conditionalFormatting sqref="F6:F24">
    <cfRule type="containsText" dxfId="2" priority="12" operator="containsText" text="Melhora">
      <formula>NOT(ISERROR(SEARCH(("Melhora"),(F6))))</formula>
    </cfRule>
  </conditionalFormatting>
  <dataValidations>
    <dataValidation type="list" allowBlank="1" showErrorMessage="1" sqref="E6:E24">
      <formula1>$I$15:$I$19</formula1>
    </dataValidation>
    <dataValidation type="list" allowBlank="1" showErrorMessage="1" sqref="F6:F24">
      <formula1>$I$23:$I$27</formula1>
    </dataValidation>
    <dataValidation type="list" allowBlank="1" showErrorMessage="1" sqref="D6:D24">
      <formula1>$I$7:$I$11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  <col customWidth="1" min="47" max="55" width="14.43"/>
  </cols>
  <sheetData>
    <row r="1" ht="21.75" customHeight="1">
      <c r="A1" s="30"/>
      <c r="B1" s="30"/>
      <c r="C1" s="31"/>
      <c r="D1" s="32"/>
      <c r="E1" s="32"/>
      <c r="F1" s="32"/>
      <c r="G1" s="32"/>
      <c r="H1" s="33"/>
      <c r="I1" s="33"/>
      <c r="J1" s="33"/>
      <c r="K1" s="33"/>
      <c r="L1" s="33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36.75" customHeight="1">
      <c r="A2" s="35"/>
      <c r="B2" s="30"/>
      <c r="C2" s="36"/>
      <c r="D2" s="37"/>
      <c r="E2" s="37"/>
      <c r="F2" s="37"/>
      <c r="G2" s="37"/>
      <c r="H2" s="38"/>
      <c r="I2" s="38"/>
      <c r="J2" s="38"/>
      <c r="K2" s="38"/>
      <c r="L2" s="38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50.2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28.5" customHeight="1">
      <c r="A4" s="30"/>
      <c r="B4" s="69"/>
      <c r="C4" s="70" t="s">
        <v>40</v>
      </c>
      <c r="D4" s="41" t="s">
        <v>41</v>
      </c>
      <c r="E4" s="41" t="s">
        <v>42</v>
      </c>
      <c r="F4" s="41" t="s">
        <v>43</v>
      </c>
      <c r="G4" s="42" t="s">
        <v>44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>
        <v>1.0</v>
      </c>
      <c r="T4" s="39">
        <v>1.0</v>
      </c>
      <c r="U4" s="39">
        <v>1.0</v>
      </c>
      <c r="V4" s="39">
        <v>1.0</v>
      </c>
      <c r="W4" s="39">
        <v>2.0</v>
      </c>
      <c r="X4" s="39">
        <v>2.0</v>
      </c>
      <c r="Y4" s="39">
        <v>2.0</v>
      </c>
      <c r="Z4" s="39">
        <v>2.0</v>
      </c>
      <c r="AA4" s="39">
        <v>2.0</v>
      </c>
      <c r="AB4" s="39">
        <v>2.0</v>
      </c>
      <c r="AC4" s="39">
        <v>2.0</v>
      </c>
      <c r="AD4" s="39">
        <v>2.0</v>
      </c>
      <c r="AE4" s="39">
        <v>2.0</v>
      </c>
      <c r="AF4" s="39">
        <v>2.0</v>
      </c>
      <c r="AG4" s="39">
        <v>2.0</v>
      </c>
      <c r="AH4" s="39">
        <v>2.0</v>
      </c>
      <c r="AI4" s="39">
        <v>3.0</v>
      </c>
      <c r="AJ4" s="39">
        <v>3.0</v>
      </c>
      <c r="AK4" s="39">
        <v>3.0</v>
      </c>
      <c r="AL4" s="39">
        <v>3.0</v>
      </c>
      <c r="AM4" s="39">
        <v>3.0</v>
      </c>
      <c r="AN4" s="39">
        <v>3.0</v>
      </c>
      <c r="AO4" s="39">
        <v>3.0</v>
      </c>
      <c r="AP4" s="39">
        <v>3.0</v>
      </c>
      <c r="AQ4" s="39">
        <v>3.0</v>
      </c>
      <c r="AR4" s="39">
        <v>3.0</v>
      </c>
      <c r="AS4" s="39">
        <v>3.0</v>
      </c>
      <c r="AT4" s="39">
        <v>3.0</v>
      </c>
      <c r="AU4" s="30"/>
      <c r="AV4" s="30"/>
      <c r="AW4" s="30"/>
      <c r="AX4" s="30"/>
      <c r="AY4" s="30"/>
      <c r="AZ4" s="30"/>
      <c r="BA4" s="30"/>
      <c r="BB4" s="30"/>
      <c r="BC4" s="30"/>
    </row>
    <row r="5" ht="30.0" customHeight="1">
      <c r="A5" s="30"/>
      <c r="C5" s="71" t="s">
        <v>45</v>
      </c>
      <c r="D5" s="45" t="s">
        <v>46</v>
      </c>
      <c r="E5" s="46" t="s">
        <v>47</v>
      </c>
      <c r="F5" s="47" t="s">
        <v>48</v>
      </c>
      <c r="G5" s="47" t="s">
        <v>49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</row>
    <row r="6" ht="30.0" customHeight="1">
      <c r="A6" s="30"/>
      <c r="C6" s="72"/>
      <c r="D6" s="56"/>
      <c r="E6" s="56"/>
      <c r="F6" s="57"/>
      <c r="G6" s="51" t="str">
        <f t="shared" ref="G6:G24" si="1">IF(ISERROR(VLOOKUP(D6,$I$7:$J$11,2,FALSE)*VLOOKUP(E6,$I$15:$J$19,2,FALSE)*VLOOKUP(F6,$I$23:$J$27,2,FALSE)),"",VLOOKUP(D6,$I$7:$J$11,2,FALSE)*VLOOKUP(E6,$I$15:$J$19,2,FALSE)*VLOOKUP(F6,$I$23:$J$27,2,FALSE))</f>
        <v/>
      </c>
      <c r="H6" s="73"/>
      <c r="I6" s="61"/>
      <c r="J6" s="30"/>
      <c r="K6" s="30"/>
      <c r="L6" s="30">
        <v>1.9E-4</v>
      </c>
      <c r="M6" s="67" t="str">
        <f t="shared" ref="M6:M24" si="2">IF(G6="","",G6+L6)</f>
        <v/>
      </c>
      <c r="N6" s="54" t="str">
        <f>IF(C6=0,"",C6)</f>
        <v/>
      </c>
      <c r="O6" s="67" t="str">
        <f t="shared" ref="O6:O24" si="3">G6</f>
        <v/>
      </c>
      <c r="P6" s="54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</row>
    <row r="7" ht="30.0" customHeight="1">
      <c r="A7" s="30"/>
      <c r="C7" s="72"/>
      <c r="D7" s="56"/>
      <c r="E7" s="56"/>
      <c r="F7" s="57"/>
      <c r="G7" s="51" t="str">
        <f t="shared" si="1"/>
        <v/>
      </c>
      <c r="H7" s="58"/>
      <c r="I7" s="30" t="s">
        <v>54</v>
      </c>
      <c r="J7" s="61">
        <v>1.0</v>
      </c>
      <c r="K7" s="30"/>
      <c r="L7" s="30">
        <v>1.8E-4</v>
      </c>
      <c r="M7" s="67" t="str">
        <f t="shared" si="2"/>
        <v/>
      </c>
      <c r="N7" s="30" t="str">
        <f t="shared" ref="N7:N19" si="4">IF(C10=0,"",C10)</f>
        <v/>
      </c>
      <c r="O7" s="67" t="str">
        <f t="shared" si="3"/>
        <v/>
      </c>
      <c r="P7" s="54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</row>
    <row r="8" ht="30.0" customHeight="1">
      <c r="A8" s="30"/>
      <c r="C8" s="72"/>
      <c r="D8" s="56"/>
      <c r="E8" s="56"/>
      <c r="F8" s="57"/>
      <c r="G8" s="51" t="str">
        <f t="shared" si="1"/>
        <v/>
      </c>
      <c r="H8" s="30"/>
      <c r="I8" s="30" t="s">
        <v>51</v>
      </c>
      <c r="J8" s="61">
        <v>2.0</v>
      </c>
      <c r="K8" s="30"/>
      <c r="L8" s="30">
        <v>1.7E-4</v>
      </c>
      <c r="M8" s="67" t="str">
        <f t="shared" si="2"/>
        <v/>
      </c>
      <c r="N8" s="30" t="str">
        <f t="shared" si="4"/>
        <v/>
      </c>
      <c r="O8" s="67" t="str">
        <f t="shared" si="3"/>
        <v/>
      </c>
      <c r="P8" s="54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>
      <c r="A9" s="30"/>
      <c r="C9" s="72"/>
      <c r="D9" s="56"/>
      <c r="E9" s="56"/>
      <c r="F9" s="57"/>
      <c r="G9" s="51" t="str">
        <f t="shared" si="1"/>
        <v/>
      </c>
      <c r="H9" s="30"/>
      <c r="I9" s="30" t="s">
        <v>55</v>
      </c>
      <c r="J9" s="61">
        <v>3.0</v>
      </c>
      <c r="K9" s="30"/>
      <c r="L9" s="30">
        <v>1.6E-4</v>
      </c>
      <c r="M9" s="67" t="str">
        <f t="shared" si="2"/>
        <v/>
      </c>
      <c r="N9" s="30" t="str">
        <f t="shared" si="4"/>
        <v/>
      </c>
      <c r="O9" s="67" t="str">
        <f t="shared" si="3"/>
        <v/>
      </c>
      <c r="P9" s="54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</row>
    <row r="10">
      <c r="A10" s="30"/>
      <c r="C10" s="72"/>
      <c r="D10" s="56"/>
      <c r="E10" s="56"/>
      <c r="F10" s="57"/>
      <c r="G10" s="51" t="str">
        <f t="shared" si="1"/>
        <v/>
      </c>
      <c r="H10" s="30"/>
      <c r="I10" s="30" t="s">
        <v>56</v>
      </c>
      <c r="J10" s="61">
        <v>4.0</v>
      </c>
      <c r="K10" s="30"/>
      <c r="L10" s="30">
        <v>1.5E-4</v>
      </c>
      <c r="M10" s="30" t="str">
        <f t="shared" si="2"/>
        <v/>
      </c>
      <c r="N10" s="30" t="str">
        <f t="shared" si="4"/>
        <v/>
      </c>
      <c r="O10" s="67" t="str">
        <f t="shared" si="3"/>
        <v/>
      </c>
      <c r="P10" s="54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</row>
    <row r="11" ht="30.0" customHeight="1">
      <c r="A11" s="30"/>
      <c r="C11" s="72"/>
      <c r="D11" s="56"/>
      <c r="E11" s="56"/>
      <c r="F11" s="57"/>
      <c r="G11" s="51" t="str">
        <f t="shared" si="1"/>
        <v/>
      </c>
      <c r="H11" s="30"/>
      <c r="I11" s="30" t="s">
        <v>57</v>
      </c>
      <c r="J11" s="61">
        <v>5.0</v>
      </c>
      <c r="K11" s="30"/>
      <c r="L11" s="30">
        <v>1.4E-4</v>
      </c>
      <c r="M11" s="30" t="str">
        <f t="shared" si="2"/>
        <v/>
      </c>
      <c r="N11" s="30" t="str">
        <f t="shared" si="4"/>
        <v/>
      </c>
      <c r="O11" s="67" t="str">
        <f t="shared" si="3"/>
        <v/>
      </c>
      <c r="P11" s="54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</row>
    <row r="12" ht="30.0" customHeight="1">
      <c r="A12" s="30"/>
      <c r="C12" s="72"/>
      <c r="D12" s="56"/>
      <c r="E12" s="56"/>
      <c r="F12" s="57"/>
      <c r="G12" s="51" t="str">
        <f t="shared" si="1"/>
        <v/>
      </c>
      <c r="H12" s="30"/>
      <c r="I12" s="30"/>
      <c r="J12" s="30"/>
      <c r="K12" s="30"/>
      <c r="L12" s="30">
        <v>1.3E-4</v>
      </c>
      <c r="M12" s="30" t="str">
        <f t="shared" si="2"/>
        <v/>
      </c>
      <c r="N12" s="30" t="str">
        <f t="shared" si="4"/>
        <v/>
      </c>
      <c r="O12" s="67" t="str">
        <f t="shared" si="3"/>
        <v/>
      </c>
      <c r="P12" s="54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</row>
    <row r="13" ht="30.0" customHeight="1">
      <c r="A13" s="60"/>
      <c r="C13" s="72"/>
      <c r="D13" s="56"/>
      <c r="E13" s="56"/>
      <c r="F13" s="57"/>
      <c r="G13" s="51" t="str">
        <f t="shared" si="1"/>
        <v/>
      </c>
      <c r="H13" s="30"/>
      <c r="I13" s="30" t="s">
        <v>42</v>
      </c>
      <c r="J13" s="30"/>
      <c r="K13" s="30"/>
      <c r="L13" s="30">
        <v>1.2E-4</v>
      </c>
      <c r="M13" s="30" t="str">
        <f t="shared" si="2"/>
        <v/>
      </c>
      <c r="N13" s="30" t="str">
        <f t="shared" si="4"/>
        <v/>
      </c>
      <c r="O13" s="67" t="str">
        <f t="shared" si="3"/>
        <v/>
      </c>
      <c r="P13" s="54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</row>
    <row r="14" ht="30.0" customHeight="1">
      <c r="A14" s="60"/>
      <c r="C14" s="72"/>
      <c r="D14" s="56"/>
      <c r="E14" s="56"/>
      <c r="F14" s="57"/>
      <c r="G14" s="51" t="str">
        <f t="shared" si="1"/>
        <v/>
      </c>
      <c r="H14" s="30"/>
      <c r="I14" s="61"/>
      <c r="J14" s="30"/>
      <c r="K14" s="30"/>
      <c r="L14" s="30">
        <v>1.1E-4</v>
      </c>
      <c r="M14" s="30" t="str">
        <f t="shared" si="2"/>
        <v/>
      </c>
      <c r="N14" s="30" t="str">
        <f t="shared" si="4"/>
        <v/>
      </c>
      <c r="O14" s="67" t="str">
        <f t="shared" si="3"/>
        <v/>
      </c>
      <c r="P14" s="54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</row>
    <row r="15">
      <c r="A15" s="30"/>
      <c r="B15" s="66"/>
      <c r="C15" s="72"/>
      <c r="D15" s="56"/>
      <c r="E15" s="56"/>
      <c r="F15" s="57"/>
      <c r="G15" s="51" t="str">
        <f t="shared" si="1"/>
        <v/>
      </c>
      <c r="H15" s="30"/>
      <c r="I15" s="30" t="s">
        <v>58</v>
      </c>
      <c r="J15" s="61">
        <v>1.0</v>
      </c>
      <c r="K15" s="30"/>
      <c r="L15" s="30">
        <v>1.0E-4</v>
      </c>
      <c r="M15" s="30" t="str">
        <f t="shared" si="2"/>
        <v/>
      </c>
      <c r="N15" s="54" t="str">
        <f t="shared" si="4"/>
        <v/>
      </c>
      <c r="O15" s="67" t="str">
        <f t="shared" si="3"/>
        <v/>
      </c>
      <c r="P15" s="54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</row>
    <row r="16" ht="30.0" customHeight="1">
      <c r="A16" s="30"/>
      <c r="B16" s="66"/>
      <c r="C16" s="72"/>
      <c r="D16" s="56"/>
      <c r="E16" s="56"/>
      <c r="F16" s="57"/>
      <c r="G16" s="51" t="str">
        <f t="shared" si="1"/>
        <v/>
      </c>
      <c r="H16" s="30"/>
      <c r="I16" s="30" t="s">
        <v>59</v>
      </c>
      <c r="J16" s="61">
        <v>2.0</v>
      </c>
      <c r="K16" s="30"/>
      <c r="L16" s="30">
        <v>9.0E-5</v>
      </c>
      <c r="M16" s="30" t="str">
        <f t="shared" si="2"/>
        <v/>
      </c>
      <c r="N16" s="30" t="str">
        <f t="shared" si="4"/>
        <v/>
      </c>
      <c r="O16" s="67" t="str">
        <f t="shared" si="3"/>
        <v/>
      </c>
      <c r="P16" s="54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</row>
    <row r="17" ht="30.0" customHeight="1">
      <c r="A17" s="30"/>
      <c r="B17" s="66"/>
      <c r="C17" s="72"/>
      <c r="D17" s="56"/>
      <c r="E17" s="56"/>
      <c r="F17" s="57"/>
      <c r="G17" s="51" t="str">
        <f t="shared" si="1"/>
        <v/>
      </c>
      <c r="H17" s="30"/>
      <c r="I17" s="30" t="s">
        <v>52</v>
      </c>
      <c r="J17" s="61">
        <v>3.0</v>
      </c>
      <c r="K17" s="30"/>
      <c r="L17" s="30">
        <v>8.0E-5</v>
      </c>
      <c r="M17" s="30" t="str">
        <f t="shared" si="2"/>
        <v/>
      </c>
      <c r="N17" s="30" t="str">
        <f t="shared" si="4"/>
        <v/>
      </c>
      <c r="O17" s="67" t="str">
        <f t="shared" si="3"/>
        <v/>
      </c>
      <c r="P17" s="54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</row>
    <row r="18" ht="30.0" customHeight="1">
      <c r="A18" s="30"/>
      <c r="B18" s="66"/>
      <c r="C18" s="72"/>
      <c r="D18" s="56"/>
      <c r="E18" s="56"/>
      <c r="F18" s="57"/>
      <c r="G18" s="51" t="str">
        <f t="shared" si="1"/>
        <v/>
      </c>
      <c r="H18" s="30"/>
      <c r="I18" s="30" t="s">
        <v>60</v>
      </c>
      <c r="J18" s="61">
        <v>4.0</v>
      </c>
      <c r="K18" s="30"/>
      <c r="L18" s="30">
        <v>7.0E-5</v>
      </c>
      <c r="M18" s="30" t="str">
        <f t="shared" si="2"/>
        <v/>
      </c>
      <c r="N18" s="30" t="str">
        <f t="shared" si="4"/>
        <v/>
      </c>
      <c r="O18" s="67" t="str">
        <f t="shared" si="3"/>
        <v/>
      </c>
      <c r="P18" s="54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</row>
    <row r="19" ht="30.0" customHeight="1">
      <c r="A19" s="30"/>
      <c r="B19" s="66"/>
      <c r="C19" s="72"/>
      <c r="D19" s="56"/>
      <c r="E19" s="56"/>
      <c r="F19" s="57"/>
      <c r="G19" s="51" t="str">
        <f t="shared" si="1"/>
        <v/>
      </c>
      <c r="H19" s="30"/>
      <c r="I19" s="30" t="s">
        <v>61</v>
      </c>
      <c r="J19" s="61">
        <v>5.0</v>
      </c>
      <c r="K19" s="30"/>
      <c r="L19" s="30">
        <v>6.0E-5</v>
      </c>
      <c r="M19" s="30" t="str">
        <f t="shared" si="2"/>
        <v/>
      </c>
      <c r="N19" s="30" t="str">
        <f t="shared" si="4"/>
        <v/>
      </c>
      <c r="O19" s="67" t="str">
        <f t="shared" si="3"/>
        <v/>
      </c>
      <c r="P19" s="54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</row>
    <row r="20" ht="30.0" customHeight="1">
      <c r="A20" s="30"/>
      <c r="B20" s="66"/>
      <c r="C20" s="72"/>
      <c r="D20" s="56"/>
      <c r="E20" s="56"/>
      <c r="F20" s="57"/>
      <c r="G20" s="51" t="str">
        <f t="shared" si="1"/>
        <v/>
      </c>
      <c r="H20" s="30"/>
      <c r="I20" s="30"/>
      <c r="J20" s="30"/>
      <c r="K20" s="30"/>
      <c r="L20" s="30">
        <v>5.0E-5</v>
      </c>
      <c r="M20" s="30" t="str">
        <f t="shared" si="2"/>
        <v/>
      </c>
      <c r="N20" s="30" t="str">
        <f t="shared" ref="N20:N22" si="5">IF(#REF!=0,"",#REF!)</f>
        <v>#REF!</v>
      </c>
      <c r="O20" s="67" t="str">
        <f t="shared" si="3"/>
        <v/>
      </c>
      <c r="P20" s="54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</row>
    <row r="21" ht="30.0" customHeight="1">
      <c r="A21" s="30"/>
      <c r="B21" s="66"/>
      <c r="C21" s="72"/>
      <c r="D21" s="56"/>
      <c r="E21" s="56"/>
      <c r="F21" s="57"/>
      <c r="G21" s="51" t="str">
        <f t="shared" si="1"/>
        <v/>
      </c>
      <c r="H21" s="30"/>
      <c r="I21" s="30" t="s">
        <v>43</v>
      </c>
      <c r="J21" s="30"/>
      <c r="K21" s="30"/>
      <c r="L21" s="30">
        <v>4.0E-5</v>
      </c>
      <c r="M21" s="30" t="str">
        <f t="shared" si="2"/>
        <v/>
      </c>
      <c r="N21" s="30" t="str">
        <f t="shared" si="5"/>
        <v>#REF!</v>
      </c>
      <c r="O21" s="67" t="str">
        <f t="shared" si="3"/>
        <v/>
      </c>
      <c r="P21" s="54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</row>
    <row r="22" ht="30.0" customHeight="1">
      <c r="A22" s="60"/>
      <c r="B22" s="66"/>
      <c r="C22" s="72"/>
      <c r="D22" s="56"/>
      <c r="E22" s="56"/>
      <c r="F22" s="57"/>
      <c r="G22" s="51" t="str">
        <f t="shared" si="1"/>
        <v/>
      </c>
      <c r="H22" s="30"/>
      <c r="I22" s="61"/>
      <c r="J22" s="30"/>
      <c r="K22" s="30"/>
      <c r="L22" s="30">
        <v>3.0E-5</v>
      </c>
      <c r="M22" s="30" t="str">
        <f t="shared" si="2"/>
        <v/>
      </c>
      <c r="N22" s="30" t="str">
        <f t="shared" si="5"/>
        <v>#REF!</v>
      </c>
      <c r="O22" s="67" t="str">
        <f t="shared" si="3"/>
        <v/>
      </c>
      <c r="P22" s="5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</row>
    <row r="23" ht="30.0" customHeight="1">
      <c r="A23" s="60"/>
      <c r="B23" s="66"/>
      <c r="C23" s="72"/>
      <c r="D23" s="56"/>
      <c r="E23" s="56"/>
      <c r="F23" s="57"/>
      <c r="G23" s="51" t="str">
        <f t="shared" si="1"/>
        <v/>
      </c>
      <c r="H23" s="30"/>
      <c r="I23" s="30" t="s">
        <v>53</v>
      </c>
      <c r="J23" s="61">
        <v>1.0</v>
      </c>
      <c r="K23" s="30"/>
      <c r="L23" s="30">
        <v>2.0E-5</v>
      </c>
      <c r="M23" s="30" t="str">
        <f t="shared" si="2"/>
        <v/>
      </c>
      <c r="N23" s="30" t="str">
        <f t="shared" ref="N23:N24" si="6">IF(C23=0,"",C23)</f>
        <v/>
      </c>
      <c r="O23" s="67" t="str">
        <f t="shared" si="3"/>
        <v/>
      </c>
      <c r="P23" s="54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</row>
    <row r="24" ht="30.0" customHeight="1">
      <c r="A24" s="30"/>
      <c r="B24" s="66"/>
      <c r="C24" s="72"/>
      <c r="D24" s="56"/>
      <c r="E24" s="56"/>
      <c r="F24" s="57"/>
      <c r="G24" s="51" t="str">
        <f t="shared" si="1"/>
        <v/>
      </c>
      <c r="H24" s="30"/>
      <c r="I24" s="30" t="s">
        <v>62</v>
      </c>
      <c r="J24" s="61">
        <v>2.0</v>
      </c>
      <c r="K24" s="30"/>
      <c r="L24" s="30">
        <v>1.0E-5</v>
      </c>
      <c r="M24" s="30" t="str">
        <f t="shared" si="2"/>
        <v/>
      </c>
      <c r="N24" s="30" t="str">
        <f t="shared" si="6"/>
        <v/>
      </c>
      <c r="O24" s="67" t="str">
        <f t="shared" si="3"/>
        <v/>
      </c>
      <c r="P24" s="54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</row>
    <row r="25" ht="30.0" customHeight="1">
      <c r="A25" s="30"/>
      <c r="B25" s="66"/>
      <c r="C25" s="62" t="s">
        <v>68</v>
      </c>
      <c r="D25" s="74"/>
      <c r="E25" s="75"/>
      <c r="F25" s="64" t="s">
        <v>64</v>
      </c>
      <c r="G25" s="65">
        <f>SUM(G6:G24)</f>
        <v>0</v>
      </c>
      <c r="H25" s="30"/>
      <c r="I25" s="30" t="s">
        <v>65</v>
      </c>
      <c r="J25" s="61">
        <v>3.0</v>
      </c>
      <c r="K25" s="30"/>
      <c r="L25" s="30"/>
      <c r="M25" s="30"/>
      <c r="N25" s="30"/>
      <c r="O25" s="67"/>
      <c r="P25" s="54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</row>
    <row r="26" ht="30.0" customHeight="1">
      <c r="A26" s="30"/>
      <c r="B26" s="66"/>
      <c r="H26" s="30"/>
      <c r="I26" s="30" t="s">
        <v>66</v>
      </c>
      <c r="J26" s="61">
        <v>4.0</v>
      </c>
      <c r="K26" s="30"/>
      <c r="L26" s="30"/>
      <c r="M26" s="30"/>
      <c r="N26" s="30"/>
      <c r="O26" s="67"/>
      <c r="P26" s="54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</row>
    <row r="27" ht="30.0" customHeight="1">
      <c r="A27" s="30"/>
      <c r="B27" s="66"/>
      <c r="H27" s="30"/>
      <c r="I27" s="30" t="s">
        <v>67</v>
      </c>
      <c r="J27" s="61">
        <v>5.0</v>
      </c>
      <c r="K27" s="30"/>
      <c r="L27" s="30"/>
      <c r="M27" s="30"/>
      <c r="N27" s="30"/>
      <c r="O27" s="67"/>
      <c r="P27" s="54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</row>
    <row r="28" ht="30.0" customHeight="1">
      <c r="A28" s="30"/>
      <c r="B28" s="66"/>
      <c r="H28" s="30"/>
      <c r="I28" s="30"/>
      <c r="J28" s="30"/>
      <c r="K28" s="30"/>
      <c r="L28" s="30"/>
      <c r="M28" s="30"/>
      <c r="N28" s="30"/>
      <c r="O28" s="67"/>
      <c r="P28" s="54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</row>
    <row r="29" ht="30.0" customHeight="1">
      <c r="A29" s="30"/>
      <c r="B29" s="66"/>
      <c r="H29" s="30"/>
      <c r="I29" s="30"/>
      <c r="J29" s="30"/>
      <c r="K29" s="30"/>
      <c r="L29" s="30"/>
      <c r="M29" s="30"/>
      <c r="N29" s="30"/>
      <c r="O29" s="67"/>
      <c r="P29" s="54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</row>
    <row r="30" ht="30.0" customHeight="1">
      <c r="A30" s="30"/>
      <c r="B30" s="66"/>
      <c r="H30" s="30"/>
      <c r="I30" s="30"/>
      <c r="J30" s="30"/>
      <c r="K30" s="30"/>
      <c r="L30" s="30"/>
      <c r="M30" s="30"/>
      <c r="N30" s="30"/>
      <c r="O30" s="67"/>
      <c r="P30" s="54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</row>
    <row r="31" ht="30.0" customHeight="1">
      <c r="A31" s="30"/>
      <c r="B31" s="66"/>
      <c r="H31" s="30"/>
      <c r="I31" s="30"/>
      <c r="J31" s="30"/>
      <c r="K31" s="30"/>
      <c r="L31" s="30"/>
      <c r="M31" s="30"/>
      <c r="N31" s="30"/>
      <c r="O31" s="67"/>
      <c r="P31" s="54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</row>
    <row r="32" ht="30.0" customHeight="1">
      <c r="A32" s="30"/>
      <c r="B32" s="66"/>
      <c r="H32" s="30"/>
      <c r="I32" s="30"/>
      <c r="J32" s="30"/>
      <c r="K32" s="30"/>
      <c r="L32" s="30"/>
      <c r="M32" s="30"/>
      <c r="N32" s="30"/>
      <c r="O32" s="67"/>
      <c r="P32" s="54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</row>
    <row r="33" ht="30.0" customHeight="1">
      <c r="A33" s="30"/>
      <c r="B33" s="66"/>
      <c r="H33" s="30"/>
      <c r="I33" s="30"/>
      <c r="J33" s="30"/>
      <c r="K33" s="30"/>
      <c r="L33" s="30"/>
      <c r="M33" s="30"/>
      <c r="N33" s="30"/>
      <c r="O33" s="67"/>
      <c r="P33" s="54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</row>
    <row r="34" ht="30.0" customHeight="1">
      <c r="A34" s="30"/>
      <c r="B34" s="66"/>
      <c r="H34" s="30"/>
      <c r="I34" s="30"/>
      <c r="J34" s="30"/>
      <c r="K34" s="30"/>
      <c r="L34" s="30"/>
      <c r="M34" s="30"/>
      <c r="N34" s="30"/>
      <c r="O34" s="67"/>
      <c r="P34" s="54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</row>
    <row r="35" ht="30.0" customHeight="1">
      <c r="A35" s="30"/>
      <c r="B35" s="66"/>
      <c r="H35" s="30"/>
      <c r="I35" s="30"/>
      <c r="J35" s="30"/>
      <c r="K35" s="30"/>
      <c r="L35" s="30"/>
      <c r="M35" s="30"/>
      <c r="N35" s="30"/>
      <c r="O35" s="67"/>
      <c r="P35" s="54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</row>
    <row r="36" ht="30.0" customHeight="1">
      <c r="A36" s="30"/>
      <c r="B36" s="66"/>
      <c r="H36" s="30"/>
      <c r="I36" s="30"/>
      <c r="J36" s="30"/>
      <c r="K36" s="30"/>
      <c r="L36" s="30"/>
      <c r="M36" s="30"/>
      <c r="N36" s="30"/>
      <c r="O36" s="67"/>
      <c r="P36" s="54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</row>
    <row r="37" ht="30.0" customHeight="1">
      <c r="A37" s="30"/>
      <c r="B37" s="66"/>
      <c r="H37" s="30"/>
      <c r="I37" s="30"/>
      <c r="J37" s="30"/>
      <c r="K37" s="30"/>
      <c r="L37" s="30"/>
      <c r="M37" s="30"/>
      <c r="N37" s="30"/>
      <c r="O37" s="67"/>
      <c r="P37" s="54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ht="30.0" customHeight="1">
      <c r="A38" s="30"/>
      <c r="B38" s="66"/>
      <c r="H38" s="30"/>
      <c r="I38" s="30"/>
      <c r="J38" s="30"/>
      <c r="K38" s="30"/>
      <c r="L38" s="30"/>
      <c r="M38" s="30"/>
      <c r="N38" s="30"/>
      <c r="O38" s="67"/>
      <c r="P38" s="54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</row>
    <row r="39" ht="30.0" customHeight="1">
      <c r="A39" s="30"/>
      <c r="B39" s="66"/>
      <c r="H39" s="30"/>
      <c r="I39" s="30"/>
      <c r="J39" s="30"/>
      <c r="K39" s="30"/>
      <c r="L39" s="30"/>
      <c r="M39" s="30"/>
      <c r="N39" s="30"/>
      <c r="O39" s="67"/>
      <c r="P39" s="54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</row>
    <row r="40" ht="30.0" customHeight="1">
      <c r="A40" s="30"/>
      <c r="B40" s="66"/>
      <c r="H40" s="30"/>
      <c r="I40" s="30"/>
      <c r="J40" s="30"/>
      <c r="K40" s="30"/>
      <c r="L40" s="30"/>
      <c r="M40" s="30"/>
      <c r="N40" s="30"/>
      <c r="O40" s="67"/>
      <c r="P40" s="54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</row>
    <row r="41" ht="30.0" customHeight="1">
      <c r="A41" s="30"/>
      <c r="B41" s="66"/>
      <c r="H41" s="30"/>
      <c r="I41" s="30"/>
      <c r="J41" s="30"/>
      <c r="K41" s="30"/>
      <c r="L41" s="30"/>
      <c r="M41" s="30"/>
      <c r="N41" s="30"/>
      <c r="O41" s="67"/>
      <c r="P41" s="54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</row>
    <row r="42" ht="30.0" customHeight="1">
      <c r="A42" s="30"/>
      <c r="B42" s="66"/>
      <c r="H42" s="30"/>
      <c r="I42" s="30"/>
      <c r="J42" s="30"/>
      <c r="K42" s="30"/>
      <c r="L42" s="30"/>
      <c r="M42" s="30"/>
      <c r="N42" s="30"/>
      <c r="O42" s="67"/>
      <c r="P42" s="54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</row>
    <row r="43" ht="30.0" customHeight="1">
      <c r="A43" s="30"/>
      <c r="B43" s="66"/>
      <c r="H43" s="30"/>
      <c r="I43" s="30"/>
      <c r="J43" s="30"/>
      <c r="K43" s="30"/>
      <c r="L43" s="30"/>
      <c r="M43" s="30"/>
      <c r="N43" s="30"/>
      <c r="O43" s="67"/>
      <c r="P43" s="54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</row>
    <row r="44" ht="30.0" customHeight="1">
      <c r="A44" s="30"/>
      <c r="B44" s="66"/>
      <c r="H44" s="30"/>
      <c r="I44" s="30"/>
      <c r="J44" s="30"/>
      <c r="K44" s="30"/>
      <c r="L44" s="30"/>
      <c r="M44" s="30"/>
      <c r="N44" s="30"/>
      <c r="O44" s="67"/>
      <c r="P44" s="54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</row>
    <row r="45" ht="37.5" customHeight="1">
      <c r="A45" s="30"/>
      <c r="B45" s="66"/>
      <c r="H45" s="30"/>
      <c r="I45" s="30"/>
      <c r="J45" s="30"/>
      <c r="K45" s="30"/>
      <c r="L45" s="30"/>
      <c r="M45" s="30"/>
      <c r="N45" s="54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</row>
    <row r="46" ht="30.0" customHeight="1">
      <c r="A46" s="30"/>
      <c r="B46" s="66"/>
      <c r="H46" s="30"/>
      <c r="I46" s="30"/>
      <c r="J46" s="30"/>
      <c r="K46" s="30"/>
      <c r="L46" s="30"/>
      <c r="M46" s="30"/>
      <c r="N46" s="54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</row>
    <row r="47" ht="30.0" customHeight="1">
      <c r="A47" s="30"/>
      <c r="B47" s="66"/>
      <c r="H47" s="30"/>
      <c r="I47" s="30"/>
      <c r="J47" s="30"/>
      <c r="K47" s="30"/>
      <c r="L47" s="30"/>
      <c r="M47" s="30"/>
      <c r="N47" s="54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</row>
    <row r="48" ht="30.0" customHeight="1">
      <c r="A48" s="30"/>
      <c r="B48" s="66"/>
      <c r="D48" s="68"/>
      <c r="E48" s="68"/>
      <c r="H48" s="30"/>
      <c r="I48" s="30"/>
      <c r="J48" s="30"/>
      <c r="K48" s="30"/>
      <c r="L48" s="30"/>
      <c r="M48" s="30"/>
      <c r="N48" s="54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</row>
    <row r="49" ht="30.0" hidden="1" customHeight="1">
      <c r="A49" s="30"/>
      <c r="B49" s="66"/>
      <c r="D49" s="68"/>
      <c r="E49" s="68"/>
      <c r="H49" s="30"/>
      <c r="I49" s="30"/>
      <c r="J49" s="30"/>
      <c r="K49" s="30"/>
      <c r="L49" s="30"/>
      <c r="M49" s="30"/>
      <c r="N49" s="54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</row>
    <row r="50" ht="30.0" hidden="1" customHeight="1">
      <c r="A50" s="30"/>
      <c r="B50" s="66"/>
      <c r="D50" s="68"/>
      <c r="E50" s="68"/>
      <c r="H50" s="30"/>
      <c r="I50" s="30"/>
      <c r="J50" s="30"/>
      <c r="K50" s="30"/>
      <c r="L50" s="30"/>
      <c r="M50" s="30"/>
      <c r="N50" s="54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</row>
    <row r="51" ht="30.0" hidden="1" customHeight="1">
      <c r="A51" s="30"/>
      <c r="B51" s="66"/>
      <c r="D51" s="68"/>
      <c r="E51" s="68"/>
      <c r="H51" s="30"/>
      <c r="I51" s="30"/>
      <c r="J51" s="30"/>
      <c r="K51" s="30"/>
      <c r="L51" s="30"/>
      <c r="M51" s="30"/>
      <c r="N51" s="54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</row>
    <row r="52" ht="30.0" hidden="1" customHeight="1">
      <c r="A52" s="30"/>
      <c r="B52" s="66"/>
      <c r="D52" s="68"/>
      <c r="E52" s="68"/>
      <c r="H52" s="30"/>
      <c r="I52" s="30"/>
      <c r="J52" s="30"/>
      <c r="K52" s="30"/>
      <c r="L52" s="30"/>
      <c r="M52" s="30"/>
      <c r="N52" s="54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</row>
    <row r="53" ht="30.0" hidden="1" customHeight="1">
      <c r="A53" s="30"/>
      <c r="B53" s="66"/>
      <c r="D53" s="68"/>
      <c r="E53" s="68"/>
      <c r="H53" s="30"/>
      <c r="I53" s="30"/>
      <c r="J53" s="30"/>
      <c r="K53" s="30"/>
      <c r="L53" s="30"/>
      <c r="M53" s="30"/>
      <c r="N53" s="54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</row>
    <row r="54" ht="30.0" hidden="1" customHeight="1">
      <c r="A54" s="60"/>
      <c r="D54" s="68"/>
      <c r="E54" s="68"/>
      <c r="H54" s="30"/>
      <c r="I54" s="30"/>
      <c r="J54" s="30"/>
      <c r="K54" s="30"/>
      <c r="L54" s="30"/>
      <c r="M54" s="30"/>
      <c r="N54" s="54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</row>
    <row r="55" ht="30.0" hidden="1" customHeight="1">
      <c r="A55" s="60"/>
      <c r="D55" s="68"/>
      <c r="E55" s="68"/>
      <c r="H55" s="30"/>
      <c r="I55" s="30"/>
      <c r="J55" s="30"/>
      <c r="K55" s="30"/>
      <c r="L55" s="30"/>
      <c r="M55" s="30"/>
      <c r="N55" s="54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</row>
    <row r="56" ht="30.0" hidden="1" customHeight="1">
      <c r="A56" s="60"/>
      <c r="D56" s="68"/>
      <c r="E56" s="68"/>
      <c r="H56" s="30"/>
      <c r="I56" s="30"/>
      <c r="J56" s="30"/>
      <c r="K56" s="30"/>
      <c r="L56" s="30"/>
      <c r="M56" s="30"/>
      <c r="N56" s="54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</row>
    <row r="57" ht="30.0" hidden="1" customHeight="1">
      <c r="A57" s="30"/>
      <c r="D57" s="68"/>
      <c r="E57" s="68"/>
      <c r="H57" s="30"/>
      <c r="I57" s="30"/>
      <c r="J57" s="30"/>
      <c r="K57" s="30"/>
      <c r="L57" s="30"/>
      <c r="M57" s="30"/>
      <c r="N57" s="54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</row>
    <row r="58" ht="30.0" hidden="1" customHeight="1">
      <c r="A58" s="30"/>
      <c r="D58" s="68"/>
      <c r="E58" s="68"/>
      <c r="H58" s="30"/>
      <c r="I58" s="30"/>
      <c r="J58" s="30"/>
      <c r="K58" s="30"/>
      <c r="L58" s="30"/>
      <c r="M58" s="30"/>
      <c r="N58" s="54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</row>
    <row r="59" ht="30.0" hidden="1" customHeight="1">
      <c r="A59" s="30"/>
      <c r="D59" s="68"/>
      <c r="E59" s="68"/>
      <c r="H59" s="30"/>
      <c r="I59" s="30"/>
      <c r="J59" s="30"/>
      <c r="K59" s="30"/>
      <c r="L59" s="30"/>
      <c r="M59" s="30"/>
      <c r="N59" s="54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</row>
    <row r="60" ht="30.0" hidden="1" customHeight="1">
      <c r="A60" s="30"/>
      <c r="D60" s="68"/>
      <c r="E60" s="68"/>
      <c r="H60" s="30"/>
      <c r="I60" s="30"/>
      <c r="J60" s="30"/>
      <c r="K60" s="30"/>
      <c r="L60" s="30"/>
      <c r="M60" s="30"/>
      <c r="N60" s="54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</row>
    <row r="61" ht="30.0" hidden="1" customHeight="1">
      <c r="A61" s="30"/>
      <c r="D61" s="68"/>
      <c r="E61" s="68"/>
      <c r="H61" s="30"/>
      <c r="I61" s="30"/>
      <c r="J61" s="30"/>
      <c r="K61" s="30"/>
      <c r="L61" s="30"/>
      <c r="M61" s="30"/>
      <c r="N61" s="54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</row>
    <row r="62" ht="30.0" hidden="1" customHeight="1">
      <c r="A62" s="30"/>
      <c r="D62" s="68"/>
      <c r="E62" s="68"/>
      <c r="H62" s="30"/>
      <c r="I62" s="30"/>
      <c r="J62" s="30"/>
      <c r="K62" s="30"/>
      <c r="L62" s="30"/>
      <c r="M62" s="30"/>
      <c r="N62" s="54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</row>
    <row r="63" ht="30.0" hidden="1" customHeight="1">
      <c r="A63" s="30"/>
      <c r="D63" s="68"/>
      <c r="E63" s="68"/>
      <c r="H63" s="30"/>
      <c r="I63" s="30"/>
      <c r="J63" s="30"/>
      <c r="K63" s="30"/>
      <c r="L63" s="30"/>
      <c r="M63" s="30"/>
      <c r="N63" s="54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</row>
    <row r="64" ht="15.75" hidden="1" customHeight="1">
      <c r="A64" s="30"/>
      <c r="D64" s="68"/>
      <c r="E64" s="6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ht="15.75" hidden="1" customHeight="1">
      <c r="A65" s="30"/>
      <c r="D65" s="68"/>
      <c r="E65" s="6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</row>
    <row r="66" ht="15.75" hidden="1" customHeight="1">
      <c r="A66" s="30"/>
      <c r="D66" s="68"/>
      <c r="E66" s="6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</row>
    <row r="67" ht="15.75" hidden="1" customHeight="1">
      <c r="A67" s="30"/>
      <c r="D67" s="68"/>
      <c r="E67" s="6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</row>
    <row r="68" ht="15.0" customHeight="1">
      <c r="A68" s="30"/>
      <c r="D68" s="68"/>
      <c r="E68" s="6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</row>
    <row r="69" ht="15.0" customHeight="1">
      <c r="A69" s="30"/>
      <c r="D69" s="68"/>
      <c r="E69" s="6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</row>
    <row r="70" ht="15.0" customHeight="1">
      <c r="A70" s="30"/>
      <c r="D70" s="68"/>
      <c r="E70" s="6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</row>
    <row r="71" ht="15.75" customHeight="1">
      <c r="A71" s="30"/>
      <c r="D71" s="68"/>
      <c r="E71" s="6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</row>
    <row r="72" ht="15.75" customHeight="1">
      <c r="A72" s="30"/>
      <c r="D72" s="68"/>
      <c r="E72" s="6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</row>
    <row r="73" ht="15.75" customHeight="1">
      <c r="A73" s="30"/>
      <c r="D73" s="68"/>
      <c r="E73" s="6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</row>
    <row r="74" ht="15.75" customHeight="1">
      <c r="A74" s="30"/>
      <c r="D74" s="68"/>
      <c r="E74" s="6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</row>
    <row r="75" ht="15.75" customHeight="1">
      <c r="A75" s="30"/>
      <c r="D75" s="68"/>
      <c r="E75" s="6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</row>
    <row r="76" ht="15.75" customHeight="1">
      <c r="A76" s="30"/>
      <c r="D76" s="68"/>
      <c r="E76" s="6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</row>
    <row r="77" ht="15.75" customHeight="1">
      <c r="A77" s="30"/>
      <c r="D77" s="68"/>
      <c r="E77" s="6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</row>
    <row r="78" ht="15.75" customHeight="1">
      <c r="A78" s="30"/>
      <c r="D78" s="68"/>
      <c r="E78" s="6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</row>
    <row r="79" ht="15.75" customHeight="1">
      <c r="A79" s="30"/>
      <c r="D79" s="68"/>
      <c r="E79" s="6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</row>
    <row r="80" ht="15.75" customHeight="1">
      <c r="A80" s="30"/>
      <c r="D80" s="68"/>
      <c r="E80" s="6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</row>
    <row r="81" ht="15.75" customHeight="1">
      <c r="A81" s="30"/>
      <c r="D81" s="68"/>
      <c r="E81" s="6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</row>
    <row r="82" ht="15.75" customHeight="1">
      <c r="A82" s="30"/>
      <c r="D82" s="68"/>
      <c r="E82" s="6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</row>
    <row r="83" ht="15.75" customHeight="1">
      <c r="A83" s="30"/>
      <c r="D83" s="68"/>
      <c r="E83" s="6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</row>
    <row r="84" ht="15.75" customHeight="1">
      <c r="A84" s="30"/>
      <c r="D84" s="68"/>
      <c r="E84" s="6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</row>
    <row r="85" ht="15.75" customHeight="1">
      <c r="A85" s="30"/>
      <c r="D85" s="68"/>
      <c r="E85" s="6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</row>
    <row r="86" ht="15.75" customHeight="1">
      <c r="A86" s="30"/>
      <c r="D86" s="68"/>
      <c r="E86" s="6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</row>
    <row r="87" ht="15.75" customHeight="1">
      <c r="A87" s="30"/>
      <c r="D87" s="68"/>
      <c r="E87" s="6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</row>
    <row r="88" ht="15.75" customHeight="1">
      <c r="A88" s="30"/>
      <c r="D88" s="68"/>
      <c r="E88" s="6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</row>
    <row r="89" ht="15.75" customHeight="1">
      <c r="A89" s="30"/>
      <c r="D89" s="68"/>
      <c r="E89" s="6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</row>
    <row r="90" ht="15.75" customHeight="1">
      <c r="A90" s="30"/>
      <c r="D90" s="68"/>
      <c r="E90" s="6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</row>
    <row r="91" ht="15.75" customHeight="1">
      <c r="A91" s="30"/>
      <c r="D91" s="68"/>
      <c r="E91" s="6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</row>
    <row r="92" ht="15.75" customHeight="1">
      <c r="A92" s="30"/>
      <c r="D92" s="68"/>
      <c r="E92" s="6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</row>
    <row r="93" ht="15.75" customHeight="1">
      <c r="A93" s="30"/>
      <c r="D93" s="68"/>
      <c r="E93" s="6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</row>
    <row r="94" ht="15.75" customHeight="1">
      <c r="A94" s="30"/>
      <c r="D94" s="68"/>
      <c r="E94" s="6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</row>
    <row r="95" ht="15.75" customHeight="1">
      <c r="A95" s="30"/>
      <c r="D95" s="68"/>
      <c r="E95" s="6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</row>
    <row r="96" ht="15.75" customHeight="1">
      <c r="A96" s="30"/>
      <c r="D96" s="68"/>
      <c r="E96" s="6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</row>
    <row r="97" ht="15.75" customHeight="1">
      <c r="A97" s="30"/>
      <c r="D97" s="68"/>
      <c r="E97" s="6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</row>
    <row r="98" ht="15.75" customHeight="1">
      <c r="A98" s="30"/>
      <c r="D98" s="68"/>
      <c r="E98" s="68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</row>
    <row r="99" ht="15.75" customHeight="1">
      <c r="A99" s="30"/>
      <c r="D99" s="68"/>
      <c r="E99" s="6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</row>
    <row r="100" ht="15.75" customHeight="1">
      <c r="A100" s="30"/>
      <c r="D100" s="68"/>
      <c r="E100" s="68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</row>
    <row r="101" ht="15.75" customHeight="1">
      <c r="A101" s="30"/>
      <c r="D101" s="68"/>
      <c r="E101" s="6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</row>
    <row r="102" ht="15.75" customHeight="1">
      <c r="A102" s="30"/>
      <c r="D102" s="68"/>
      <c r="E102" s="68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</row>
    <row r="103" ht="15.75" customHeight="1">
      <c r="A103" s="30"/>
      <c r="D103" s="68"/>
      <c r="E103" s="68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</row>
    <row r="104" ht="15.75" customHeight="1">
      <c r="A104" s="30"/>
      <c r="D104" s="68"/>
      <c r="E104" s="68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</row>
    <row r="105" ht="15.75" customHeight="1">
      <c r="A105" s="30"/>
      <c r="D105" s="68"/>
      <c r="E105" s="68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</row>
    <row r="106" ht="15.75" customHeight="1">
      <c r="A106" s="30"/>
      <c r="D106" s="68"/>
      <c r="E106" s="68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</row>
    <row r="107" ht="15.75" customHeight="1">
      <c r="A107" s="30"/>
      <c r="D107" s="68"/>
      <c r="E107" s="68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</row>
    <row r="108" ht="15.75" customHeight="1">
      <c r="A108" s="30"/>
      <c r="D108" s="68"/>
      <c r="E108" s="68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</row>
    <row r="109" ht="15.75" customHeight="1">
      <c r="A109" s="30"/>
      <c r="D109" s="68"/>
      <c r="E109" s="68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</row>
    <row r="110" ht="15.75" customHeight="1">
      <c r="A110" s="30"/>
      <c r="D110" s="68"/>
      <c r="E110" s="68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</row>
    <row r="111" ht="15.75" customHeight="1">
      <c r="A111" s="30"/>
      <c r="D111" s="68"/>
      <c r="E111" s="68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</row>
    <row r="112" ht="15.75" customHeight="1">
      <c r="A112" s="30"/>
      <c r="D112" s="68"/>
      <c r="E112" s="68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</row>
    <row r="113" ht="15.75" customHeight="1">
      <c r="A113" s="30"/>
      <c r="D113" s="68"/>
      <c r="E113" s="68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</row>
    <row r="114" ht="15.75" customHeight="1">
      <c r="A114" s="30"/>
      <c r="D114" s="68"/>
      <c r="E114" s="68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</row>
    <row r="115" ht="15.75" customHeight="1">
      <c r="A115" s="30"/>
      <c r="D115" s="68"/>
      <c r="E115" s="68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</row>
    <row r="116" ht="15.75" customHeight="1">
      <c r="A116" s="30"/>
      <c r="D116" s="68"/>
      <c r="E116" s="68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</row>
    <row r="117" ht="15.75" customHeight="1">
      <c r="A117" s="30"/>
      <c r="D117" s="68"/>
      <c r="E117" s="68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</row>
    <row r="118" ht="15.75" customHeight="1">
      <c r="A118" s="30"/>
      <c r="D118" s="68"/>
      <c r="E118" s="68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</row>
    <row r="119" ht="15.75" customHeight="1">
      <c r="A119" s="30"/>
      <c r="D119" s="68"/>
      <c r="E119" s="68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</row>
    <row r="120" ht="15.75" customHeight="1">
      <c r="A120" s="30"/>
      <c r="D120" s="68"/>
      <c r="E120" s="68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</row>
    <row r="121" ht="15.75" customHeight="1">
      <c r="A121" s="30"/>
      <c r="D121" s="68"/>
      <c r="E121" s="68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</row>
    <row r="122" ht="15.75" customHeight="1">
      <c r="A122" s="30"/>
      <c r="D122" s="68"/>
      <c r="E122" s="68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</row>
    <row r="123" ht="15.75" customHeight="1">
      <c r="A123" s="30"/>
      <c r="D123" s="68"/>
      <c r="E123" s="68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</row>
    <row r="124" ht="15.75" customHeight="1">
      <c r="A124" s="30"/>
      <c r="D124" s="68"/>
      <c r="E124" s="68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</row>
    <row r="125" ht="15.75" customHeight="1">
      <c r="A125" s="30"/>
      <c r="D125" s="68"/>
      <c r="E125" s="68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</row>
    <row r="126" ht="15.75" customHeight="1">
      <c r="A126" s="30"/>
      <c r="D126" s="68"/>
      <c r="E126" s="68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</row>
    <row r="127" ht="15.75" customHeight="1">
      <c r="A127" s="30"/>
      <c r="D127" s="68"/>
      <c r="E127" s="68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</row>
    <row r="128" ht="15.75" customHeight="1">
      <c r="A128" s="30"/>
      <c r="D128" s="68"/>
      <c r="E128" s="68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</row>
    <row r="129" ht="15.75" customHeight="1">
      <c r="A129" s="30"/>
      <c r="D129" s="68"/>
      <c r="E129" s="68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</row>
    <row r="130" ht="15.75" customHeight="1">
      <c r="A130" s="30"/>
      <c r="D130" s="68"/>
      <c r="E130" s="68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</row>
    <row r="131" ht="15.75" customHeight="1">
      <c r="A131" s="30"/>
      <c r="D131" s="68"/>
      <c r="E131" s="68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</row>
    <row r="132" ht="15.75" customHeight="1">
      <c r="A132" s="30"/>
      <c r="D132" s="68"/>
      <c r="E132" s="68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</row>
    <row r="133" ht="15.75" customHeight="1">
      <c r="A133" s="30"/>
      <c r="D133" s="68"/>
      <c r="E133" s="68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</row>
    <row r="134" ht="15.75" customHeight="1">
      <c r="A134" s="30"/>
      <c r="D134" s="68"/>
      <c r="E134" s="68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</row>
    <row r="135" ht="15.75" customHeight="1">
      <c r="A135" s="30"/>
      <c r="D135" s="68"/>
      <c r="E135" s="68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</row>
    <row r="136" ht="15.75" customHeight="1">
      <c r="A136" s="30"/>
      <c r="D136" s="68"/>
      <c r="E136" s="6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</row>
    <row r="137" ht="15.75" customHeight="1">
      <c r="A137" s="30"/>
      <c r="D137" s="68"/>
      <c r="E137" s="68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</row>
    <row r="138" ht="15.75" customHeight="1">
      <c r="A138" s="30"/>
      <c r="D138" s="68"/>
      <c r="E138" s="68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</row>
    <row r="139" ht="15.75" customHeight="1">
      <c r="A139" s="30"/>
      <c r="D139" s="68"/>
      <c r="E139" s="68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</row>
    <row r="140" ht="15.75" customHeight="1">
      <c r="A140" s="30"/>
      <c r="D140" s="68"/>
      <c r="E140" s="68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</row>
    <row r="141" ht="15.75" customHeight="1">
      <c r="A141" s="30"/>
      <c r="D141" s="68"/>
      <c r="E141" s="68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</row>
    <row r="142" ht="15.75" customHeight="1">
      <c r="A142" s="30"/>
      <c r="D142" s="68"/>
      <c r="E142" s="68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</row>
    <row r="143" ht="15.75" customHeight="1">
      <c r="A143" s="30"/>
      <c r="D143" s="68"/>
      <c r="E143" s="6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</row>
    <row r="144" ht="15.75" customHeight="1">
      <c r="A144" s="30"/>
      <c r="D144" s="68"/>
      <c r="E144" s="68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</row>
    <row r="145" ht="15.75" customHeight="1">
      <c r="A145" s="30"/>
      <c r="D145" s="68"/>
      <c r="E145" s="68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</row>
    <row r="146" ht="15.75" customHeight="1">
      <c r="A146" s="30"/>
      <c r="D146" s="68"/>
      <c r="E146" s="68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</row>
    <row r="147" ht="15.75" customHeight="1">
      <c r="A147" s="30"/>
      <c r="D147" s="68"/>
      <c r="E147" s="68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</row>
    <row r="148" ht="15.75" customHeight="1">
      <c r="A148" s="30"/>
      <c r="D148" s="68"/>
      <c r="E148" s="68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</row>
    <row r="149" ht="15.75" customHeight="1">
      <c r="A149" s="30"/>
      <c r="D149" s="68"/>
      <c r="E149" s="6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</row>
    <row r="150" ht="15.75" customHeight="1">
      <c r="A150" s="30"/>
      <c r="D150" s="68"/>
      <c r="E150" s="68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</row>
    <row r="151" ht="15.75" customHeight="1">
      <c r="A151" s="30"/>
      <c r="D151" s="68"/>
      <c r="E151" s="68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</row>
    <row r="152" ht="15.75" customHeight="1">
      <c r="A152" s="30"/>
      <c r="D152" s="68"/>
      <c r="E152" s="68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</row>
    <row r="153" ht="15.75" customHeight="1">
      <c r="A153" s="30"/>
      <c r="D153" s="68"/>
      <c r="E153" s="68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</row>
    <row r="154" ht="15.75" customHeight="1">
      <c r="A154" s="30"/>
      <c r="D154" s="68"/>
      <c r="E154" s="68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</row>
    <row r="155" ht="15.75" customHeight="1">
      <c r="A155" s="30"/>
      <c r="D155" s="68"/>
      <c r="E155" s="68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</row>
    <row r="156" ht="15.75" customHeight="1">
      <c r="A156" s="30"/>
      <c r="D156" s="68"/>
      <c r="E156" s="68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</row>
    <row r="157" ht="15.75" customHeight="1">
      <c r="A157" s="30"/>
      <c r="D157" s="68"/>
      <c r="E157" s="68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</row>
    <row r="158" ht="15.75" customHeight="1">
      <c r="A158" s="30"/>
      <c r="D158" s="68"/>
      <c r="E158" s="68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</row>
    <row r="159" ht="15.75" customHeight="1">
      <c r="A159" s="30"/>
      <c r="D159" s="68"/>
      <c r="E159" s="68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</row>
    <row r="160" ht="15.75" customHeight="1">
      <c r="A160" s="30"/>
      <c r="D160" s="68"/>
      <c r="E160" s="68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</row>
    <row r="161" ht="15.75" customHeight="1">
      <c r="A161" s="30"/>
      <c r="D161" s="68"/>
      <c r="E161" s="68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</row>
    <row r="162" ht="15.75" customHeight="1">
      <c r="A162" s="30"/>
      <c r="D162" s="68"/>
      <c r="E162" s="68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</row>
    <row r="163" ht="15.75" customHeight="1">
      <c r="A163" s="30"/>
      <c r="D163" s="68"/>
      <c r="E163" s="68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</row>
    <row r="164" ht="15.75" customHeight="1">
      <c r="A164" s="30"/>
      <c r="D164" s="68"/>
      <c r="E164" s="68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</row>
    <row r="165" ht="15.75" customHeight="1">
      <c r="A165" s="30"/>
      <c r="D165" s="68"/>
      <c r="E165" s="68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</row>
    <row r="166" ht="15.75" customHeight="1">
      <c r="A166" s="30"/>
      <c r="D166" s="68"/>
      <c r="E166" s="68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</row>
    <row r="167" ht="15.75" customHeight="1">
      <c r="A167" s="30"/>
      <c r="D167" s="68"/>
      <c r="E167" s="68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</row>
    <row r="168" ht="15.75" customHeight="1">
      <c r="A168" s="30"/>
      <c r="D168" s="68"/>
      <c r="E168" s="68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</row>
    <row r="169" ht="15.75" customHeight="1">
      <c r="A169" s="30"/>
      <c r="D169" s="68"/>
      <c r="E169" s="68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</row>
    <row r="170" ht="15.75" customHeight="1">
      <c r="A170" s="30"/>
      <c r="D170" s="68"/>
      <c r="E170" s="68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</row>
    <row r="171" ht="15.75" customHeight="1">
      <c r="A171" s="30"/>
      <c r="D171" s="68"/>
      <c r="E171" s="68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</row>
    <row r="172" ht="15.75" customHeight="1">
      <c r="A172" s="30"/>
      <c r="D172" s="68"/>
      <c r="E172" s="68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</row>
    <row r="173" ht="15.75" customHeight="1">
      <c r="A173" s="30"/>
      <c r="D173" s="68"/>
      <c r="E173" s="68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</row>
    <row r="174" ht="15.75" customHeight="1">
      <c r="A174" s="30"/>
      <c r="D174" s="68"/>
      <c r="E174" s="68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</row>
    <row r="175" ht="15.75" customHeight="1">
      <c r="A175" s="30"/>
      <c r="D175" s="68"/>
      <c r="E175" s="68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</row>
    <row r="176" ht="15.75" customHeight="1">
      <c r="A176" s="30"/>
      <c r="D176" s="68"/>
      <c r="E176" s="68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</row>
    <row r="177" ht="15.75" customHeight="1">
      <c r="A177" s="30"/>
      <c r="D177" s="68"/>
      <c r="E177" s="68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</row>
    <row r="178" ht="15.75" customHeight="1">
      <c r="A178" s="30"/>
      <c r="D178" s="68"/>
      <c r="E178" s="68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</row>
    <row r="179" ht="15.75" customHeight="1">
      <c r="A179" s="30"/>
      <c r="D179" s="68"/>
      <c r="E179" s="68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</row>
    <row r="180" ht="15.75" customHeight="1">
      <c r="A180" s="30"/>
      <c r="D180" s="68"/>
      <c r="E180" s="68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</row>
    <row r="181" ht="15.75" customHeight="1">
      <c r="A181" s="30"/>
      <c r="D181" s="68"/>
      <c r="E181" s="68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</row>
    <row r="182" ht="15.75" customHeight="1">
      <c r="A182" s="30"/>
      <c r="D182" s="68"/>
      <c r="E182" s="68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</row>
    <row r="183" ht="15.75" customHeight="1">
      <c r="A183" s="30"/>
      <c r="D183" s="68"/>
      <c r="E183" s="68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</row>
    <row r="184" ht="15.75" customHeight="1">
      <c r="A184" s="30"/>
      <c r="D184" s="68"/>
      <c r="E184" s="68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</row>
    <row r="185" ht="15.75" customHeight="1">
      <c r="A185" s="30"/>
      <c r="D185" s="68"/>
      <c r="E185" s="68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</row>
    <row r="186" ht="15.75" customHeight="1">
      <c r="A186" s="30"/>
      <c r="D186" s="68"/>
      <c r="E186" s="68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</row>
    <row r="187" ht="15.75" customHeight="1">
      <c r="A187" s="30"/>
      <c r="D187" s="68"/>
      <c r="E187" s="68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</row>
    <row r="188" ht="15.75" customHeight="1">
      <c r="A188" s="30"/>
      <c r="D188" s="68"/>
      <c r="E188" s="68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</row>
    <row r="189" ht="15.75" customHeight="1">
      <c r="A189" s="30"/>
      <c r="D189" s="68"/>
      <c r="E189" s="68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</row>
    <row r="190" ht="15.75" customHeight="1">
      <c r="A190" s="30"/>
      <c r="D190" s="68"/>
      <c r="E190" s="68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</row>
    <row r="191" ht="15.75" customHeight="1">
      <c r="A191" s="30"/>
      <c r="D191" s="68"/>
      <c r="E191" s="68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</row>
    <row r="192" ht="15.75" customHeight="1">
      <c r="A192" s="30"/>
      <c r="D192" s="68"/>
      <c r="E192" s="68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</row>
    <row r="193" ht="15.75" customHeight="1">
      <c r="A193" s="30"/>
      <c r="D193" s="68"/>
      <c r="E193" s="68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</row>
    <row r="194" ht="15.75" customHeight="1">
      <c r="A194" s="30"/>
      <c r="D194" s="68"/>
      <c r="E194" s="68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</row>
    <row r="195" ht="15.75" customHeight="1">
      <c r="A195" s="30"/>
      <c r="D195" s="68"/>
      <c r="E195" s="68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</row>
    <row r="196" ht="15.75" customHeight="1">
      <c r="A196" s="30"/>
      <c r="D196" s="68"/>
      <c r="E196" s="68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</row>
    <row r="197" ht="15.75" customHeight="1">
      <c r="A197" s="30"/>
      <c r="D197" s="68"/>
      <c r="E197" s="68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</row>
    <row r="198" ht="15.75" customHeight="1">
      <c r="A198" s="30"/>
      <c r="D198" s="68"/>
      <c r="E198" s="68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</row>
    <row r="199" ht="15.75" customHeight="1">
      <c r="A199" s="30"/>
      <c r="D199" s="68"/>
      <c r="E199" s="6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</row>
    <row r="200" ht="15.75" customHeight="1">
      <c r="A200" s="30"/>
      <c r="D200" s="68"/>
      <c r="E200" s="68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</row>
    <row r="201" ht="15.75" customHeight="1">
      <c r="A201" s="30"/>
      <c r="D201" s="68"/>
      <c r="E201" s="68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</row>
    <row r="202" ht="15.75" customHeight="1">
      <c r="A202" s="30"/>
      <c r="D202" s="68"/>
      <c r="E202" s="68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</row>
    <row r="203" ht="15.75" customHeight="1">
      <c r="A203" s="30"/>
      <c r="D203" s="68"/>
      <c r="E203" s="68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</row>
    <row r="204" ht="15.75" customHeight="1">
      <c r="A204" s="30"/>
      <c r="D204" s="68"/>
      <c r="E204" s="68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</row>
    <row r="205" ht="15.75" customHeight="1">
      <c r="A205" s="30"/>
      <c r="D205" s="68"/>
      <c r="E205" s="68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</row>
    <row r="206" ht="15.75" customHeight="1">
      <c r="A206" s="30"/>
      <c r="D206" s="68"/>
      <c r="E206" s="68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</row>
    <row r="207" ht="15.75" customHeight="1">
      <c r="A207" s="30"/>
      <c r="D207" s="68"/>
      <c r="E207" s="68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</row>
    <row r="208" ht="15.75" customHeight="1">
      <c r="A208" s="30"/>
      <c r="D208" s="68"/>
      <c r="E208" s="68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</row>
    <row r="209" ht="15.75" customHeight="1">
      <c r="A209" s="30"/>
      <c r="D209" s="68"/>
      <c r="E209" s="6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</row>
    <row r="210" ht="15.75" customHeight="1">
      <c r="A210" s="30"/>
      <c r="D210" s="68"/>
      <c r="E210" s="68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</row>
    <row r="211" ht="15.75" customHeight="1">
      <c r="A211" s="30"/>
      <c r="D211" s="68"/>
      <c r="E211" s="68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</row>
    <row r="212" ht="15.75" customHeight="1">
      <c r="A212" s="30"/>
      <c r="D212" s="68"/>
      <c r="E212" s="68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</row>
    <row r="213" ht="15.75" customHeight="1">
      <c r="A213" s="30"/>
      <c r="D213" s="68"/>
      <c r="E213" s="68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</row>
    <row r="214" ht="15.75" customHeight="1">
      <c r="A214" s="30"/>
      <c r="D214" s="68"/>
      <c r="E214" s="68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</row>
    <row r="215" ht="15.75" customHeight="1">
      <c r="A215" s="30"/>
      <c r="D215" s="68"/>
      <c r="E215" s="68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</row>
    <row r="216" ht="15.75" customHeight="1">
      <c r="A216" s="30"/>
      <c r="D216" s="68"/>
      <c r="E216" s="68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</row>
    <row r="217" ht="15.75" customHeight="1">
      <c r="A217" s="30"/>
      <c r="D217" s="68"/>
      <c r="E217" s="68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</row>
    <row r="218" ht="15.75" customHeight="1">
      <c r="A218" s="30"/>
      <c r="D218" s="68"/>
      <c r="E218" s="68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</row>
    <row r="219" ht="15.75" customHeight="1">
      <c r="A219" s="30"/>
      <c r="D219" s="68"/>
      <c r="E219" s="68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</row>
    <row r="220" ht="15.75" customHeight="1">
      <c r="A220" s="30"/>
      <c r="D220" s="68"/>
      <c r="E220" s="68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</row>
    <row r="221" ht="15.75" customHeight="1">
      <c r="A221" s="30"/>
      <c r="D221" s="68"/>
      <c r="E221" s="68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</row>
    <row r="222" ht="15.75" customHeight="1">
      <c r="A222" s="30"/>
      <c r="D222" s="68"/>
      <c r="E222" s="68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</row>
    <row r="223" ht="15.75" customHeight="1">
      <c r="A223" s="30"/>
      <c r="D223" s="68"/>
      <c r="E223" s="68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</row>
    <row r="224" ht="15.75" customHeight="1">
      <c r="A224" s="30"/>
      <c r="D224" s="68"/>
      <c r="E224" s="68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</row>
    <row r="225" ht="15.75" customHeight="1">
      <c r="A225" s="30"/>
      <c r="D225" s="68"/>
      <c r="E225" s="68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</row>
    <row r="226" ht="15.75" customHeight="1">
      <c r="A226" s="30"/>
      <c r="D226" s="68"/>
      <c r="E226" s="68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</row>
    <row r="227" ht="15.75" customHeight="1">
      <c r="A227" s="30"/>
      <c r="D227" s="68"/>
      <c r="E227" s="68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5:D25"/>
  </mergeCells>
  <conditionalFormatting sqref="D6:D24">
    <cfRule type="containsText" dxfId="0" priority="1" operator="containsText" text="Muito">
      <formula>NOT(ISERROR(SEARCH(("Muito"),(D6))))</formula>
    </cfRule>
  </conditionalFormatting>
  <conditionalFormatting sqref="D6:D24">
    <cfRule type="containsText" dxfId="1" priority="2" operator="containsText" text="Totalmente">
      <formula>NOT(ISERROR(SEARCH(("Totalmente"),(D6))))</formula>
    </cfRule>
  </conditionalFormatting>
  <conditionalFormatting sqref="D6:D24">
    <cfRule type="containsText" dxfId="2" priority="3" operator="containsText" text="Pouco">
      <formula>NOT(ISERROR(SEARCH(("Pouco"),(D6))))</formula>
    </cfRule>
  </conditionalFormatting>
  <conditionalFormatting sqref="D6:D24">
    <cfRule type="containsText" dxfId="3" priority="4" operator="containsText" text="Sem">
      <formula>NOT(ISERROR(SEARCH(("Sem"),(D6))))</formula>
    </cfRule>
  </conditionalFormatting>
  <conditionalFormatting sqref="E6:E24">
    <cfRule type="containsText" dxfId="1" priority="5" operator="containsText" text="Muito fraca">
      <formula>NOT(ISERROR(SEARCH(("Muito fraca"),(E6))))</formula>
    </cfRule>
  </conditionalFormatting>
  <conditionalFormatting sqref="E6:E24">
    <cfRule type="containsText" dxfId="0" priority="6" operator="containsText" text="Fraca">
      <formula>NOT(ISERROR(SEARCH(("Fraca"),(E6))))</formula>
    </cfRule>
  </conditionalFormatting>
  <conditionalFormatting sqref="E6:E24">
    <cfRule type="containsText" dxfId="3" priority="7" operator="containsText" text="Muito forte">
      <formula>NOT(ISERROR(SEARCH(("Muito forte"),(E6))))</formula>
    </cfRule>
  </conditionalFormatting>
  <conditionalFormatting sqref="E6:E24">
    <cfRule type="containsText" dxfId="2" priority="8" operator="containsText" text="Forte">
      <formula>NOT(ISERROR(SEARCH(("Forte"),(E6))))</formula>
    </cfRule>
  </conditionalFormatting>
  <conditionalFormatting sqref="F6:F24">
    <cfRule type="containsText" dxfId="1" priority="9" operator="containsText" text="Piora muito">
      <formula>NOT(ISERROR(SEARCH(("Piora muito"),(F6))))</formula>
    </cfRule>
  </conditionalFormatting>
  <conditionalFormatting sqref="F6:F24">
    <cfRule type="containsText" dxfId="0" priority="10" operator="containsText" text="Piora">
      <formula>NOT(ISERROR(SEARCH(("Piora"),(F6))))</formula>
    </cfRule>
  </conditionalFormatting>
  <conditionalFormatting sqref="F6:F24">
    <cfRule type="containsText" dxfId="3" priority="11" operator="containsText" text="Melhora muito">
      <formula>NOT(ISERROR(SEARCH(("Melhora muito"),(F6))))</formula>
    </cfRule>
  </conditionalFormatting>
  <conditionalFormatting sqref="F6:F24">
    <cfRule type="containsText" dxfId="2" priority="12" operator="containsText" text="Melhora">
      <formula>NOT(ISERROR(SEARCH(("Melhora"),(F6))))</formula>
    </cfRule>
  </conditionalFormatting>
  <dataValidations>
    <dataValidation type="list" allowBlank="1" showErrorMessage="1" sqref="E6:E24">
      <formula1>$I$15:$I$19</formula1>
    </dataValidation>
    <dataValidation type="list" allowBlank="1" showErrorMessage="1" sqref="F6:F24">
      <formula1>$I$23:$I$27</formula1>
    </dataValidation>
    <dataValidation type="list" allowBlank="1" showErrorMessage="1" sqref="D6:D24">
      <formula1>$I$7:$I$11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71.29"/>
    <col customWidth="1" min="4" max="6" width="25.71"/>
    <col customWidth="1" min="7" max="7" width="22.43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33.0" customHeight="1">
      <c r="A1" s="30"/>
      <c r="B1" s="30"/>
      <c r="C1" s="31"/>
      <c r="D1" s="76"/>
      <c r="E1" s="76"/>
      <c r="F1" s="76"/>
      <c r="G1" s="76"/>
      <c r="H1" s="77"/>
      <c r="I1" s="77"/>
      <c r="J1" s="77"/>
      <c r="K1" s="77"/>
      <c r="L1" s="77"/>
      <c r="M1" s="30"/>
      <c r="N1" s="30"/>
      <c r="O1" s="30"/>
      <c r="P1" s="30"/>
      <c r="Q1" s="30"/>
      <c r="R1" s="30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ht="36.75" customHeight="1">
      <c r="A2" s="35"/>
      <c r="B2" s="30"/>
      <c r="C2" s="78"/>
      <c r="D2" s="79"/>
      <c r="E2" s="79"/>
      <c r="F2" s="79"/>
      <c r="G2" s="79"/>
      <c r="H2" s="80"/>
      <c r="I2" s="80"/>
      <c r="J2" s="80"/>
      <c r="K2" s="80"/>
      <c r="L2" s="80"/>
      <c r="M2" s="30"/>
      <c r="N2" s="30"/>
      <c r="O2" s="30"/>
      <c r="P2" s="30"/>
      <c r="Q2" s="30"/>
      <c r="R2" s="3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</row>
    <row r="3" ht="4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ht="30.0" customHeight="1">
      <c r="A4" s="30"/>
      <c r="B4" s="39"/>
      <c r="C4" s="70" t="s">
        <v>40</v>
      </c>
      <c r="D4" s="41" t="s">
        <v>41</v>
      </c>
      <c r="E4" s="41" t="s">
        <v>69</v>
      </c>
      <c r="F4" s="41" t="s">
        <v>43</v>
      </c>
      <c r="G4" s="42" t="s">
        <v>44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3">
        <v>1.0</v>
      </c>
      <c r="T4" s="43">
        <v>1.0</v>
      </c>
      <c r="U4" s="43">
        <v>1.0</v>
      </c>
      <c r="V4" s="43">
        <v>1.0</v>
      </c>
      <c r="W4" s="43">
        <v>2.0</v>
      </c>
      <c r="X4" s="43">
        <v>2.0</v>
      </c>
      <c r="Y4" s="43">
        <v>2.0</v>
      </c>
      <c r="Z4" s="43">
        <v>2.0</v>
      </c>
      <c r="AA4" s="43">
        <v>2.0</v>
      </c>
      <c r="AB4" s="43">
        <v>2.0</v>
      </c>
      <c r="AC4" s="43">
        <v>2.0</v>
      </c>
      <c r="AD4" s="43">
        <v>2.0</v>
      </c>
      <c r="AE4" s="43">
        <v>2.0</v>
      </c>
      <c r="AF4" s="43">
        <v>2.0</v>
      </c>
      <c r="AG4" s="43">
        <v>2.0</v>
      </c>
      <c r="AH4" s="43">
        <v>2.0</v>
      </c>
      <c r="AI4" s="43">
        <v>3.0</v>
      </c>
      <c r="AJ4" s="43">
        <v>3.0</v>
      </c>
      <c r="AK4" s="43">
        <v>3.0</v>
      </c>
      <c r="AL4" s="43">
        <v>3.0</v>
      </c>
      <c r="AM4" s="43">
        <v>3.0</v>
      </c>
      <c r="AN4" s="43">
        <v>3.0</v>
      </c>
      <c r="AO4" s="43">
        <v>3.0</v>
      </c>
      <c r="AP4" s="43">
        <v>3.0</v>
      </c>
      <c r="AQ4" s="43">
        <v>3.0</v>
      </c>
      <c r="AR4" s="43">
        <v>3.0</v>
      </c>
      <c r="AS4" s="43">
        <v>3.0</v>
      </c>
      <c r="AT4" s="43">
        <v>3.0</v>
      </c>
      <c r="AU4" s="43"/>
    </row>
    <row r="5" ht="30.0" customHeight="1">
      <c r="A5" s="30"/>
      <c r="B5" s="30"/>
      <c r="C5" s="71" t="s">
        <v>70</v>
      </c>
      <c r="D5" s="45" t="s">
        <v>46</v>
      </c>
      <c r="E5" s="46" t="s">
        <v>71</v>
      </c>
      <c r="F5" s="47" t="s">
        <v>48</v>
      </c>
      <c r="G5" s="47" t="s">
        <v>49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</row>
    <row r="6" ht="33.75" customHeight="1">
      <c r="A6" s="30"/>
      <c r="B6" s="30"/>
      <c r="C6" s="72"/>
      <c r="D6" s="56"/>
      <c r="E6" s="56"/>
      <c r="F6" s="57"/>
      <c r="G6" s="51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0"/>
      <c r="I6" s="34" t="s">
        <v>41</v>
      </c>
      <c r="J6" s="34"/>
      <c r="K6" s="34"/>
      <c r="L6" s="34">
        <v>2.0E-4</v>
      </c>
      <c r="M6" s="52" t="str">
        <f t="shared" ref="M6:M25" si="2">IF(G6="","",G6+L7)</f>
        <v/>
      </c>
      <c r="N6" s="53" t="str">
        <f t="shared" ref="N6:N25" si="3">IF(C6=0,"",C6)</f>
        <v/>
      </c>
      <c r="O6" s="52" t="str">
        <f t="shared" ref="O6:O25" si="4">G6</f>
        <v/>
      </c>
      <c r="P6" s="54"/>
      <c r="Q6" s="30"/>
      <c r="R6" s="30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</row>
    <row r="7" ht="30.0" customHeight="1">
      <c r="A7" s="30"/>
      <c r="B7" s="30"/>
      <c r="C7" s="72"/>
      <c r="D7" s="56"/>
      <c r="E7" s="56"/>
      <c r="F7" s="57"/>
      <c r="G7" s="51" t="str">
        <f t="shared" si="1"/>
        <v/>
      </c>
      <c r="H7" s="73"/>
      <c r="I7" s="59"/>
      <c r="J7" s="34"/>
      <c r="K7" s="34"/>
      <c r="L7" s="34">
        <v>1.9E-4</v>
      </c>
      <c r="M7" s="52" t="str">
        <f t="shared" si="2"/>
        <v/>
      </c>
      <c r="N7" s="53" t="str">
        <f t="shared" si="3"/>
        <v/>
      </c>
      <c r="O7" s="52" t="str">
        <f t="shared" si="4"/>
        <v/>
      </c>
      <c r="P7" s="54"/>
      <c r="Q7" s="30"/>
      <c r="R7" s="30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</row>
    <row r="8" ht="30.0" customHeight="1">
      <c r="A8" s="30"/>
      <c r="B8" s="30"/>
      <c r="C8" s="72"/>
      <c r="D8" s="56"/>
      <c r="E8" s="56"/>
      <c r="F8" s="57"/>
      <c r="G8" s="51" t="str">
        <f t="shared" si="1"/>
        <v/>
      </c>
      <c r="H8" s="58"/>
      <c r="I8" s="34" t="s">
        <v>54</v>
      </c>
      <c r="J8" s="59">
        <v>1.0</v>
      </c>
      <c r="K8" s="34"/>
      <c r="L8" s="34">
        <v>1.8E-4</v>
      </c>
      <c r="M8" s="52" t="str">
        <f t="shared" si="2"/>
        <v/>
      </c>
      <c r="N8" s="53" t="str">
        <f t="shared" si="3"/>
        <v/>
      </c>
      <c r="O8" s="52" t="str">
        <f t="shared" si="4"/>
        <v/>
      </c>
      <c r="P8" s="54"/>
      <c r="Q8" s="30"/>
      <c r="R8" s="30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</row>
    <row r="9" ht="30.0" customHeight="1">
      <c r="A9" s="30"/>
      <c r="B9" s="30"/>
      <c r="C9" s="72"/>
      <c r="D9" s="56"/>
      <c r="E9" s="56"/>
      <c r="F9" s="57"/>
      <c r="G9" s="51" t="str">
        <f t="shared" si="1"/>
        <v/>
      </c>
      <c r="H9" s="30"/>
      <c r="I9" s="34" t="s">
        <v>51</v>
      </c>
      <c r="J9" s="59">
        <v>2.0</v>
      </c>
      <c r="K9" s="34"/>
      <c r="L9" s="34">
        <v>1.7E-4</v>
      </c>
      <c r="M9" s="52" t="str">
        <f t="shared" si="2"/>
        <v/>
      </c>
      <c r="N9" s="53" t="str">
        <f t="shared" si="3"/>
        <v/>
      </c>
      <c r="O9" s="52" t="str">
        <f t="shared" si="4"/>
        <v/>
      </c>
      <c r="P9" s="54"/>
      <c r="Q9" s="30"/>
      <c r="R9" s="30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</row>
    <row r="10" ht="30.0" customHeight="1">
      <c r="A10" s="30"/>
      <c r="B10" s="30"/>
      <c r="C10" s="72"/>
      <c r="D10" s="56"/>
      <c r="E10" s="56"/>
      <c r="F10" s="57"/>
      <c r="G10" s="51" t="str">
        <f t="shared" si="1"/>
        <v/>
      </c>
      <c r="H10" s="30"/>
      <c r="I10" s="34" t="s">
        <v>55</v>
      </c>
      <c r="J10" s="59">
        <v>3.0</v>
      </c>
      <c r="K10" s="34"/>
      <c r="L10" s="34">
        <v>1.6E-4</v>
      </c>
      <c r="M10" s="52" t="str">
        <f t="shared" si="2"/>
        <v/>
      </c>
      <c r="N10" s="53" t="str">
        <f t="shared" si="3"/>
        <v/>
      </c>
      <c r="O10" s="52" t="str">
        <f t="shared" si="4"/>
        <v/>
      </c>
      <c r="P10" s="54"/>
      <c r="Q10" s="30"/>
      <c r="R10" s="30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</row>
    <row r="11" ht="30.0" customHeight="1">
      <c r="A11" s="30"/>
      <c r="B11" s="30"/>
      <c r="C11" s="72"/>
      <c r="D11" s="56"/>
      <c r="E11" s="56"/>
      <c r="F11" s="57"/>
      <c r="G11" s="51" t="str">
        <f t="shared" si="1"/>
        <v/>
      </c>
      <c r="H11" s="30"/>
      <c r="I11" s="34" t="s">
        <v>56</v>
      </c>
      <c r="J11" s="59">
        <v>4.0</v>
      </c>
      <c r="K11" s="34"/>
      <c r="L11" s="34">
        <v>1.5E-4</v>
      </c>
      <c r="M11" s="52" t="str">
        <f t="shared" si="2"/>
        <v/>
      </c>
      <c r="N11" s="53" t="str">
        <f t="shared" si="3"/>
        <v/>
      </c>
      <c r="O11" s="52" t="str">
        <f t="shared" si="4"/>
        <v/>
      </c>
      <c r="P11" s="54"/>
      <c r="Q11" s="30"/>
      <c r="R11" s="30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</row>
    <row r="12" ht="30.0" customHeight="1">
      <c r="A12" s="30"/>
      <c r="B12" s="30"/>
      <c r="C12" s="72"/>
      <c r="D12" s="56"/>
      <c r="E12" s="56"/>
      <c r="F12" s="57"/>
      <c r="G12" s="51" t="str">
        <f t="shared" si="1"/>
        <v/>
      </c>
      <c r="H12" s="30"/>
      <c r="I12" s="34" t="s">
        <v>57</v>
      </c>
      <c r="J12" s="59">
        <v>5.0</v>
      </c>
      <c r="K12" s="34"/>
      <c r="L12" s="34">
        <v>1.4E-4</v>
      </c>
      <c r="M12" s="34" t="str">
        <f t="shared" si="2"/>
        <v/>
      </c>
      <c r="N12" s="34" t="str">
        <f t="shared" si="3"/>
        <v/>
      </c>
      <c r="O12" s="52" t="str">
        <f t="shared" si="4"/>
        <v/>
      </c>
      <c r="P12" s="54"/>
      <c r="Q12" s="30"/>
      <c r="R12" s="30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</row>
    <row r="13" ht="30.0" customHeight="1">
      <c r="A13" s="30"/>
      <c r="B13" s="30"/>
      <c r="C13" s="72"/>
      <c r="D13" s="56"/>
      <c r="E13" s="56"/>
      <c r="F13" s="57"/>
      <c r="G13" s="51" t="str">
        <f t="shared" si="1"/>
        <v/>
      </c>
      <c r="H13" s="30"/>
      <c r="I13" s="34"/>
      <c r="J13" s="34"/>
      <c r="K13" s="34"/>
      <c r="L13" s="34">
        <v>1.3E-4</v>
      </c>
      <c r="M13" s="34" t="str">
        <f t="shared" si="2"/>
        <v/>
      </c>
      <c r="N13" s="34" t="str">
        <f t="shared" si="3"/>
        <v/>
      </c>
      <c r="O13" s="52" t="str">
        <f t="shared" si="4"/>
        <v/>
      </c>
      <c r="P13" s="54"/>
      <c r="Q13" s="30"/>
      <c r="R13" s="30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</row>
    <row r="14" ht="30.0" customHeight="1">
      <c r="A14" s="60"/>
      <c r="B14" s="30"/>
      <c r="C14" s="72"/>
      <c r="D14" s="56"/>
      <c r="E14" s="56"/>
      <c r="F14" s="57"/>
      <c r="G14" s="51" t="str">
        <f t="shared" si="1"/>
        <v/>
      </c>
      <c r="H14" s="30"/>
      <c r="I14" s="34" t="s">
        <v>69</v>
      </c>
      <c r="J14" s="34"/>
      <c r="K14" s="34"/>
      <c r="L14" s="34">
        <v>1.2E-4</v>
      </c>
      <c r="M14" s="34" t="str">
        <f t="shared" si="2"/>
        <v/>
      </c>
      <c r="N14" s="34" t="str">
        <f t="shared" si="3"/>
        <v/>
      </c>
      <c r="O14" s="52" t="str">
        <f t="shared" si="4"/>
        <v/>
      </c>
      <c r="P14" s="54"/>
      <c r="Q14" s="30"/>
      <c r="R14" s="30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</row>
    <row r="15" ht="30.0" customHeight="1">
      <c r="A15" s="60"/>
      <c r="B15" s="30"/>
      <c r="C15" s="72"/>
      <c r="D15" s="56"/>
      <c r="E15" s="56"/>
      <c r="F15" s="57"/>
      <c r="G15" s="51" t="str">
        <f t="shared" si="1"/>
        <v/>
      </c>
      <c r="H15" s="30"/>
      <c r="I15" s="59"/>
      <c r="J15" s="34"/>
      <c r="K15" s="34"/>
      <c r="L15" s="34">
        <v>1.1E-4</v>
      </c>
      <c r="M15" s="34" t="str">
        <f t="shared" si="2"/>
        <v/>
      </c>
      <c r="N15" s="34" t="str">
        <f t="shared" si="3"/>
        <v/>
      </c>
      <c r="O15" s="52" t="str">
        <f t="shared" si="4"/>
        <v/>
      </c>
      <c r="P15" s="54"/>
      <c r="Q15" s="30"/>
      <c r="R15" s="30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</row>
    <row r="16" ht="30.0" customHeight="1">
      <c r="A16" s="30"/>
      <c r="B16" s="30"/>
      <c r="C16" s="72"/>
      <c r="D16" s="56"/>
      <c r="E16" s="56"/>
      <c r="F16" s="57"/>
      <c r="G16" s="51" t="str">
        <f t="shared" si="1"/>
        <v/>
      </c>
      <c r="H16" s="30"/>
      <c r="I16" s="34" t="s">
        <v>72</v>
      </c>
      <c r="J16" s="59">
        <v>1.0</v>
      </c>
      <c r="K16" s="34"/>
      <c r="L16" s="34">
        <v>1.0E-4</v>
      </c>
      <c r="M16" s="34" t="str">
        <f t="shared" si="2"/>
        <v/>
      </c>
      <c r="N16" s="34" t="str">
        <f t="shared" si="3"/>
        <v/>
      </c>
      <c r="O16" s="52" t="str">
        <f t="shared" si="4"/>
        <v/>
      </c>
      <c r="P16" s="54"/>
      <c r="Q16" s="30"/>
      <c r="R16" s="30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</row>
    <row r="17" ht="30.0" customHeight="1">
      <c r="A17" s="30"/>
      <c r="B17" s="30"/>
      <c r="C17" s="72"/>
      <c r="D17" s="56"/>
      <c r="E17" s="56"/>
      <c r="F17" s="57"/>
      <c r="G17" s="51" t="str">
        <f t="shared" si="1"/>
        <v/>
      </c>
      <c r="H17" s="30"/>
      <c r="I17" s="34" t="s">
        <v>73</v>
      </c>
      <c r="J17" s="59">
        <v>2.0</v>
      </c>
      <c r="K17" s="34"/>
      <c r="L17" s="34">
        <v>9.0E-5</v>
      </c>
      <c r="M17" s="34" t="str">
        <f t="shared" si="2"/>
        <v/>
      </c>
      <c r="N17" s="34" t="str">
        <f t="shared" si="3"/>
        <v/>
      </c>
      <c r="O17" s="52" t="str">
        <f t="shared" si="4"/>
        <v/>
      </c>
      <c r="P17" s="54"/>
      <c r="Q17" s="30"/>
      <c r="R17" s="30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</row>
    <row r="18" ht="30.0" customHeight="1">
      <c r="A18" s="30"/>
      <c r="B18" s="30"/>
      <c r="C18" s="72"/>
      <c r="D18" s="56"/>
      <c r="E18" s="56"/>
      <c r="F18" s="57"/>
      <c r="G18" s="51" t="str">
        <f t="shared" si="1"/>
        <v/>
      </c>
      <c r="H18" s="30"/>
      <c r="I18" s="34" t="s">
        <v>74</v>
      </c>
      <c r="J18" s="59">
        <v>3.0</v>
      </c>
      <c r="K18" s="34"/>
      <c r="L18" s="34">
        <v>8.0E-5</v>
      </c>
      <c r="M18" s="34" t="str">
        <f t="shared" si="2"/>
        <v/>
      </c>
      <c r="N18" s="34" t="str">
        <f t="shared" si="3"/>
        <v/>
      </c>
      <c r="O18" s="52" t="str">
        <f t="shared" si="4"/>
        <v/>
      </c>
      <c r="P18" s="54"/>
      <c r="Q18" s="30"/>
      <c r="R18" s="30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</row>
    <row r="19" ht="30.0" customHeight="1">
      <c r="A19" s="30"/>
      <c r="B19" s="30"/>
      <c r="C19" s="72"/>
      <c r="D19" s="56"/>
      <c r="E19" s="56"/>
      <c r="F19" s="57"/>
      <c r="G19" s="51" t="str">
        <f t="shared" si="1"/>
        <v/>
      </c>
      <c r="H19" s="30"/>
      <c r="I19" s="34" t="s">
        <v>75</v>
      </c>
      <c r="J19" s="59">
        <v>4.0</v>
      </c>
      <c r="K19" s="34"/>
      <c r="L19" s="34">
        <v>7.0E-5</v>
      </c>
      <c r="M19" s="34" t="str">
        <f t="shared" si="2"/>
        <v/>
      </c>
      <c r="N19" s="34" t="str">
        <f t="shared" si="3"/>
        <v/>
      </c>
      <c r="O19" s="52" t="str">
        <f t="shared" si="4"/>
        <v/>
      </c>
      <c r="P19" s="54"/>
      <c r="Q19" s="30"/>
      <c r="R19" s="30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</row>
    <row r="20" ht="30.0" customHeight="1">
      <c r="A20" s="30"/>
      <c r="B20" s="30"/>
      <c r="C20" s="72"/>
      <c r="D20" s="56"/>
      <c r="E20" s="56"/>
      <c r="F20" s="57"/>
      <c r="G20" s="51" t="str">
        <f t="shared" si="1"/>
        <v/>
      </c>
      <c r="H20" s="30"/>
      <c r="I20" s="34" t="s">
        <v>76</v>
      </c>
      <c r="J20" s="59">
        <v>5.0</v>
      </c>
      <c r="K20" s="34"/>
      <c r="L20" s="34">
        <v>6.0E-5</v>
      </c>
      <c r="M20" s="34" t="str">
        <f t="shared" si="2"/>
        <v/>
      </c>
      <c r="N20" s="34" t="str">
        <f t="shared" si="3"/>
        <v/>
      </c>
      <c r="O20" s="52" t="str">
        <f t="shared" si="4"/>
        <v/>
      </c>
      <c r="P20" s="54"/>
      <c r="Q20" s="30"/>
      <c r="R20" s="30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</row>
    <row r="21" ht="30.0" customHeight="1">
      <c r="A21" s="30"/>
      <c r="B21" s="30"/>
      <c r="C21" s="72"/>
      <c r="D21" s="56"/>
      <c r="E21" s="56"/>
      <c r="F21" s="57"/>
      <c r="G21" s="51" t="str">
        <f t="shared" si="1"/>
        <v/>
      </c>
      <c r="H21" s="30"/>
      <c r="I21" s="34"/>
      <c r="J21" s="34"/>
      <c r="K21" s="34"/>
      <c r="L21" s="34">
        <v>5.0E-5</v>
      </c>
      <c r="M21" s="34" t="str">
        <f t="shared" si="2"/>
        <v/>
      </c>
      <c r="N21" s="34" t="str">
        <f t="shared" si="3"/>
        <v/>
      </c>
      <c r="O21" s="52" t="str">
        <f t="shared" si="4"/>
        <v/>
      </c>
      <c r="P21" s="54"/>
      <c r="Q21" s="30"/>
      <c r="R21" s="30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</row>
    <row r="22" ht="30.0" customHeight="1">
      <c r="A22" s="30"/>
      <c r="B22" s="30"/>
      <c r="C22" s="72"/>
      <c r="D22" s="56"/>
      <c r="E22" s="56"/>
      <c r="F22" s="57"/>
      <c r="G22" s="51" t="str">
        <f t="shared" si="1"/>
        <v/>
      </c>
      <c r="H22" s="30"/>
      <c r="I22" s="34" t="s">
        <v>43</v>
      </c>
      <c r="J22" s="34"/>
      <c r="K22" s="34"/>
      <c r="L22" s="34">
        <v>4.0E-5</v>
      </c>
      <c r="M22" s="34" t="str">
        <f t="shared" si="2"/>
        <v/>
      </c>
      <c r="N22" s="34" t="str">
        <f t="shared" si="3"/>
        <v/>
      </c>
      <c r="O22" s="52" t="str">
        <f t="shared" si="4"/>
        <v/>
      </c>
      <c r="P22" s="54"/>
      <c r="Q22" s="30"/>
      <c r="R22" s="30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</row>
    <row r="23" ht="30.0" customHeight="1">
      <c r="A23" s="60"/>
      <c r="B23" s="30"/>
      <c r="C23" s="72"/>
      <c r="D23" s="56"/>
      <c r="E23" s="56"/>
      <c r="F23" s="57"/>
      <c r="G23" s="51" t="str">
        <f t="shared" si="1"/>
        <v/>
      </c>
      <c r="H23" s="30"/>
      <c r="I23" s="59"/>
      <c r="J23" s="34"/>
      <c r="K23" s="34"/>
      <c r="L23" s="34">
        <v>3.0E-5</v>
      </c>
      <c r="M23" s="34" t="str">
        <f t="shared" si="2"/>
        <v/>
      </c>
      <c r="N23" s="34" t="str">
        <f t="shared" si="3"/>
        <v/>
      </c>
      <c r="O23" s="52" t="str">
        <f t="shared" si="4"/>
        <v/>
      </c>
      <c r="P23" s="54"/>
      <c r="Q23" s="30"/>
      <c r="R23" s="30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</row>
    <row r="24" ht="30.0" customHeight="1">
      <c r="A24" s="60"/>
      <c r="B24" s="30"/>
      <c r="C24" s="72"/>
      <c r="D24" s="56"/>
      <c r="E24" s="56"/>
      <c r="F24" s="57"/>
      <c r="G24" s="51" t="str">
        <f t="shared" si="1"/>
        <v/>
      </c>
      <c r="H24" s="30"/>
      <c r="I24" s="34" t="s">
        <v>53</v>
      </c>
      <c r="J24" s="59">
        <v>5.0</v>
      </c>
      <c r="K24" s="34"/>
      <c r="L24" s="34">
        <v>2.0E-5</v>
      </c>
      <c r="M24" s="34" t="str">
        <f t="shared" si="2"/>
        <v/>
      </c>
      <c r="N24" s="34" t="str">
        <f t="shared" si="3"/>
        <v/>
      </c>
      <c r="O24" s="52" t="str">
        <f t="shared" si="4"/>
        <v/>
      </c>
      <c r="P24" s="54"/>
      <c r="Q24" s="30"/>
      <c r="R24" s="30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</row>
    <row r="25" ht="30.0" customHeight="1">
      <c r="A25" s="30"/>
      <c r="B25" s="30"/>
      <c r="C25" s="72"/>
      <c r="D25" s="56"/>
      <c r="E25" s="56"/>
      <c r="F25" s="57"/>
      <c r="G25" s="51" t="str">
        <f t="shared" si="1"/>
        <v/>
      </c>
      <c r="H25" s="30"/>
      <c r="I25" s="34" t="s">
        <v>62</v>
      </c>
      <c r="J25" s="59">
        <v>4.0</v>
      </c>
      <c r="K25" s="34"/>
      <c r="L25" s="34">
        <v>1.0E-5</v>
      </c>
      <c r="M25" s="34" t="str">
        <f t="shared" si="2"/>
        <v/>
      </c>
      <c r="N25" s="34" t="str">
        <f t="shared" si="3"/>
        <v/>
      </c>
      <c r="O25" s="52" t="str">
        <f t="shared" si="4"/>
        <v/>
      </c>
      <c r="P25" s="54"/>
      <c r="Q25" s="30"/>
      <c r="R25" s="30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</row>
    <row r="26" ht="30.0" customHeight="1">
      <c r="A26" s="30"/>
      <c r="B26" s="30"/>
      <c r="C26" s="62" t="s">
        <v>77</v>
      </c>
      <c r="D26" s="63"/>
      <c r="E26" s="63"/>
      <c r="F26" s="64" t="s">
        <v>64</v>
      </c>
      <c r="G26" s="65">
        <f>SUM(G6:G25)</f>
        <v>0</v>
      </c>
      <c r="H26" s="30"/>
      <c r="I26" s="34" t="s">
        <v>65</v>
      </c>
      <c r="J26" s="59">
        <v>3.0</v>
      </c>
      <c r="K26" s="34"/>
      <c r="L26" s="34"/>
      <c r="M26" s="34"/>
      <c r="N26" s="34"/>
      <c r="O26" s="52"/>
      <c r="P26" s="54"/>
      <c r="Q26" s="30"/>
      <c r="R26" s="30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</row>
    <row r="27" ht="30.0" customHeight="1">
      <c r="A27" s="30"/>
      <c r="B27" s="30"/>
      <c r="H27" s="30"/>
      <c r="I27" s="34" t="s">
        <v>66</v>
      </c>
      <c r="J27" s="59">
        <v>2.0</v>
      </c>
      <c r="K27" s="34"/>
      <c r="L27" s="34"/>
      <c r="M27" s="34"/>
      <c r="N27" s="34"/>
      <c r="O27" s="52"/>
      <c r="P27" s="54"/>
      <c r="Q27" s="30"/>
      <c r="R27" s="30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</row>
    <row r="28" ht="30.0" customHeight="1">
      <c r="A28" s="30"/>
      <c r="B28" s="30"/>
      <c r="H28" s="30"/>
      <c r="I28" s="34" t="s">
        <v>67</v>
      </c>
      <c r="J28" s="59">
        <v>1.0</v>
      </c>
      <c r="K28" s="34"/>
      <c r="L28" s="34"/>
      <c r="M28" s="34"/>
      <c r="N28" s="34"/>
      <c r="O28" s="52"/>
      <c r="P28" s="54"/>
      <c r="Q28" s="30"/>
      <c r="R28" s="30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</row>
    <row r="29" ht="30.0" customHeight="1">
      <c r="A29" s="30"/>
      <c r="B29" s="30"/>
      <c r="H29" s="30"/>
      <c r="I29" s="30"/>
      <c r="J29" s="30"/>
      <c r="K29" s="30"/>
      <c r="L29" s="30"/>
      <c r="M29" s="30"/>
      <c r="N29" s="30"/>
      <c r="O29" s="67"/>
      <c r="P29" s="54"/>
      <c r="Q29" s="30"/>
      <c r="R29" s="30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</row>
    <row r="30" ht="30.0" customHeight="1">
      <c r="A30" s="30"/>
      <c r="B30" s="30"/>
      <c r="H30" s="30"/>
      <c r="I30" s="30"/>
      <c r="J30" s="30"/>
      <c r="K30" s="30"/>
      <c r="L30" s="30"/>
      <c r="M30" s="30"/>
      <c r="N30" s="30"/>
      <c r="O30" s="67"/>
      <c r="P30" s="54"/>
      <c r="Q30" s="30"/>
      <c r="R30" s="30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</row>
    <row r="31" ht="30.0" customHeight="1">
      <c r="A31" s="30"/>
      <c r="B31" s="30"/>
      <c r="H31" s="30"/>
      <c r="I31" s="30"/>
      <c r="J31" s="30"/>
      <c r="K31" s="30"/>
      <c r="L31" s="30"/>
      <c r="M31" s="30"/>
      <c r="N31" s="30"/>
      <c r="O31" s="67"/>
      <c r="P31" s="54"/>
      <c r="Q31" s="30"/>
      <c r="R31" s="30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</row>
    <row r="32" ht="30.0" customHeight="1">
      <c r="A32" s="30"/>
      <c r="B32" s="30"/>
      <c r="H32" s="30"/>
      <c r="I32" s="30"/>
      <c r="J32" s="30"/>
      <c r="K32" s="30"/>
      <c r="L32" s="30"/>
      <c r="M32" s="30"/>
      <c r="N32" s="30"/>
      <c r="O32" s="67"/>
      <c r="P32" s="54"/>
      <c r="Q32" s="30"/>
      <c r="R32" s="30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</row>
    <row r="33" ht="30.0" customHeight="1">
      <c r="A33" s="30"/>
      <c r="B33" s="30"/>
      <c r="H33" s="30"/>
      <c r="I33" s="30"/>
      <c r="J33" s="30"/>
      <c r="K33" s="30"/>
      <c r="L33" s="30"/>
      <c r="M33" s="30"/>
      <c r="N33" s="30"/>
      <c r="O33" s="67"/>
      <c r="P33" s="54"/>
      <c r="Q33" s="30"/>
      <c r="R33" s="30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</row>
    <row r="34" ht="30.0" customHeight="1">
      <c r="A34" s="30"/>
      <c r="B34" s="30"/>
      <c r="H34" s="30"/>
      <c r="I34" s="30"/>
      <c r="J34" s="30"/>
      <c r="K34" s="30"/>
      <c r="L34" s="30"/>
      <c r="M34" s="30"/>
      <c r="N34" s="30"/>
      <c r="O34" s="67"/>
      <c r="P34" s="54"/>
      <c r="Q34" s="30"/>
      <c r="R34" s="30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</row>
    <row r="35" ht="30.0" customHeight="1">
      <c r="A35" s="30"/>
      <c r="B35" s="30"/>
      <c r="H35" s="30"/>
      <c r="I35" s="30"/>
      <c r="J35" s="30"/>
      <c r="K35" s="30"/>
      <c r="L35" s="30"/>
      <c r="M35" s="30"/>
      <c r="N35" s="30"/>
      <c r="O35" s="67"/>
      <c r="P35" s="54"/>
      <c r="Q35" s="30"/>
      <c r="R35" s="30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</row>
    <row r="36" ht="30.0" customHeight="1">
      <c r="A36" s="30"/>
      <c r="B36" s="30"/>
      <c r="H36" s="30"/>
      <c r="I36" s="30"/>
      <c r="J36" s="30"/>
      <c r="K36" s="30"/>
      <c r="L36" s="30"/>
      <c r="M36" s="30"/>
      <c r="N36" s="30"/>
      <c r="O36" s="67"/>
      <c r="P36" s="54"/>
      <c r="Q36" s="30"/>
      <c r="R36" s="30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</row>
    <row r="37" ht="30.0" customHeight="1">
      <c r="A37" s="30"/>
      <c r="B37" s="30"/>
      <c r="H37" s="30"/>
      <c r="I37" s="30"/>
      <c r="J37" s="30"/>
      <c r="K37" s="30"/>
      <c r="L37" s="30"/>
      <c r="M37" s="30"/>
      <c r="N37" s="30"/>
      <c r="O37" s="67"/>
      <c r="P37" s="54"/>
      <c r="Q37" s="30"/>
      <c r="R37" s="30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</row>
    <row r="38" ht="30.0" customHeight="1">
      <c r="A38" s="30"/>
      <c r="B38" s="30"/>
      <c r="H38" s="30"/>
      <c r="I38" s="30"/>
      <c r="J38" s="30"/>
      <c r="K38" s="30"/>
      <c r="L38" s="30"/>
      <c r="M38" s="30"/>
      <c r="N38" s="30"/>
      <c r="O38" s="67"/>
      <c r="P38" s="54"/>
      <c r="Q38" s="30"/>
      <c r="R38" s="30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</row>
    <row r="39" ht="30.0" customHeight="1">
      <c r="A39" s="30"/>
      <c r="B39" s="30"/>
      <c r="H39" s="30"/>
      <c r="I39" s="30"/>
      <c r="J39" s="30"/>
      <c r="K39" s="30"/>
      <c r="L39" s="30"/>
      <c r="M39" s="30"/>
      <c r="N39" s="30"/>
      <c r="O39" s="67"/>
      <c r="P39" s="54"/>
      <c r="Q39" s="30"/>
      <c r="R39" s="30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</row>
    <row r="40" ht="30.0" customHeight="1">
      <c r="A40" s="30"/>
      <c r="B40" s="30"/>
      <c r="H40" s="30"/>
      <c r="I40" s="30"/>
      <c r="J40" s="30"/>
      <c r="K40" s="30"/>
      <c r="L40" s="30"/>
      <c r="M40" s="30"/>
      <c r="N40" s="30"/>
      <c r="O40" s="67"/>
      <c r="P40" s="54"/>
      <c r="Q40" s="30"/>
      <c r="R40" s="30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</row>
    <row r="41" ht="30.0" customHeight="1">
      <c r="A41" s="30"/>
      <c r="B41" s="30"/>
      <c r="H41" s="30"/>
      <c r="I41" s="30"/>
      <c r="J41" s="30"/>
      <c r="K41" s="30"/>
      <c r="L41" s="30"/>
      <c r="M41" s="30"/>
      <c r="N41" s="30"/>
      <c r="O41" s="67"/>
      <c r="P41" s="54"/>
      <c r="Q41" s="30"/>
      <c r="R41" s="30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</row>
    <row r="42" ht="30.0" customHeight="1">
      <c r="A42" s="30"/>
      <c r="B42" s="30"/>
      <c r="H42" s="30"/>
      <c r="I42" s="30"/>
      <c r="J42" s="30"/>
      <c r="K42" s="30"/>
      <c r="L42" s="30"/>
      <c r="M42" s="30"/>
      <c r="N42" s="30"/>
      <c r="O42" s="67"/>
      <c r="P42" s="54"/>
      <c r="Q42" s="30"/>
      <c r="R42" s="30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</row>
    <row r="43" ht="30.0" customHeight="1">
      <c r="A43" s="30"/>
      <c r="B43" s="30"/>
      <c r="H43" s="30"/>
      <c r="I43" s="30"/>
      <c r="J43" s="30"/>
      <c r="K43" s="30"/>
      <c r="L43" s="30"/>
      <c r="M43" s="30"/>
      <c r="N43" s="30"/>
      <c r="O43" s="67"/>
      <c r="P43" s="54"/>
      <c r="Q43" s="30"/>
      <c r="R43" s="30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</row>
    <row r="44" ht="30.0" customHeight="1">
      <c r="A44" s="30"/>
      <c r="B44" s="30"/>
      <c r="H44" s="30"/>
      <c r="I44" s="30"/>
      <c r="J44" s="30"/>
      <c r="K44" s="30"/>
      <c r="L44" s="30"/>
      <c r="M44" s="30"/>
      <c r="N44" s="30"/>
      <c r="O44" s="67"/>
      <c r="P44" s="54"/>
      <c r="Q44" s="30"/>
      <c r="R44" s="30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</row>
    <row r="45" ht="30.0" customHeight="1">
      <c r="A45" s="30"/>
      <c r="B45" s="30"/>
      <c r="H45" s="30"/>
      <c r="I45" s="30"/>
      <c r="J45" s="30"/>
      <c r="K45" s="30"/>
      <c r="L45" s="30"/>
      <c r="M45" s="30"/>
      <c r="N45" s="30"/>
      <c r="O45" s="67"/>
      <c r="P45" s="81"/>
      <c r="Q45" s="30"/>
      <c r="R45" s="30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</row>
    <row r="46" ht="37.5" customHeight="1">
      <c r="A46" s="30"/>
      <c r="B46" s="30"/>
      <c r="H46" s="30"/>
      <c r="I46" s="30"/>
      <c r="J46" s="30"/>
      <c r="K46" s="30"/>
      <c r="L46" s="30"/>
      <c r="M46" s="30"/>
      <c r="N46" s="54"/>
      <c r="O46" s="30"/>
      <c r="P46" s="30"/>
      <c r="Q46" s="30"/>
      <c r="R46" s="30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</row>
    <row r="47" ht="30.0" customHeight="1">
      <c r="A47" s="30"/>
      <c r="B47" s="30"/>
      <c r="H47" s="30"/>
      <c r="I47" s="30"/>
      <c r="J47" s="30"/>
      <c r="K47" s="30"/>
      <c r="L47" s="30"/>
      <c r="M47" s="30"/>
      <c r="N47" s="54"/>
      <c r="O47" s="30"/>
      <c r="P47" s="30"/>
      <c r="Q47" s="30"/>
      <c r="R47" s="30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</row>
    <row r="48" ht="30.0" customHeight="1">
      <c r="A48" s="30"/>
      <c r="B48" s="30"/>
      <c r="H48" s="30"/>
      <c r="I48" s="30"/>
      <c r="J48" s="30"/>
      <c r="K48" s="30"/>
      <c r="L48" s="30"/>
      <c r="M48" s="30"/>
      <c r="N48" s="54"/>
      <c r="O48" s="30"/>
      <c r="P48" s="30"/>
      <c r="Q48" s="30"/>
      <c r="R48" s="30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</row>
    <row r="49" ht="30.0" customHeight="1">
      <c r="A49" s="30"/>
      <c r="B49" s="30"/>
      <c r="D49" s="68"/>
      <c r="E49" s="68"/>
      <c r="H49" s="30"/>
      <c r="I49" s="30"/>
      <c r="J49" s="30"/>
      <c r="K49" s="30"/>
      <c r="L49" s="30"/>
      <c r="M49" s="30"/>
      <c r="N49" s="54"/>
      <c r="O49" s="30"/>
      <c r="P49" s="30"/>
      <c r="Q49" s="30"/>
      <c r="R49" s="30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</row>
    <row r="50" ht="30.0" hidden="1" customHeight="1">
      <c r="A50" s="30"/>
      <c r="B50" s="30"/>
      <c r="D50" s="68"/>
      <c r="E50" s="68"/>
      <c r="H50" s="30"/>
      <c r="I50" s="30"/>
      <c r="J50" s="30"/>
      <c r="K50" s="30"/>
      <c r="L50" s="30"/>
      <c r="M50" s="30"/>
      <c r="N50" s="54"/>
      <c r="O50" s="30"/>
      <c r="P50" s="30"/>
      <c r="Q50" s="30"/>
      <c r="R50" s="30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</row>
    <row r="51" ht="30.0" hidden="1" customHeight="1">
      <c r="A51" s="30"/>
      <c r="B51" s="30"/>
      <c r="D51" s="68"/>
      <c r="E51" s="68"/>
      <c r="H51" s="30"/>
      <c r="I51" s="30"/>
      <c r="J51" s="30"/>
      <c r="K51" s="30"/>
      <c r="L51" s="30"/>
      <c r="M51" s="30"/>
      <c r="N51" s="54"/>
      <c r="O51" s="30"/>
      <c r="P51" s="30"/>
      <c r="Q51" s="30"/>
      <c r="R51" s="30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</row>
    <row r="52" ht="30.0" hidden="1" customHeight="1">
      <c r="A52" s="30"/>
      <c r="B52" s="30"/>
      <c r="D52" s="68"/>
      <c r="E52" s="68"/>
      <c r="H52" s="30"/>
      <c r="I52" s="30"/>
      <c r="J52" s="30"/>
      <c r="K52" s="30"/>
      <c r="L52" s="30"/>
      <c r="M52" s="30"/>
      <c r="N52" s="54"/>
      <c r="O52" s="30"/>
      <c r="P52" s="30"/>
      <c r="Q52" s="30"/>
      <c r="R52" s="30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</row>
    <row r="53" ht="30.0" hidden="1" customHeight="1">
      <c r="A53" s="30"/>
      <c r="B53" s="30"/>
      <c r="D53" s="68"/>
      <c r="E53" s="68"/>
      <c r="H53" s="30"/>
      <c r="I53" s="30"/>
      <c r="J53" s="30"/>
      <c r="K53" s="30"/>
      <c r="L53" s="30"/>
      <c r="M53" s="30"/>
      <c r="N53" s="54"/>
      <c r="O53" s="30"/>
      <c r="P53" s="30"/>
      <c r="Q53" s="30"/>
      <c r="R53" s="30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</row>
    <row r="54" ht="30.0" hidden="1" customHeight="1">
      <c r="A54" s="30"/>
      <c r="B54" s="30"/>
      <c r="D54" s="68"/>
      <c r="E54" s="68"/>
      <c r="H54" s="30"/>
      <c r="I54" s="30"/>
      <c r="J54" s="30"/>
      <c r="K54" s="30"/>
      <c r="L54" s="30"/>
      <c r="M54" s="30"/>
      <c r="N54" s="54"/>
      <c r="O54" s="30"/>
      <c r="P54" s="30"/>
      <c r="Q54" s="30"/>
      <c r="R54" s="30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</row>
    <row r="55" ht="30.0" hidden="1" customHeight="1">
      <c r="A55" s="60"/>
      <c r="B55" s="30"/>
      <c r="D55" s="68"/>
      <c r="E55" s="68"/>
      <c r="H55" s="30"/>
      <c r="I55" s="30"/>
      <c r="J55" s="30"/>
      <c r="K55" s="30"/>
      <c r="L55" s="30"/>
      <c r="M55" s="30"/>
      <c r="N55" s="54"/>
      <c r="O55" s="30"/>
      <c r="P55" s="30"/>
      <c r="Q55" s="30"/>
      <c r="R55" s="30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</row>
    <row r="56" ht="30.0" hidden="1" customHeight="1">
      <c r="A56" s="60"/>
      <c r="B56" s="30"/>
      <c r="D56" s="68"/>
      <c r="E56" s="68"/>
      <c r="H56" s="30"/>
      <c r="I56" s="30"/>
      <c r="J56" s="30"/>
      <c r="K56" s="30"/>
      <c r="L56" s="30"/>
      <c r="M56" s="30"/>
      <c r="N56" s="54"/>
      <c r="O56" s="30"/>
      <c r="P56" s="30"/>
      <c r="Q56" s="30"/>
      <c r="R56" s="3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</row>
    <row r="57" ht="30.0" hidden="1" customHeight="1">
      <c r="A57" s="60"/>
      <c r="B57" s="30"/>
      <c r="D57" s="68"/>
      <c r="E57" s="68"/>
      <c r="H57" s="30"/>
      <c r="I57" s="30"/>
      <c r="J57" s="30"/>
      <c r="K57" s="30"/>
      <c r="L57" s="30"/>
      <c r="M57" s="30"/>
      <c r="N57" s="54"/>
      <c r="O57" s="30"/>
      <c r="P57" s="30"/>
      <c r="Q57" s="30"/>
      <c r="R57" s="3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</row>
    <row r="58" ht="30.0" hidden="1" customHeight="1">
      <c r="A58" s="30"/>
      <c r="B58" s="30"/>
      <c r="D58" s="68"/>
      <c r="E58" s="68"/>
      <c r="H58" s="30"/>
      <c r="I58" s="30"/>
      <c r="J58" s="30"/>
      <c r="K58" s="30"/>
      <c r="L58" s="30"/>
      <c r="M58" s="30"/>
      <c r="N58" s="54"/>
      <c r="O58" s="30"/>
      <c r="P58" s="30"/>
      <c r="Q58" s="30"/>
      <c r="R58" s="30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</row>
    <row r="59" ht="30.0" hidden="1" customHeight="1">
      <c r="A59" s="30"/>
      <c r="B59" s="30"/>
      <c r="D59" s="68"/>
      <c r="E59" s="68"/>
      <c r="H59" s="30"/>
      <c r="I59" s="30"/>
      <c r="J59" s="30"/>
      <c r="K59" s="30"/>
      <c r="L59" s="30"/>
      <c r="M59" s="30"/>
      <c r="N59" s="54"/>
      <c r="O59" s="30"/>
      <c r="P59" s="30"/>
      <c r="Q59" s="30"/>
      <c r="R59" s="30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</row>
    <row r="60" ht="30.0" hidden="1" customHeight="1">
      <c r="A60" s="30"/>
      <c r="B60" s="30"/>
      <c r="D60" s="68"/>
      <c r="E60" s="68"/>
      <c r="H60" s="30"/>
      <c r="I60" s="30"/>
      <c r="J60" s="30"/>
      <c r="K60" s="30"/>
      <c r="L60" s="30"/>
      <c r="M60" s="30"/>
      <c r="N60" s="54"/>
      <c r="O60" s="30"/>
      <c r="P60" s="30"/>
      <c r="Q60" s="30"/>
      <c r="R60" s="30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</row>
    <row r="61" ht="30.0" hidden="1" customHeight="1">
      <c r="A61" s="30"/>
      <c r="B61" s="30"/>
      <c r="D61" s="68"/>
      <c r="E61" s="68"/>
      <c r="H61" s="30"/>
      <c r="I61" s="30"/>
      <c r="J61" s="30"/>
      <c r="K61" s="30"/>
      <c r="L61" s="30"/>
      <c r="M61" s="30"/>
      <c r="N61" s="54"/>
      <c r="O61" s="30"/>
      <c r="P61" s="30"/>
      <c r="Q61" s="30"/>
      <c r="R61" s="30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</row>
    <row r="62" ht="30.0" hidden="1" customHeight="1">
      <c r="A62" s="30"/>
      <c r="B62" s="30"/>
      <c r="D62" s="68"/>
      <c r="E62" s="68"/>
      <c r="H62" s="30"/>
      <c r="I62" s="30"/>
      <c r="J62" s="30"/>
      <c r="K62" s="30"/>
      <c r="L62" s="30"/>
      <c r="M62" s="30"/>
      <c r="N62" s="54"/>
      <c r="O62" s="30"/>
      <c r="P62" s="30"/>
      <c r="Q62" s="30"/>
      <c r="R62" s="30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</row>
    <row r="63" ht="30.0" hidden="1" customHeight="1">
      <c r="A63" s="30"/>
      <c r="B63" s="30"/>
      <c r="D63" s="68"/>
      <c r="E63" s="68"/>
      <c r="H63" s="30"/>
      <c r="I63" s="30"/>
      <c r="J63" s="30"/>
      <c r="K63" s="30"/>
      <c r="L63" s="30"/>
      <c r="M63" s="30"/>
      <c r="N63" s="54"/>
      <c r="O63" s="30"/>
      <c r="P63" s="30"/>
      <c r="Q63" s="30"/>
      <c r="R63" s="30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</row>
    <row r="64" ht="30.0" hidden="1" customHeight="1">
      <c r="A64" s="30"/>
      <c r="B64" s="30"/>
      <c r="D64" s="68"/>
      <c r="E64" s="68"/>
      <c r="H64" s="30"/>
      <c r="I64" s="30"/>
      <c r="J64" s="30"/>
      <c r="K64" s="30"/>
      <c r="L64" s="30"/>
      <c r="M64" s="30"/>
      <c r="N64" s="54"/>
      <c r="O64" s="30"/>
      <c r="P64" s="30"/>
      <c r="Q64" s="30"/>
      <c r="R64" s="30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</row>
    <row r="65" ht="14.25" customHeight="1">
      <c r="A65" s="30"/>
      <c r="B65" s="30"/>
      <c r="D65" s="68"/>
      <c r="E65" s="6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</row>
    <row r="66" ht="14.25" customHeight="1">
      <c r="A66" s="30"/>
      <c r="B66" s="30"/>
      <c r="D66" s="68"/>
      <c r="E66" s="6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</row>
    <row r="67" ht="14.25" customHeight="1">
      <c r="A67" s="30"/>
      <c r="B67" s="30"/>
      <c r="D67" s="68"/>
      <c r="E67" s="6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</row>
    <row r="68" ht="14.25" customHeight="1">
      <c r="A68" s="30"/>
      <c r="B68" s="30"/>
      <c r="D68" s="68"/>
      <c r="E68" s="6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</row>
    <row r="69" ht="14.25" customHeight="1">
      <c r="A69" s="30"/>
      <c r="B69" s="30"/>
      <c r="D69" s="68"/>
      <c r="E69" s="6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</row>
    <row r="70" ht="14.25" customHeight="1">
      <c r="A70" s="30"/>
      <c r="B70" s="30"/>
      <c r="D70" s="68"/>
      <c r="E70" s="6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</row>
    <row r="71" ht="14.25" customHeight="1">
      <c r="A71" s="30"/>
      <c r="B71" s="30"/>
      <c r="D71" s="68"/>
      <c r="E71" s="6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</row>
    <row r="72" ht="14.25" customHeight="1">
      <c r="A72" s="30"/>
      <c r="B72" s="30"/>
      <c r="D72" s="68"/>
      <c r="E72" s="6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</row>
    <row r="73" ht="14.25" customHeight="1">
      <c r="A73" s="30"/>
      <c r="B73" s="30"/>
      <c r="D73" s="68"/>
      <c r="E73" s="6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</row>
    <row r="74" ht="14.25" customHeight="1">
      <c r="A74" s="30"/>
      <c r="B74" s="30"/>
      <c r="D74" s="68"/>
      <c r="E74" s="6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</row>
    <row r="75" ht="14.25" customHeight="1">
      <c r="A75" s="30"/>
      <c r="B75" s="30"/>
      <c r="D75" s="68"/>
      <c r="E75" s="6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</row>
    <row r="76" ht="14.25" customHeight="1">
      <c r="A76" s="30"/>
      <c r="B76" s="30"/>
      <c r="D76" s="68"/>
      <c r="E76" s="6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</row>
    <row r="77" ht="14.25" customHeight="1">
      <c r="A77" s="30"/>
      <c r="B77" s="30"/>
      <c r="D77" s="68"/>
      <c r="E77" s="6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</row>
    <row r="78" ht="14.25" customHeight="1">
      <c r="A78" s="30"/>
      <c r="B78" s="30"/>
      <c r="D78" s="68"/>
      <c r="E78" s="6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</row>
    <row r="79" ht="14.25" customHeight="1">
      <c r="A79" s="30"/>
      <c r="B79" s="30"/>
      <c r="D79" s="68"/>
      <c r="E79" s="6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</row>
    <row r="80" ht="14.25" customHeight="1">
      <c r="A80" s="30"/>
      <c r="B80" s="30"/>
      <c r="D80" s="68"/>
      <c r="E80" s="6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</row>
    <row r="81" ht="14.25" customHeight="1">
      <c r="A81" s="30"/>
      <c r="B81" s="30"/>
      <c r="D81" s="68"/>
      <c r="E81" s="6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</row>
    <row r="82" ht="14.25" customHeight="1">
      <c r="A82" s="30"/>
      <c r="B82" s="30"/>
      <c r="D82" s="68"/>
      <c r="E82" s="6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</row>
    <row r="83" ht="14.25" customHeight="1">
      <c r="A83" s="30"/>
      <c r="B83" s="30"/>
      <c r="D83" s="68"/>
      <c r="E83" s="6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</row>
    <row r="84" ht="14.25" customHeight="1">
      <c r="A84" s="30"/>
      <c r="B84" s="30"/>
      <c r="D84" s="68"/>
      <c r="E84" s="6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</row>
    <row r="85" ht="14.25" customHeight="1">
      <c r="A85" s="30"/>
      <c r="B85" s="30"/>
      <c r="D85" s="68"/>
      <c r="E85" s="6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</row>
    <row r="86" ht="14.25" customHeight="1">
      <c r="A86" s="30"/>
      <c r="B86" s="30"/>
      <c r="D86" s="68"/>
      <c r="E86" s="6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</row>
    <row r="87" ht="14.25" customHeight="1">
      <c r="A87" s="30"/>
      <c r="B87" s="30"/>
      <c r="D87" s="68"/>
      <c r="E87" s="6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</row>
    <row r="88" ht="14.25" customHeight="1">
      <c r="A88" s="30"/>
      <c r="B88" s="30"/>
      <c r="D88" s="68"/>
      <c r="E88" s="6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</row>
    <row r="89" ht="14.25" customHeight="1">
      <c r="A89" s="30"/>
      <c r="B89" s="30"/>
      <c r="D89" s="68"/>
      <c r="E89" s="6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</row>
    <row r="90" ht="14.25" customHeight="1">
      <c r="A90" s="30"/>
      <c r="B90" s="30"/>
      <c r="D90" s="68"/>
      <c r="E90" s="6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</row>
    <row r="91" ht="14.25" customHeight="1">
      <c r="A91" s="30"/>
      <c r="B91" s="30"/>
      <c r="D91" s="68"/>
      <c r="E91" s="6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</row>
    <row r="92" ht="14.25" customHeight="1">
      <c r="A92" s="30"/>
      <c r="B92" s="30"/>
      <c r="D92" s="68"/>
      <c r="E92" s="6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</row>
    <row r="93" ht="14.25" customHeight="1">
      <c r="A93" s="30"/>
      <c r="B93" s="30"/>
      <c r="D93" s="68"/>
      <c r="E93" s="6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</row>
    <row r="94" ht="14.25" customHeight="1">
      <c r="A94" s="30"/>
      <c r="B94" s="30"/>
      <c r="D94" s="68"/>
      <c r="E94" s="6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</row>
    <row r="95" ht="14.25" customHeight="1">
      <c r="A95" s="30"/>
      <c r="B95" s="30"/>
      <c r="D95" s="68"/>
      <c r="E95" s="6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</row>
    <row r="96" ht="14.25" customHeight="1">
      <c r="A96" s="30"/>
      <c r="B96" s="30"/>
      <c r="D96" s="68"/>
      <c r="E96" s="6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</row>
    <row r="97" ht="14.25" customHeight="1">
      <c r="A97" s="30"/>
      <c r="B97" s="30"/>
      <c r="D97" s="68"/>
      <c r="E97" s="6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</row>
    <row r="98" ht="14.25" customHeight="1">
      <c r="A98" s="30"/>
      <c r="B98" s="30"/>
      <c r="D98" s="68"/>
      <c r="E98" s="68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</row>
    <row r="99" ht="14.25" customHeight="1">
      <c r="A99" s="30"/>
      <c r="B99" s="30"/>
      <c r="D99" s="68"/>
      <c r="E99" s="6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</row>
    <row r="100" ht="14.25" customHeight="1">
      <c r="A100" s="30"/>
      <c r="B100" s="30"/>
      <c r="D100" s="68"/>
      <c r="E100" s="68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</row>
    <row r="101" ht="14.25" customHeight="1">
      <c r="A101" s="30"/>
      <c r="B101" s="30"/>
      <c r="D101" s="68"/>
      <c r="E101" s="6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</row>
    <row r="102" ht="14.25" customHeight="1">
      <c r="A102" s="30"/>
      <c r="B102" s="30"/>
      <c r="D102" s="68"/>
      <c r="E102" s="68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</row>
    <row r="103" ht="14.25" customHeight="1">
      <c r="A103" s="30"/>
      <c r="B103" s="30"/>
      <c r="D103" s="68"/>
      <c r="E103" s="68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</row>
    <row r="104" ht="14.25" customHeight="1">
      <c r="A104" s="30"/>
      <c r="B104" s="30"/>
      <c r="D104" s="68"/>
      <c r="E104" s="68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</row>
    <row r="105" ht="14.25" customHeight="1">
      <c r="A105" s="30"/>
      <c r="B105" s="30"/>
      <c r="D105" s="68"/>
      <c r="E105" s="68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</row>
    <row r="106" ht="14.25" customHeight="1">
      <c r="A106" s="30"/>
      <c r="B106" s="30"/>
      <c r="D106" s="68"/>
      <c r="E106" s="68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</row>
    <row r="107" ht="14.25" customHeight="1">
      <c r="A107" s="30"/>
      <c r="B107" s="30"/>
      <c r="D107" s="68"/>
      <c r="E107" s="68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</row>
    <row r="108" ht="14.25" customHeight="1">
      <c r="A108" s="30"/>
      <c r="B108" s="30"/>
      <c r="D108" s="68"/>
      <c r="E108" s="68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</row>
    <row r="109" ht="14.25" customHeight="1">
      <c r="A109" s="30"/>
      <c r="B109" s="30"/>
      <c r="D109" s="68"/>
      <c r="E109" s="68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</row>
    <row r="110" ht="14.25" customHeight="1">
      <c r="A110" s="30"/>
      <c r="B110" s="30"/>
      <c r="D110" s="68"/>
      <c r="E110" s="68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</row>
    <row r="111" ht="14.25" customHeight="1">
      <c r="A111" s="30"/>
      <c r="B111" s="30"/>
      <c r="D111" s="68"/>
      <c r="E111" s="68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</row>
    <row r="112" ht="14.25" customHeight="1">
      <c r="A112" s="30"/>
      <c r="B112" s="30"/>
      <c r="D112" s="68"/>
      <c r="E112" s="68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</row>
    <row r="113" ht="14.25" customHeight="1">
      <c r="A113" s="30"/>
      <c r="B113" s="30"/>
      <c r="D113" s="68"/>
      <c r="E113" s="68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</row>
    <row r="114" ht="14.25" customHeight="1">
      <c r="A114" s="30"/>
      <c r="B114" s="30"/>
      <c r="D114" s="68"/>
      <c r="E114" s="68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</row>
    <row r="115" ht="14.25" customHeight="1">
      <c r="A115" s="30"/>
      <c r="B115" s="30"/>
      <c r="D115" s="68"/>
      <c r="E115" s="68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</row>
    <row r="116" ht="14.25" customHeight="1">
      <c r="A116" s="30"/>
      <c r="B116" s="30"/>
      <c r="D116" s="68"/>
      <c r="E116" s="68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</row>
    <row r="117" ht="14.25" customHeight="1">
      <c r="A117" s="30"/>
      <c r="B117" s="30"/>
      <c r="D117" s="68"/>
      <c r="E117" s="68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</row>
    <row r="118" ht="14.25" customHeight="1">
      <c r="A118" s="30"/>
      <c r="B118" s="30"/>
      <c r="D118" s="68"/>
      <c r="E118" s="68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</row>
    <row r="119" ht="14.25" customHeight="1">
      <c r="A119" s="30"/>
      <c r="B119" s="30"/>
      <c r="D119" s="68"/>
      <c r="E119" s="68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</row>
    <row r="120" ht="14.25" customHeight="1">
      <c r="A120" s="30"/>
      <c r="B120" s="30"/>
      <c r="D120" s="68"/>
      <c r="E120" s="68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</row>
    <row r="121" ht="14.25" customHeight="1">
      <c r="A121" s="30"/>
      <c r="B121" s="30"/>
      <c r="D121" s="68"/>
      <c r="E121" s="68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</row>
    <row r="122" ht="14.25" customHeight="1">
      <c r="A122" s="30"/>
      <c r="B122" s="30"/>
      <c r="D122" s="68"/>
      <c r="E122" s="68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</row>
    <row r="123" ht="14.25" customHeight="1">
      <c r="A123" s="30"/>
      <c r="B123" s="30"/>
      <c r="D123" s="68"/>
      <c r="E123" s="68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</row>
    <row r="124" ht="14.25" customHeight="1">
      <c r="A124" s="30"/>
      <c r="B124" s="30"/>
      <c r="D124" s="68"/>
      <c r="E124" s="68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</row>
    <row r="125" ht="14.25" customHeight="1">
      <c r="A125" s="30"/>
      <c r="B125" s="30"/>
      <c r="D125" s="68"/>
      <c r="E125" s="68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</row>
    <row r="126" ht="14.25" customHeight="1">
      <c r="A126" s="30"/>
      <c r="B126" s="30"/>
      <c r="D126" s="68"/>
      <c r="E126" s="68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</row>
    <row r="127" ht="14.25" customHeight="1">
      <c r="A127" s="30"/>
      <c r="B127" s="30"/>
      <c r="D127" s="68"/>
      <c r="E127" s="68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</row>
    <row r="128" ht="14.25" customHeight="1">
      <c r="A128" s="30"/>
      <c r="B128" s="30"/>
      <c r="D128" s="68"/>
      <c r="E128" s="68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</row>
    <row r="129" ht="14.25" customHeight="1">
      <c r="A129" s="30"/>
      <c r="B129" s="30"/>
      <c r="D129" s="68"/>
      <c r="E129" s="68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</row>
    <row r="130" ht="14.25" customHeight="1">
      <c r="A130" s="30"/>
      <c r="B130" s="30"/>
      <c r="D130" s="68"/>
      <c r="E130" s="68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</row>
    <row r="131" ht="14.25" customHeight="1">
      <c r="A131" s="30"/>
      <c r="B131" s="30"/>
      <c r="D131" s="68"/>
      <c r="E131" s="68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</row>
    <row r="132" ht="14.25" customHeight="1">
      <c r="A132" s="30"/>
      <c r="B132" s="30"/>
      <c r="D132" s="68"/>
      <c r="E132" s="68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</row>
    <row r="133" ht="14.25" customHeight="1">
      <c r="A133" s="30"/>
      <c r="B133" s="30"/>
      <c r="D133" s="68"/>
      <c r="E133" s="68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</row>
    <row r="134" ht="14.25" customHeight="1">
      <c r="A134" s="30"/>
      <c r="B134" s="30"/>
      <c r="D134" s="68"/>
      <c r="E134" s="68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</row>
    <row r="135" ht="14.25" customHeight="1">
      <c r="A135" s="30"/>
      <c r="B135" s="30"/>
      <c r="D135" s="68"/>
      <c r="E135" s="68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</row>
    <row r="136" ht="14.25" customHeight="1">
      <c r="A136" s="30"/>
      <c r="B136" s="30"/>
      <c r="D136" s="68"/>
      <c r="E136" s="6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</row>
    <row r="137" ht="14.25" customHeight="1">
      <c r="A137" s="30"/>
      <c r="B137" s="30"/>
      <c r="D137" s="68"/>
      <c r="E137" s="68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</row>
    <row r="138" ht="14.25" customHeight="1">
      <c r="A138" s="30"/>
      <c r="B138" s="30"/>
      <c r="D138" s="68"/>
      <c r="E138" s="68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</row>
    <row r="139" ht="14.25" customHeight="1">
      <c r="A139" s="30"/>
      <c r="B139" s="30"/>
      <c r="D139" s="68"/>
      <c r="E139" s="68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</row>
    <row r="140" ht="14.25" customHeight="1">
      <c r="A140" s="30"/>
      <c r="B140" s="30"/>
      <c r="D140" s="68"/>
      <c r="E140" s="68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</row>
    <row r="141" ht="14.25" customHeight="1">
      <c r="A141" s="30"/>
      <c r="B141" s="30"/>
      <c r="D141" s="68"/>
      <c r="E141" s="68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</row>
    <row r="142" ht="14.25" customHeight="1">
      <c r="A142" s="30"/>
      <c r="B142" s="30"/>
      <c r="D142" s="68"/>
      <c r="E142" s="68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</row>
    <row r="143" ht="14.25" customHeight="1">
      <c r="A143" s="30"/>
      <c r="B143" s="30"/>
      <c r="D143" s="68"/>
      <c r="E143" s="6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</row>
    <row r="144" ht="14.25" customHeight="1">
      <c r="A144" s="30"/>
      <c r="B144" s="30"/>
      <c r="D144" s="68"/>
      <c r="E144" s="68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</row>
    <row r="145" ht="14.25" customHeight="1">
      <c r="A145" s="30"/>
      <c r="B145" s="30"/>
      <c r="D145" s="68"/>
      <c r="E145" s="68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</row>
    <row r="146" ht="14.25" customHeight="1">
      <c r="A146" s="30"/>
      <c r="B146" s="30"/>
      <c r="D146" s="68"/>
      <c r="E146" s="68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</row>
    <row r="147" ht="14.25" customHeight="1">
      <c r="A147" s="30"/>
      <c r="B147" s="30"/>
      <c r="D147" s="68"/>
      <c r="E147" s="68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</row>
    <row r="148" ht="14.25" customHeight="1">
      <c r="A148" s="30"/>
      <c r="B148" s="30"/>
      <c r="D148" s="68"/>
      <c r="E148" s="68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</row>
    <row r="149" ht="14.25" customHeight="1">
      <c r="A149" s="30"/>
      <c r="B149" s="30"/>
      <c r="D149" s="68"/>
      <c r="E149" s="6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</row>
    <row r="150" ht="14.25" customHeight="1">
      <c r="A150" s="30"/>
      <c r="B150" s="30"/>
      <c r="D150" s="68"/>
      <c r="E150" s="68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</row>
    <row r="151" ht="14.25" customHeight="1">
      <c r="A151" s="30"/>
      <c r="B151" s="30"/>
      <c r="D151" s="68"/>
      <c r="E151" s="68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</row>
    <row r="152" ht="14.25" customHeight="1">
      <c r="A152" s="30"/>
      <c r="B152" s="30"/>
      <c r="D152" s="68"/>
      <c r="E152" s="68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</row>
    <row r="153" ht="14.25" customHeight="1">
      <c r="A153" s="30"/>
      <c r="B153" s="30"/>
      <c r="D153" s="68"/>
      <c r="E153" s="68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</row>
    <row r="154" ht="14.25" customHeight="1">
      <c r="A154" s="30"/>
      <c r="B154" s="30"/>
      <c r="D154" s="68"/>
      <c r="E154" s="68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</row>
    <row r="155" ht="14.25" customHeight="1">
      <c r="A155" s="30"/>
      <c r="B155" s="30"/>
      <c r="D155" s="68"/>
      <c r="E155" s="68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</row>
    <row r="156" ht="14.25" customHeight="1">
      <c r="A156" s="30"/>
      <c r="B156" s="30"/>
      <c r="D156" s="68"/>
      <c r="E156" s="68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</row>
    <row r="157" ht="14.25" customHeight="1">
      <c r="A157" s="30"/>
      <c r="B157" s="30"/>
      <c r="D157" s="68"/>
      <c r="E157" s="68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</row>
    <row r="158" ht="14.25" customHeight="1">
      <c r="A158" s="30"/>
      <c r="B158" s="30"/>
      <c r="D158" s="68"/>
      <c r="E158" s="68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</row>
    <row r="159" ht="14.25" customHeight="1">
      <c r="A159" s="30"/>
      <c r="B159" s="30"/>
      <c r="D159" s="68"/>
      <c r="E159" s="68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</row>
    <row r="160" ht="14.25" customHeight="1">
      <c r="A160" s="30"/>
      <c r="B160" s="30"/>
      <c r="D160" s="68"/>
      <c r="E160" s="68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</row>
    <row r="161" ht="14.25" customHeight="1">
      <c r="A161" s="30"/>
      <c r="B161" s="30"/>
      <c r="D161" s="68"/>
      <c r="E161" s="68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</row>
    <row r="162" ht="14.25" customHeight="1">
      <c r="A162" s="30"/>
      <c r="B162" s="30"/>
      <c r="D162" s="68"/>
      <c r="E162" s="68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</row>
    <row r="163" ht="14.25" customHeight="1">
      <c r="A163" s="30"/>
      <c r="B163" s="30"/>
      <c r="D163" s="68"/>
      <c r="E163" s="68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</row>
    <row r="164" ht="14.25" customHeight="1">
      <c r="A164" s="30"/>
      <c r="B164" s="30"/>
      <c r="D164" s="68"/>
      <c r="E164" s="68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</row>
    <row r="165" ht="14.25" customHeight="1">
      <c r="A165" s="30"/>
      <c r="B165" s="30"/>
      <c r="D165" s="68"/>
      <c r="E165" s="68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</row>
    <row r="166" ht="14.25" customHeight="1">
      <c r="A166" s="30"/>
      <c r="B166" s="30"/>
      <c r="D166" s="68"/>
      <c r="E166" s="68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</row>
    <row r="167" ht="14.25" customHeight="1">
      <c r="A167" s="30"/>
      <c r="B167" s="30"/>
      <c r="D167" s="68"/>
      <c r="E167" s="68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</row>
    <row r="168" ht="14.25" customHeight="1">
      <c r="A168" s="30"/>
      <c r="B168" s="30"/>
      <c r="D168" s="68"/>
      <c r="E168" s="68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</row>
    <row r="169" ht="14.25" customHeight="1">
      <c r="A169" s="30"/>
      <c r="B169" s="30"/>
      <c r="D169" s="68"/>
      <c r="E169" s="68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</row>
    <row r="170" ht="14.25" customHeight="1">
      <c r="A170" s="30"/>
      <c r="B170" s="30"/>
      <c r="D170" s="68"/>
      <c r="E170" s="68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</row>
    <row r="171" ht="14.25" customHeight="1">
      <c r="A171" s="30"/>
      <c r="B171" s="30"/>
      <c r="D171" s="68"/>
      <c r="E171" s="68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</row>
    <row r="172" ht="14.25" customHeight="1">
      <c r="A172" s="30"/>
      <c r="B172" s="30"/>
      <c r="D172" s="68"/>
      <c r="E172" s="68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</row>
    <row r="173" ht="14.25" customHeight="1">
      <c r="A173" s="30"/>
      <c r="B173" s="30"/>
      <c r="D173" s="68"/>
      <c r="E173" s="68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</row>
    <row r="174" ht="14.25" customHeight="1">
      <c r="A174" s="30"/>
      <c r="B174" s="30"/>
      <c r="D174" s="68"/>
      <c r="E174" s="68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</row>
    <row r="175" ht="14.25" customHeight="1">
      <c r="A175" s="30"/>
      <c r="B175" s="30"/>
      <c r="D175" s="68"/>
      <c r="E175" s="68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</row>
    <row r="176" ht="14.25" customHeight="1">
      <c r="A176" s="30"/>
      <c r="B176" s="30"/>
      <c r="D176" s="68"/>
      <c r="E176" s="68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</row>
    <row r="177" ht="14.25" customHeight="1">
      <c r="A177" s="30"/>
      <c r="B177" s="30"/>
      <c r="D177" s="68"/>
      <c r="E177" s="68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</row>
    <row r="178" ht="14.25" customHeight="1">
      <c r="A178" s="30"/>
      <c r="B178" s="30"/>
      <c r="D178" s="68"/>
      <c r="E178" s="68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</row>
    <row r="179" ht="14.25" customHeight="1">
      <c r="A179" s="30"/>
      <c r="B179" s="30"/>
      <c r="D179" s="68"/>
      <c r="E179" s="68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</row>
    <row r="180" ht="14.25" customHeight="1">
      <c r="A180" s="30"/>
      <c r="B180" s="30"/>
      <c r="D180" s="68"/>
      <c r="E180" s="68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</row>
    <row r="181" ht="14.25" customHeight="1">
      <c r="A181" s="30"/>
      <c r="B181" s="30"/>
      <c r="D181" s="68"/>
      <c r="E181" s="68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</row>
    <row r="182" ht="14.25" customHeight="1">
      <c r="A182" s="30"/>
      <c r="B182" s="30"/>
      <c r="D182" s="68"/>
      <c r="E182" s="68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</row>
    <row r="183" ht="14.25" customHeight="1">
      <c r="A183" s="30"/>
      <c r="B183" s="30"/>
      <c r="D183" s="68"/>
      <c r="E183" s="68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</row>
    <row r="184" ht="14.25" customHeight="1">
      <c r="A184" s="30"/>
      <c r="B184" s="30"/>
      <c r="D184" s="68"/>
      <c r="E184" s="68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</row>
    <row r="185" ht="14.25" customHeight="1">
      <c r="A185" s="30"/>
      <c r="B185" s="30"/>
      <c r="D185" s="68"/>
      <c r="E185" s="68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</row>
    <row r="186" ht="14.25" customHeight="1">
      <c r="A186" s="30"/>
      <c r="B186" s="30"/>
      <c r="D186" s="68"/>
      <c r="E186" s="68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</row>
    <row r="187" ht="14.25" customHeight="1">
      <c r="A187" s="30"/>
      <c r="B187" s="30"/>
      <c r="D187" s="68"/>
      <c r="E187" s="68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</row>
    <row r="188" ht="14.25" customHeight="1">
      <c r="A188" s="30"/>
      <c r="B188" s="30"/>
      <c r="D188" s="68"/>
      <c r="E188" s="68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</row>
    <row r="189" ht="14.25" customHeight="1">
      <c r="A189" s="30"/>
      <c r="B189" s="30"/>
      <c r="D189" s="68"/>
      <c r="E189" s="68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</row>
    <row r="190" ht="14.25" customHeight="1">
      <c r="A190" s="30"/>
      <c r="B190" s="30"/>
      <c r="D190" s="68"/>
      <c r="E190" s="68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</row>
    <row r="191" ht="14.25" customHeight="1">
      <c r="A191" s="30"/>
      <c r="B191" s="30"/>
      <c r="D191" s="68"/>
      <c r="E191" s="68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</row>
    <row r="192" ht="14.25" customHeight="1">
      <c r="A192" s="30"/>
      <c r="B192" s="30"/>
      <c r="D192" s="68"/>
      <c r="E192" s="68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</row>
    <row r="193" ht="14.25" customHeight="1">
      <c r="A193" s="30"/>
      <c r="B193" s="30"/>
      <c r="D193" s="68"/>
      <c r="E193" s="68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</row>
    <row r="194" ht="14.25" customHeight="1">
      <c r="A194" s="30"/>
      <c r="B194" s="30"/>
      <c r="D194" s="68"/>
      <c r="E194" s="68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</row>
    <row r="195" ht="14.25" customHeight="1">
      <c r="A195" s="30"/>
      <c r="B195" s="30"/>
      <c r="D195" s="68"/>
      <c r="E195" s="68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</row>
    <row r="196" ht="14.25" customHeight="1">
      <c r="A196" s="30"/>
      <c r="B196" s="30"/>
      <c r="D196" s="68"/>
      <c r="E196" s="68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</row>
    <row r="197" ht="14.25" customHeight="1">
      <c r="A197" s="30"/>
      <c r="B197" s="30"/>
      <c r="D197" s="68"/>
      <c r="E197" s="68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</row>
    <row r="198" ht="14.25" customHeight="1">
      <c r="A198" s="30"/>
      <c r="B198" s="30"/>
      <c r="D198" s="68"/>
      <c r="E198" s="68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</row>
    <row r="199" ht="14.25" customHeight="1">
      <c r="A199" s="30"/>
      <c r="B199" s="30"/>
      <c r="D199" s="68"/>
      <c r="E199" s="6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</row>
    <row r="200" ht="14.25" customHeight="1">
      <c r="A200" s="30"/>
      <c r="B200" s="30"/>
      <c r="D200" s="68"/>
      <c r="E200" s="68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</row>
    <row r="201" ht="14.25" customHeight="1">
      <c r="A201" s="30"/>
      <c r="B201" s="30"/>
      <c r="D201" s="68"/>
      <c r="E201" s="68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</row>
    <row r="202" ht="14.25" customHeight="1">
      <c r="A202" s="30"/>
      <c r="B202" s="30"/>
      <c r="D202" s="68"/>
      <c r="E202" s="68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</row>
    <row r="203" ht="14.25" customHeight="1">
      <c r="A203" s="30"/>
      <c r="B203" s="30"/>
      <c r="D203" s="68"/>
      <c r="E203" s="68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</row>
    <row r="204" ht="14.25" customHeight="1">
      <c r="A204" s="30"/>
      <c r="B204" s="30"/>
      <c r="D204" s="68"/>
      <c r="E204" s="68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</row>
    <row r="205" ht="14.25" customHeight="1">
      <c r="A205" s="30"/>
      <c r="B205" s="30"/>
      <c r="D205" s="68"/>
      <c r="E205" s="68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</row>
    <row r="206" ht="14.25" customHeight="1">
      <c r="A206" s="30"/>
      <c r="B206" s="30"/>
      <c r="D206" s="68"/>
      <c r="E206" s="68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</row>
    <row r="207" ht="14.25" customHeight="1">
      <c r="A207" s="30"/>
      <c r="B207" s="30"/>
      <c r="D207" s="68"/>
      <c r="E207" s="68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</row>
    <row r="208" ht="14.25" customHeight="1">
      <c r="A208" s="30"/>
      <c r="B208" s="30"/>
      <c r="D208" s="68"/>
      <c r="E208" s="68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</row>
    <row r="209" ht="14.25" customHeight="1">
      <c r="A209" s="30"/>
      <c r="B209" s="30"/>
      <c r="D209" s="68"/>
      <c r="E209" s="6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</row>
    <row r="210" ht="14.25" customHeight="1">
      <c r="A210" s="30"/>
      <c r="B210" s="30"/>
      <c r="D210" s="68"/>
      <c r="E210" s="68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</row>
    <row r="211" ht="14.25" customHeight="1">
      <c r="A211" s="30"/>
      <c r="B211" s="30"/>
      <c r="D211" s="68"/>
      <c r="E211" s="68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</row>
    <row r="212" ht="14.25" customHeight="1">
      <c r="A212" s="30"/>
      <c r="B212" s="30"/>
      <c r="D212" s="68"/>
      <c r="E212" s="68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</row>
    <row r="213" ht="14.25" customHeight="1">
      <c r="A213" s="30"/>
      <c r="B213" s="30"/>
      <c r="D213" s="68"/>
      <c r="E213" s="68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</row>
    <row r="214" ht="14.25" customHeight="1">
      <c r="A214" s="30"/>
      <c r="B214" s="30"/>
      <c r="D214" s="68"/>
      <c r="E214" s="68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</row>
    <row r="215" ht="14.25" customHeight="1">
      <c r="A215" s="30"/>
      <c r="B215" s="30"/>
      <c r="D215" s="68"/>
      <c r="E215" s="68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</row>
    <row r="216" ht="14.25" customHeight="1">
      <c r="A216" s="30"/>
      <c r="B216" s="30"/>
      <c r="D216" s="68"/>
      <c r="E216" s="68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</row>
    <row r="217" ht="14.25" customHeight="1">
      <c r="A217" s="30"/>
      <c r="B217" s="30"/>
      <c r="D217" s="68"/>
      <c r="E217" s="68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</row>
    <row r="218" ht="14.25" customHeight="1">
      <c r="A218" s="30"/>
      <c r="B218" s="30"/>
      <c r="D218" s="68"/>
      <c r="E218" s="68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</row>
    <row r="219" ht="14.25" customHeight="1">
      <c r="A219" s="30"/>
      <c r="B219" s="30"/>
      <c r="D219" s="68"/>
      <c r="E219" s="68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</row>
    <row r="220" ht="14.25" customHeight="1">
      <c r="A220" s="30"/>
      <c r="B220" s="30"/>
      <c r="D220" s="68"/>
      <c r="E220" s="68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</row>
    <row r="221" ht="14.25" customHeight="1">
      <c r="A221" s="30"/>
      <c r="B221" s="30"/>
      <c r="D221" s="68"/>
      <c r="E221" s="68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</row>
    <row r="222" ht="14.25" customHeight="1">
      <c r="A222" s="30"/>
      <c r="B222" s="30"/>
      <c r="D222" s="68"/>
      <c r="E222" s="68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</row>
    <row r="223" ht="14.25" customHeight="1">
      <c r="A223" s="30"/>
      <c r="B223" s="30"/>
      <c r="D223" s="68"/>
      <c r="E223" s="68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</row>
    <row r="224" ht="14.25" customHeight="1">
      <c r="A224" s="30"/>
      <c r="B224" s="30"/>
      <c r="D224" s="68"/>
      <c r="E224" s="68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</row>
    <row r="225" ht="14.25" customHeight="1">
      <c r="A225" s="30"/>
      <c r="B225" s="30"/>
      <c r="D225" s="68"/>
      <c r="E225" s="68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</row>
    <row r="226" ht="14.25" customHeight="1">
      <c r="A226" s="30"/>
      <c r="B226" s="30"/>
      <c r="D226" s="68"/>
      <c r="E226" s="68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</row>
    <row r="227" ht="14.25" customHeight="1">
      <c r="A227" s="30"/>
      <c r="B227" s="30"/>
      <c r="D227" s="68"/>
      <c r="E227" s="68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</row>
    <row r="228" ht="14.25" customHeight="1">
      <c r="A228" s="30"/>
      <c r="B228" s="30"/>
      <c r="D228" s="68"/>
      <c r="E228" s="68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D6:D25">
    <cfRule type="containsText" dxfId="1" priority="1" operator="containsText" text="Sem">
      <formula>NOT(ISERROR(SEARCH(("Sem"),(D6))))</formula>
    </cfRule>
  </conditionalFormatting>
  <conditionalFormatting sqref="D6:D25">
    <cfRule type="containsText" dxfId="2" priority="2" operator="containsText" text="Muito">
      <formula>NOT(ISERROR(SEARCH(("Muito"),(D6))))</formula>
    </cfRule>
  </conditionalFormatting>
  <conditionalFormatting sqref="D6:D25">
    <cfRule type="containsText" dxfId="3" priority="3" operator="containsText" text="Totalmente">
      <formula>NOT(ISERROR(SEARCH(("Totalmente"),(D6))))</formula>
    </cfRule>
  </conditionalFormatting>
  <conditionalFormatting sqref="D6:E25">
    <cfRule type="containsText" dxfId="0" priority="4" operator="containsText" text="Pouco">
      <formula>NOT(ISERROR(SEARCH(("Pouco"),(D6))))</formula>
    </cfRule>
  </conditionalFormatting>
  <conditionalFormatting sqref="E6:E25">
    <cfRule type="containsText" dxfId="1" priority="5" operator="containsText" text="Nada">
      <formula>NOT(ISERROR(SEARCH(("Nada"),(E6))))</formula>
    </cfRule>
  </conditionalFormatting>
  <conditionalFormatting sqref="E6:E25">
    <cfRule type="containsText" dxfId="2" priority="6" operator="containsText" text="Muito">
      <formula>NOT(ISERROR(SEARCH(("Muito"),(E6))))</formula>
    </cfRule>
  </conditionalFormatting>
  <conditionalFormatting sqref="E6:E25">
    <cfRule type="containsText" dxfId="3" priority="7" operator="containsText" text="Pra">
      <formula>NOT(ISERROR(SEARCH(("Pra"),(E6))))</formula>
    </cfRule>
  </conditionalFormatting>
  <conditionalFormatting sqref="F6:F25">
    <cfRule type="containsText" dxfId="1" priority="8" operator="containsText" text="Piora muito">
      <formula>NOT(ISERROR(SEARCH(("Piora muito"),(F6))))</formula>
    </cfRule>
  </conditionalFormatting>
  <conditionalFormatting sqref="F6:F25">
    <cfRule type="containsText" dxfId="0" priority="9" operator="containsText" text="Piora">
      <formula>NOT(ISERROR(SEARCH(("Piora"),(F6))))</formula>
    </cfRule>
  </conditionalFormatting>
  <conditionalFormatting sqref="F6:F25">
    <cfRule type="containsText" dxfId="3" priority="10" operator="containsText" text="Melhora muito">
      <formula>NOT(ISERROR(SEARCH(("Melhora muito"),(F6))))</formula>
    </cfRule>
  </conditionalFormatting>
  <conditionalFormatting sqref="F6:F25">
    <cfRule type="containsText" dxfId="2" priority="11" operator="containsText" text="Melhora">
      <formula>NOT(ISERROR(SEARCH(("Melhora"),(F6))))</formula>
    </cfRule>
  </conditionalFormatting>
  <conditionalFormatting sqref="G6:G25">
    <cfRule type="containsText" dxfId="0" priority="12" operator="containsText" text="POUCA IMPORTÂNCIA">
      <formula>NOT(ISERROR(SEARCH(("POUCA IMPORTÂNCIA"),(G6))))</formula>
    </cfRule>
  </conditionalFormatting>
  <conditionalFormatting sqref="G6:G25">
    <cfRule type="containsText" dxfId="1" priority="13" operator="containsText" text="TOTALMENTE SEM IMPORTÂNCIA">
      <formula>NOT(ISERROR(SEARCH(("TOTALMENTE SEM IMPORTÂNCIA"),(G6))))</formula>
    </cfRule>
  </conditionalFormatting>
  <conditionalFormatting sqref="G6:G25">
    <cfRule type="containsText" dxfId="2" priority="14" operator="containsText" text="MUITO IMPORTANTE">
      <formula>NOT(ISERROR(SEARCH(("MUITO IMPORTANTE"),(G6))))</formula>
    </cfRule>
  </conditionalFormatting>
  <conditionalFormatting sqref="G6:G25">
    <cfRule type="containsText" dxfId="3" priority="15" operator="containsText" text="TOTALMENTE IMPORTANTE">
      <formula>NOT(ISERROR(SEARCH(("TOTALMENTE IMPORTANTE"),(G6))))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24.0" customHeight="1">
      <c r="A1" s="30"/>
      <c r="B1" s="30"/>
      <c r="C1" s="31"/>
      <c r="D1" s="76"/>
      <c r="E1" s="76"/>
      <c r="F1" s="76"/>
      <c r="G1" s="76"/>
      <c r="H1" s="77"/>
      <c r="I1" s="77"/>
      <c r="J1" s="77"/>
      <c r="K1" s="77"/>
      <c r="L1" s="77"/>
      <c r="M1" s="30"/>
      <c r="N1" s="30"/>
      <c r="O1" s="30"/>
      <c r="P1" s="30"/>
      <c r="Q1" s="30"/>
      <c r="R1" s="30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ht="42.75" customHeight="1">
      <c r="A2" s="35"/>
      <c r="B2" s="30"/>
      <c r="C2" s="78"/>
      <c r="D2" s="79"/>
      <c r="E2" s="79"/>
      <c r="F2" s="79"/>
      <c r="G2" s="79"/>
      <c r="H2" s="80"/>
      <c r="I2" s="80"/>
      <c r="J2" s="80"/>
      <c r="K2" s="80"/>
      <c r="L2" s="80"/>
      <c r="M2" s="30"/>
      <c r="N2" s="30"/>
      <c r="O2" s="30"/>
      <c r="P2" s="30"/>
      <c r="Q2" s="30"/>
      <c r="R2" s="3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</row>
    <row r="3" ht="45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ht="30.0" customHeight="1">
      <c r="A4" s="30"/>
      <c r="B4" s="39"/>
      <c r="C4" s="70" t="s">
        <v>40</v>
      </c>
      <c r="D4" s="41" t="s">
        <v>41</v>
      </c>
      <c r="E4" s="41" t="s">
        <v>69</v>
      </c>
      <c r="F4" s="41" t="s">
        <v>43</v>
      </c>
      <c r="G4" s="42" t="s">
        <v>44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82">
        <v>1.0</v>
      </c>
      <c r="T4" s="82">
        <v>1.0</v>
      </c>
      <c r="U4" s="82">
        <v>1.0</v>
      </c>
      <c r="V4" s="82">
        <v>1.0</v>
      </c>
      <c r="W4" s="82">
        <v>2.0</v>
      </c>
      <c r="X4" s="82">
        <v>2.0</v>
      </c>
      <c r="Y4" s="82">
        <v>2.0</v>
      </c>
      <c r="Z4" s="82">
        <v>2.0</v>
      </c>
      <c r="AA4" s="82">
        <v>2.0</v>
      </c>
      <c r="AB4" s="82">
        <v>2.0</v>
      </c>
      <c r="AC4" s="82">
        <v>2.0</v>
      </c>
      <c r="AD4" s="82">
        <v>2.0</v>
      </c>
      <c r="AE4" s="82">
        <v>2.0</v>
      </c>
      <c r="AF4" s="82">
        <v>2.0</v>
      </c>
      <c r="AG4" s="82">
        <v>2.0</v>
      </c>
      <c r="AH4" s="82">
        <v>2.0</v>
      </c>
      <c r="AI4" s="82">
        <v>3.0</v>
      </c>
      <c r="AJ4" s="82">
        <v>3.0</v>
      </c>
      <c r="AK4" s="82">
        <v>3.0</v>
      </c>
      <c r="AL4" s="82">
        <v>3.0</v>
      </c>
      <c r="AM4" s="82">
        <v>3.0</v>
      </c>
      <c r="AN4" s="82">
        <v>3.0</v>
      </c>
      <c r="AO4" s="82">
        <v>3.0</v>
      </c>
      <c r="AP4" s="82">
        <v>3.0</v>
      </c>
      <c r="AQ4" s="82">
        <v>3.0</v>
      </c>
      <c r="AR4" s="82">
        <v>3.0</v>
      </c>
      <c r="AS4" s="82">
        <v>3.0</v>
      </c>
      <c r="AT4" s="82">
        <v>3.0</v>
      </c>
      <c r="AU4" s="82"/>
    </row>
    <row r="5" ht="30.0" customHeight="1">
      <c r="A5" s="30"/>
      <c r="B5" s="30"/>
      <c r="C5" s="71" t="s">
        <v>70</v>
      </c>
      <c r="D5" s="45" t="s">
        <v>46</v>
      </c>
      <c r="E5" s="46" t="s">
        <v>71</v>
      </c>
      <c r="F5" s="47" t="s">
        <v>48</v>
      </c>
      <c r="G5" s="47" t="s">
        <v>49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</row>
    <row r="6" ht="30.0" customHeight="1">
      <c r="A6" s="30"/>
      <c r="B6" s="30"/>
      <c r="C6" s="72"/>
      <c r="D6" s="56"/>
      <c r="E6" s="56"/>
      <c r="F6" s="57"/>
      <c r="G6" s="51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66"/>
      <c r="I6" s="83" t="s">
        <v>41</v>
      </c>
      <c r="J6" s="83"/>
      <c r="K6" s="83"/>
      <c r="L6" s="83">
        <v>2.0E-4</v>
      </c>
      <c r="M6" s="84" t="str">
        <f t="shared" ref="M6:M25" si="2">IF(G6="","",G6+L7)</f>
        <v/>
      </c>
      <c r="N6" s="85" t="str">
        <f t="shared" ref="N6:N25" si="3">IF(C6=0,"",C6)</f>
        <v/>
      </c>
      <c r="O6" s="84" t="str">
        <f t="shared" ref="O6:O25" si="4">G6</f>
        <v/>
      </c>
      <c r="P6" s="86"/>
      <c r="Q6" s="66"/>
      <c r="R6" s="66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</row>
    <row r="7" ht="30.0" customHeight="1">
      <c r="A7" s="30"/>
      <c r="B7" s="30"/>
      <c r="C7" s="72"/>
      <c r="D7" s="56"/>
      <c r="E7" s="56"/>
      <c r="F7" s="57"/>
      <c r="G7" s="51" t="str">
        <f t="shared" si="1"/>
        <v/>
      </c>
      <c r="H7" s="87"/>
      <c r="I7" s="88"/>
      <c r="J7" s="83"/>
      <c r="K7" s="83"/>
      <c r="L7" s="83">
        <v>1.9E-4</v>
      </c>
      <c r="M7" s="84" t="str">
        <f t="shared" si="2"/>
        <v/>
      </c>
      <c r="N7" s="85" t="str">
        <f t="shared" si="3"/>
        <v/>
      </c>
      <c r="O7" s="84" t="str">
        <f t="shared" si="4"/>
        <v/>
      </c>
      <c r="P7" s="86"/>
      <c r="Q7" s="66"/>
      <c r="R7" s="66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</row>
    <row r="8" ht="30.0" customHeight="1">
      <c r="A8" s="30"/>
      <c r="B8" s="30"/>
      <c r="C8" s="72"/>
      <c r="D8" s="56"/>
      <c r="E8" s="56"/>
      <c r="F8" s="57"/>
      <c r="G8" s="51" t="str">
        <f t="shared" si="1"/>
        <v/>
      </c>
      <c r="H8" s="89"/>
      <c r="I8" s="83" t="s">
        <v>54</v>
      </c>
      <c r="J8" s="88">
        <v>1.0</v>
      </c>
      <c r="K8" s="83"/>
      <c r="L8" s="83">
        <v>1.8E-4</v>
      </c>
      <c r="M8" s="83" t="str">
        <f t="shared" si="2"/>
        <v/>
      </c>
      <c r="N8" s="83" t="str">
        <f t="shared" si="3"/>
        <v/>
      </c>
      <c r="O8" s="84" t="str">
        <f t="shared" si="4"/>
        <v/>
      </c>
      <c r="P8" s="86"/>
      <c r="Q8" s="66"/>
      <c r="R8" s="66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</row>
    <row r="9" ht="30.0" customHeight="1">
      <c r="A9" s="30"/>
      <c r="B9" s="30"/>
      <c r="C9" s="72"/>
      <c r="D9" s="56"/>
      <c r="E9" s="56"/>
      <c r="F9" s="57"/>
      <c r="G9" s="51" t="str">
        <f t="shared" si="1"/>
        <v/>
      </c>
      <c r="H9" s="66"/>
      <c r="I9" s="83" t="s">
        <v>51</v>
      </c>
      <c r="J9" s="88">
        <v>2.0</v>
      </c>
      <c r="K9" s="83"/>
      <c r="L9" s="83">
        <v>1.7E-4</v>
      </c>
      <c r="M9" s="83" t="str">
        <f t="shared" si="2"/>
        <v/>
      </c>
      <c r="N9" s="83" t="str">
        <f t="shared" si="3"/>
        <v/>
      </c>
      <c r="O9" s="84" t="str">
        <f t="shared" si="4"/>
        <v/>
      </c>
      <c r="P9" s="86"/>
      <c r="Q9" s="66"/>
      <c r="R9" s="66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</row>
    <row r="10" ht="30.0" customHeight="1">
      <c r="A10" s="30"/>
      <c r="B10" s="30"/>
      <c r="C10" s="72"/>
      <c r="D10" s="56"/>
      <c r="E10" s="56"/>
      <c r="F10" s="57"/>
      <c r="G10" s="51" t="str">
        <f t="shared" si="1"/>
        <v/>
      </c>
      <c r="H10" s="66"/>
      <c r="I10" s="83" t="s">
        <v>55</v>
      </c>
      <c r="J10" s="88">
        <v>3.0</v>
      </c>
      <c r="K10" s="83"/>
      <c r="L10" s="83">
        <v>1.6E-4</v>
      </c>
      <c r="M10" s="83" t="str">
        <f t="shared" si="2"/>
        <v/>
      </c>
      <c r="N10" s="83" t="str">
        <f t="shared" si="3"/>
        <v/>
      </c>
      <c r="O10" s="84" t="str">
        <f t="shared" si="4"/>
        <v/>
      </c>
      <c r="P10" s="86"/>
      <c r="Q10" s="66"/>
      <c r="R10" s="66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</row>
    <row r="11" ht="30.0" customHeight="1">
      <c r="A11" s="30"/>
      <c r="B11" s="30"/>
      <c r="C11" s="72"/>
      <c r="D11" s="56"/>
      <c r="E11" s="56"/>
      <c r="F11" s="57"/>
      <c r="G11" s="51" t="str">
        <f t="shared" si="1"/>
        <v/>
      </c>
      <c r="H11" s="66"/>
      <c r="I11" s="83" t="s">
        <v>56</v>
      </c>
      <c r="J11" s="88">
        <v>4.0</v>
      </c>
      <c r="K11" s="83"/>
      <c r="L11" s="83">
        <v>1.5E-4</v>
      </c>
      <c r="M11" s="83" t="str">
        <f t="shared" si="2"/>
        <v/>
      </c>
      <c r="N11" s="83" t="str">
        <f t="shared" si="3"/>
        <v/>
      </c>
      <c r="O11" s="84" t="str">
        <f t="shared" si="4"/>
        <v/>
      </c>
      <c r="P11" s="86"/>
      <c r="Q11" s="66"/>
      <c r="R11" s="66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ht="30.0" customHeight="1">
      <c r="A12" s="30"/>
      <c r="B12" s="30"/>
      <c r="C12" s="72"/>
      <c r="D12" s="56"/>
      <c r="E12" s="56"/>
      <c r="F12" s="57"/>
      <c r="G12" s="51" t="str">
        <f t="shared" si="1"/>
        <v/>
      </c>
      <c r="H12" s="66"/>
      <c r="I12" s="83" t="s">
        <v>57</v>
      </c>
      <c r="J12" s="88">
        <v>5.0</v>
      </c>
      <c r="K12" s="83"/>
      <c r="L12" s="83">
        <v>1.4E-4</v>
      </c>
      <c r="M12" s="83" t="str">
        <f t="shared" si="2"/>
        <v/>
      </c>
      <c r="N12" s="83" t="str">
        <f t="shared" si="3"/>
        <v/>
      </c>
      <c r="O12" s="84" t="str">
        <f t="shared" si="4"/>
        <v/>
      </c>
      <c r="P12" s="86"/>
      <c r="Q12" s="66"/>
      <c r="R12" s="66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</row>
    <row r="13" ht="30.0" customHeight="1">
      <c r="A13" s="30"/>
      <c r="B13" s="30"/>
      <c r="C13" s="72"/>
      <c r="D13" s="56"/>
      <c r="E13" s="56"/>
      <c r="F13" s="57"/>
      <c r="G13" s="51" t="str">
        <f t="shared" si="1"/>
        <v/>
      </c>
      <c r="H13" s="66"/>
      <c r="I13" s="83"/>
      <c r="J13" s="83"/>
      <c r="K13" s="83"/>
      <c r="L13" s="83">
        <v>1.3E-4</v>
      </c>
      <c r="M13" s="83" t="str">
        <f t="shared" si="2"/>
        <v/>
      </c>
      <c r="N13" s="83" t="str">
        <f t="shared" si="3"/>
        <v/>
      </c>
      <c r="O13" s="84" t="str">
        <f t="shared" si="4"/>
        <v/>
      </c>
      <c r="P13" s="86"/>
      <c r="Q13" s="66"/>
      <c r="R13" s="66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</row>
    <row r="14" ht="30.0" customHeight="1">
      <c r="A14" s="60"/>
      <c r="B14" s="30"/>
      <c r="C14" s="72"/>
      <c r="D14" s="56"/>
      <c r="E14" s="56"/>
      <c r="F14" s="57"/>
      <c r="G14" s="51" t="str">
        <f t="shared" si="1"/>
        <v/>
      </c>
      <c r="H14" s="66"/>
      <c r="I14" s="83" t="s">
        <v>69</v>
      </c>
      <c r="J14" s="83"/>
      <c r="K14" s="83"/>
      <c r="L14" s="83">
        <v>1.2E-4</v>
      </c>
      <c r="M14" s="83" t="str">
        <f t="shared" si="2"/>
        <v/>
      </c>
      <c r="N14" s="83" t="str">
        <f t="shared" si="3"/>
        <v/>
      </c>
      <c r="O14" s="84" t="str">
        <f t="shared" si="4"/>
        <v/>
      </c>
      <c r="P14" s="86"/>
      <c r="Q14" s="66"/>
      <c r="R14" s="66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</row>
    <row r="15" ht="30.0" customHeight="1">
      <c r="A15" s="60"/>
      <c r="B15" s="30"/>
      <c r="C15" s="72"/>
      <c r="D15" s="56"/>
      <c r="E15" s="56"/>
      <c r="F15" s="57"/>
      <c r="G15" s="51" t="str">
        <f t="shared" si="1"/>
        <v/>
      </c>
      <c r="H15" s="66"/>
      <c r="I15" s="88"/>
      <c r="J15" s="83"/>
      <c r="K15" s="83"/>
      <c r="L15" s="83">
        <v>1.1E-4</v>
      </c>
      <c r="M15" s="83" t="str">
        <f t="shared" si="2"/>
        <v/>
      </c>
      <c r="N15" s="83" t="str">
        <f t="shared" si="3"/>
        <v/>
      </c>
      <c r="O15" s="84" t="str">
        <f t="shared" si="4"/>
        <v/>
      </c>
      <c r="P15" s="86"/>
      <c r="Q15" s="66"/>
      <c r="R15" s="66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</row>
    <row r="16" ht="30.0" customHeight="1">
      <c r="A16" s="30"/>
      <c r="B16" s="30"/>
      <c r="C16" s="72"/>
      <c r="D16" s="56"/>
      <c r="E16" s="56"/>
      <c r="F16" s="57"/>
      <c r="G16" s="51" t="str">
        <f t="shared" si="1"/>
        <v/>
      </c>
      <c r="H16" s="66"/>
      <c r="I16" s="83" t="s">
        <v>72</v>
      </c>
      <c r="J16" s="88">
        <v>1.0</v>
      </c>
      <c r="K16" s="83"/>
      <c r="L16" s="83">
        <v>1.0E-4</v>
      </c>
      <c r="M16" s="83" t="str">
        <f t="shared" si="2"/>
        <v/>
      </c>
      <c r="N16" s="83" t="str">
        <f t="shared" si="3"/>
        <v/>
      </c>
      <c r="O16" s="84" t="str">
        <f t="shared" si="4"/>
        <v/>
      </c>
      <c r="P16" s="86"/>
      <c r="Q16" s="66"/>
      <c r="R16" s="66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</row>
    <row r="17" ht="30.0" customHeight="1">
      <c r="A17" s="30"/>
      <c r="B17" s="30"/>
      <c r="C17" s="72"/>
      <c r="D17" s="56"/>
      <c r="E17" s="56"/>
      <c r="F17" s="57"/>
      <c r="G17" s="51" t="str">
        <f t="shared" si="1"/>
        <v/>
      </c>
      <c r="H17" s="66"/>
      <c r="I17" s="83" t="s">
        <v>73</v>
      </c>
      <c r="J17" s="88">
        <v>2.0</v>
      </c>
      <c r="K17" s="83"/>
      <c r="L17" s="83">
        <v>9.0E-5</v>
      </c>
      <c r="M17" s="83" t="str">
        <f t="shared" si="2"/>
        <v/>
      </c>
      <c r="N17" s="83" t="str">
        <f t="shared" si="3"/>
        <v/>
      </c>
      <c r="O17" s="84" t="str">
        <f t="shared" si="4"/>
        <v/>
      </c>
      <c r="P17" s="86"/>
      <c r="Q17" s="66"/>
      <c r="R17" s="66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</row>
    <row r="18" ht="30.0" customHeight="1">
      <c r="A18" s="30"/>
      <c r="B18" s="30"/>
      <c r="C18" s="72"/>
      <c r="D18" s="56"/>
      <c r="E18" s="56"/>
      <c r="F18" s="57"/>
      <c r="G18" s="51" t="str">
        <f t="shared" si="1"/>
        <v/>
      </c>
      <c r="H18" s="66"/>
      <c r="I18" s="83" t="s">
        <v>74</v>
      </c>
      <c r="J18" s="88">
        <v>3.0</v>
      </c>
      <c r="K18" s="83"/>
      <c r="L18" s="83">
        <v>8.0E-5</v>
      </c>
      <c r="M18" s="83" t="str">
        <f t="shared" si="2"/>
        <v/>
      </c>
      <c r="N18" s="83" t="str">
        <f t="shared" si="3"/>
        <v/>
      </c>
      <c r="O18" s="84" t="str">
        <f t="shared" si="4"/>
        <v/>
      </c>
      <c r="P18" s="86"/>
      <c r="Q18" s="66"/>
      <c r="R18" s="66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</row>
    <row r="19" ht="30.0" customHeight="1">
      <c r="A19" s="30"/>
      <c r="B19" s="30"/>
      <c r="C19" s="72"/>
      <c r="D19" s="56"/>
      <c r="E19" s="56"/>
      <c r="F19" s="57"/>
      <c r="G19" s="51" t="str">
        <f t="shared" si="1"/>
        <v/>
      </c>
      <c r="H19" s="66"/>
      <c r="I19" s="83" t="s">
        <v>75</v>
      </c>
      <c r="J19" s="88">
        <v>4.0</v>
      </c>
      <c r="K19" s="83"/>
      <c r="L19" s="83">
        <v>7.0E-5</v>
      </c>
      <c r="M19" s="83" t="str">
        <f t="shared" si="2"/>
        <v/>
      </c>
      <c r="N19" s="83" t="str">
        <f t="shared" si="3"/>
        <v/>
      </c>
      <c r="O19" s="84" t="str">
        <f t="shared" si="4"/>
        <v/>
      </c>
      <c r="P19" s="86"/>
      <c r="Q19" s="66"/>
      <c r="R19" s="66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</row>
    <row r="20" ht="30.0" customHeight="1">
      <c r="A20" s="30"/>
      <c r="B20" s="30"/>
      <c r="C20" s="72"/>
      <c r="D20" s="56"/>
      <c r="E20" s="56"/>
      <c r="F20" s="57"/>
      <c r="G20" s="51" t="str">
        <f t="shared" si="1"/>
        <v/>
      </c>
      <c r="H20" s="66"/>
      <c r="I20" s="83" t="s">
        <v>76</v>
      </c>
      <c r="J20" s="88">
        <v>5.0</v>
      </c>
      <c r="K20" s="83"/>
      <c r="L20" s="83">
        <v>6.0E-5</v>
      </c>
      <c r="M20" s="83" t="str">
        <f t="shared" si="2"/>
        <v/>
      </c>
      <c r="N20" s="83" t="str">
        <f t="shared" si="3"/>
        <v/>
      </c>
      <c r="O20" s="84" t="str">
        <f t="shared" si="4"/>
        <v/>
      </c>
      <c r="P20" s="86"/>
      <c r="Q20" s="66"/>
      <c r="R20" s="66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</row>
    <row r="21" ht="30.0" customHeight="1">
      <c r="A21" s="30"/>
      <c r="B21" s="30"/>
      <c r="C21" s="72"/>
      <c r="D21" s="56"/>
      <c r="E21" s="56"/>
      <c r="F21" s="57"/>
      <c r="G21" s="51" t="str">
        <f t="shared" si="1"/>
        <v/>
      </c>
      <c r="H21" s="66"/>
      <c r="I21" s="83"/>
      <c r="J21" s="83"/>
      <c r="K21" s="83"/>
      <c r="L21" s="83">
        <v>5.0E-5</v>
      </c>
      <c r="M21" s="83" t="str">
        <f t="shared" si="2"/>
        <v/>
      </c>
      <c r="N21" s="83" t="str">
        <f t="shared" si="3"/>
        <v/>
      </c>
      <c r="O21" s="84" t="str">
        <f t="shared" si="4"/>
        <v/>
      </c>
      <c r="P21" s="86"/>
      <c r="Q21" s="66"/>
      <c r="R21" s="66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</row>
    <row r="22" ht="30.0" customHeight="1">
      <c r="A22" s="30"/>
      <c r="B22" s="30"/>
      <c r="C22" s="72"/>
      <c r="D22" s="56"/>
      <c r="E22" s="56"/>
      <c r="F22" s="57"/>
      <c r="G22" s="51" t="str">
        <f t="shared" si="1"/>
        <v/>
      </c>
      <c r="H22" s="66"/>
      <c r="I22" s="83" t="s">
        <v>43</v>
      </c>
      <c r="J22" s="83"/>
      <c r="K22" s="83"/>
      <c r="L22" s="83">
        <v>4.0E-5</v>
      </c>
      <c r="M22" s="83" t="str">
        <f t="shared" si="2"/>
        <v/>
      </c>
      <c r="N22" s="83" t="str">
        <f t="shared" si="3"/>
        <v/>
      </c>
      <c r="O22" s="84" t="str">
        <f t="shared" si="4"/>
        <v/>
      </c>
      <c r="P22" s="86"/>
      <c r="Q22" s="66"/>
      <c r="R22" s="66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</row>
    <row r="23" ht="30.0" customHeight="1">
      <c r="A23" s="60"/>
      <c r="B23" s="30"/>
      <c r="C23" s="72"/>
      <c r="D23" s="56"/>
      <c r="E23" s="56"/>
      <c r="F23" s="57"/>
      <c r="G23" s="51" t="str">
        <f t="shared" si="1"/>
        <v/>
      </c>
      <c r="H23" s="66"/>
      <c r="I23" s="88"/>
      <c r="J23" s="83"/>
      <c r="K23" s="83"/>
      <c r="L23" s="83">
        <v>3.0E-5</v>
      </c>
      <c r="M23" s="83" t="str">
        <f t="shared" si="2"/>
        <v/>
      </c>
      <c r="N23" s="83" t="str">
        <f t="shared" si="3"/>
        <v/>
      </c>
      <c r="O23" s="84" t="str">
        <f t="shared" si="4"/>
        <v/>
      </c>
      <c r="P23" s="86"/>
      <c r="Q23" s="66"/>
      <c r="R23" s="66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</row>
    <row r="24" ht="30.0" customHeight="1">
      <c r="A24" s="60"/>
      <c r="B24" s="30"/>
      <c r="C24" s="72"/>
      <c r="D24" s="56"/>
      <c r="E24" s="56"/>
      <c r="F24" s="57"/>
      <c r="G24" s="51" t="str">
        <f t="shared" si="1"/>
        <v/>
      </c>
      <c r="H24" s="66"/>
      <c r="I24" s="83" t="s">
        <v>53</v>
      </c>
      <c r="J24" s="88">
        <v>1.0</v>
      </c>
      <c r="K24" s="83"/>
      <c r="L24" s="83">
        <v>2.0E-5</v>
      </c>
      <c r="M24" s="83" t="str">
        <f t="shared" si="2"/>
        <v/>
      </c>
      <c r="N24" s="83" t="str">
        <f t="shared" si="3"/>
        <v/>
      </c>
      <c r="O24" s="84" t="str">
        <f t="shared" si="4"/>
        <v/>
      </c>
      <c r="P24" s="86"/>
      <c r="Q24" s="66"/>
      <c r="R24" s="66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</row>
    <row r="25" ht="30.0" customHeight="1">
      <c r="A25" s="30"/>
      <c r="B25" s="30"/>
      <c r="C25" s="72"/>
      <c r="D25" s="56"/>
      <c r="E25" s="56"/>
      <c r="F25" s="57"/>
      <c r="G25" s="51" t="str">
        <f t="shared" si="1"/>
        <v/>
      </c>
      <c r="H25" s="66"/>
      <c r="I25" s="83" t="s">
        <v>62</v>
      </c>
      <c r="J25" s="88">
        <v>2.0</v>
      </c>
      <c r="K25" s="83"/>
      <c r="L25" s="83">
        <v>1.0E-5</v>
      </c>
      <c r="M25" s="83" t="str">
        <f t="shared" si="2"/>
        <v/>
      </c>
      <c r="N25" s="83" t="str">
        <f t="shared" si="3"/>
        <v/>
      </c>
      <c r="O25" s="84" t="str">
        <f t="shared" si="4"/>
        <v/>
      </c>
      <c r="P25" s="86"/>
      <c r="Q25" s="66"/>
      <c r="R25" s="66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</row>
    <row r="26" ht="30.0" customHeight="1">
      <c r="A26" s="30"/>
      <c r="B26" s="30"/>
      <c r="C26" s="62" t="s">
        <v>78</v>
      </c>
      <c r="D26" s="63"/>
      <c r="E26" s="63"/>
      <c r="F26" s="64" t="s">
        <v>64</v>
      </c>
      <c r="G26" s="65">
        <f>SUM(G6:G25)</f>
        <v>0</v>
      </c>
      <c r="H26" s="66"/>
      <c r="I26" s="83" t="s">
        <v>65</v>
      </c>
      <c r="J26" s="88">
        <v>3.0</v>
      </c>
      <c r="K26" s="83"/>
      <c r="L26" s="83"/>
      <c r="M26" s="83"/>
      <c r="N26" s="83"/>
      <c r="O26" s="84"/>
      <c r="P26" s="86"/>
      <c r="Q26" s="66"/>
      <c r="R26" s="66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</row>
    <row r="27" ht="30.0" customHeight="1">
      <c r="A27" s="30"/>
      <c r="B27" s="30"/>
      <c r="H27" s="66"/>
      <c r="I27" s="83" t="s">
        <v>66</v>
      </c>
      <c r="J27" s="88">
        <v>4.0</v>
      </c>
      <c r="K27" s="83"/>
      <c r="L27" s="83"/>
      <c r="M27" s="83"/>
      <c r="N27" s="83"/>
      <c r="O27" s="84"/>
      <c r="P27" s="86"/>
      <c r="Q27" s="66"/>
      <c r="R27" s="66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</row>
    <row r="28" ht="30.0" customHeight="1">
      <c r="A28" s="30"/>
      <c r="B28" s="30"/>
      <c r="H28" s="66"/>
      <c r="I28" s="83" t="s">
        <v>67</v>
      </c>
      <c r="J28" s="88">
        <v>5.0</v>
      </c>
      <c r="K28" s="83"/>
      <c r="L28" s="83"/>
      <c r="M28" s="83"/>
      <c r="N28" s="83"/>
      <c r="O28" s="84"/>
      <c r="P28" s="86"/>
      <c r="Q28" s="66"/>
      <c r="R28" s="66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</row>
    <row r="29" ht="30.0" customHeight="1">
      <c r="A29" s="30"/>
      <c r="B29" s="30"/>
      <c r="H29" s="66"/>
      <c r="I29" s="66"/>
      <c r="J29" s="66"/>
      <c r="K29" s="66"/>
      <c r="L29" s="66"/>
      <c r="M29" s="66"/>
      <c r="N29" s="66"/>
      <c r="O29" s="90"/>
      <c r="P29" s="86"/>
      <c r="Q29" s="66"/>
      <c r="R29" s="66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</row>
    <row r="30" ht="30.0" customHeight="1">
      <c r="A30" s="30"/>
      <c r="B30" s="30"/>
      <c r="H30" s="66"/>
      <c r="I30" s="66"/>
      <c r="J30" s="66"/>
      <c r="K30" s="66"/>
      <c r="L30" s="66"/>
      <c r="M30" s="66"/>
      <c r="N30" s="66"/>
      <c r="O30" s="90"/>
      <c r="P30" s="86"/>
      <c r="Q30" s="66"/>
      <c r="R30" s="66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</row>
    <row r="31" ht="30.0" customHeight="1">
      <c r="A31" s="30"/>
      <c r="B31" s="30"/>
      <c r="H31" s="66"/>
      <c r="I31" s="66"/>
      <c r="J31" s="66"/>
      <c r="K31" s="66"/>
      <c r="L31" s="66"/>
      <c r="M31" s="66"/>
      <c r="N31" s="66"/>
      <c r="O31" s="90"/>
      <c r="P31" s="86"/>
      <c r="Q31" s="66"/>
      <c r="R31" s="66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</row>
    <row r="32" ht="30.0" customHeight="1">
      <c r="A32" s="30"/>
      <c r="B32" s="30"/>
      <c r="H32" s="66"/>
      <c r="I32" s="66"/>
      <c r="J32" s="66"/>
      <c r="K32" s="66"/>
      <c r="L32" s="66"/>
      <c r="M32" s="66"/>
      <c r="N32" s="66"/>
      <c r="O32" s="90"/>
      <c r="P32" s="86"/>
      <c r="Q32" s="66"/>
      <c r="R32" s="66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</row>
    <row r="33" ht="30.0" customHeight="1">
      <c r="A33" s="30"/>
      <c r="B33" s="30"/>
      <c r="H33" s="66"/>
      <c r="I33" s="66"/>
      <c r="J33" s="66"/>
      <c r="K33" s="66"/>
      <c r="L33" s="66"/>
      <c r="M33" s="66"/>
      <c r="N33" s="66"/>
      <c r="O33" s="90"/>
      <c r="P33" s="86"/>
      <c r="Q33" s="66"/>
      <c r="R33" s="66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</row>
    <row r="34" ht="30.0" customHeight="1">
      <c r="A34" s="30"/>
      <c r="B34" s="30"/>
      <c r="H34" s="66"/>
      <c r="I34" s="66"/>
      <c r="J34" s="66"/>
      <c r="K34" s="66"/>
      <c r="L34" s="66"/>
      <c r="M34" s="66"/>
      <c r="N34" s="66"/>
      <c r="O34" s="90"/>
      <c r="P34" s="86"/>
      <c r="Q34" s="66"/>
      <c r="R34" s="66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</row>
    <row r="35" ht="30.0" customHeight="1">
      <c r="A35" s="30"/>
      <c r="B35" s="30"/>
      <c r="H35" s="66"/>
      <c r="I35" s="66"/>
      <c r="J35" s="66"/>
      <c r="K35" s="66"/>
      <c r="L35" s="66"/>
      <c r="M35" s="66"/>
      <c r="N35" s="66"/>
      <c r="O35" s="90"/>
      <c r="P35" s="86"/>
      <c r="Q35" s="66"/>
      <c r="R35" s="66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</row>
    <row r="36" ht="30.0" customHeight="1">
      <c r="A36" s="30"/>
      <c r="B36" s="30"/>
      <c r="H36" s="66"/>
      <c r="I36" s="66"/>
      <c r="J36" s="66"/>
      <c r="K36" s="66"/>
      <c r="L36" s="66"/>
      <c r="M36" s="66"/>
      <c r="N36" s="66"/>
      <c r="O36" s="90"/>
      <c r="P36" s="86"/>
      <c r="Q36" s="66"/>
      <c r="R36" s="66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</row>
    <row r="37" ht="30.0" customHeight="1">
      <c r="A37" s="30"/>
      <c r="B37" s="30"/>
      <c r="H37" s="66"/>
      <c r="I37" s="66"/>
      <c r="J37" s="66"/>
      <c r="K37" s="66"/>
      <c r="L37" s="66"/>
      <c r="M37" s="66"/>
      <c r="N37" s="66"/>
      <c r="O37" s="90"/>
      <c r="P37" s="86"/>
      <c r="Q37" s="66"/>
      <c r="R37" s="66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</row>
    <row r="38" ht="30.0" customHeight="1">
      <c r="A38" s="30"/>
      <c r="B38" s="30"/>
      <c r="H38" s="66"/>
      <c r="I38" s="66"/>
      <c r="J38" s="66"/>
      <c r="K38" s="66"/>
      <c r="L38" s="66"/>
      <c r="M38" s="66"/>
      <c r="N38" s="66"/>
      <c r="O38" s="90"/>
      <c r="P38" s="86"/>
      <c r="Q38" s="66"/>
      <c r="R38" s="66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</row>
    <row r="39" ht="30.0" customHeight="1">
      <c r="A39" s="30"/>
      <c r="B39" s="30"/>
      <c r="H39" s="66"/>
      <c r="I39" s="66"/>
      <c r="J39" s="66"/>
      <c r="K39" s="66"/>
      <c r="L39" s="66"/>
      <c r="M39" s="66"/>
      <c r="N39" s="66"/>
      <c r="O39" s="90"/>
      <c r="P39" s="86"/>
      <c r="Q39" s="66"/>
      <c r="R39" s="66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</row>
    <row r="40" ht="30.0" customHeight="1">
      <c r="A40" s="30"/>
      <c r="B40" s="30"/>
      <c r="H40" s="66"/>
      <c r="I40" s="66"/>
      <c r="J40" s="66"/>
      <c r="K40" s="66"/>
      <c r="L40" s="66"/>
      <c r="M40" s="66"/>
      <c r="N40" s="66"/>
      <c r="O40" s="90"/>
      <c r="P40" s="86"/>
      <c r="Q40" s="66"/>
      <c r="R40" s="66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</row>
    <row r="41" ht="30.0" customHeight="1">
      <c r="A41" s="30"/>
      <c r="B41" s="30"/>
      <c r="H41" s="66"/>
      <c r="I41" s="66"/>
      <c r="J41" s="66"/>
      <c r="K41" s="66"/>
      <c r="L41" s="66"/>
      <c r="M41" s="66"/>
      <c r="N41" s="66"/>
      <c r="O41" s="90"/>
      <c r="P41" s="86"/>
      <c r="Q41" s="66"/>
      <c r="R41" s="66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</row>
    <row r="42" ht="30.0" customHeight="1">
      <c r="A42" s="30"/>
      <c r="B42" s="30"/>
      <c r="H42" s="66"/>
      <c r="I42" s="66"/>
      <c r="J42" s="66"/>
      <c r="K42" s="66"/>
      <c r="L42" s="66"/>
      <c r="M42" s="66"/>
      <c r="N42" s="66"/>
      <c r="O42" s="90"/>
      <c r="P42" s="86"/>
      <c r="Q42" s="66"/>
      <c r="R42" s="66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</row>
    <row r="43" ht="30.0" customHeight="1">
      <c r="A43" s="30"/>
      <c r="B43" s="30"/>
      <c r="H43" s="66"/>
      <c r="I43" s="66"/>
      <c r="J43" s="66"/>
      <c r="K43" s="66"/>
      <c r="L43" s="66"/>
      <c r="M43" s="66"/>
      <c r="N43" s="66"/>
      <c r="O43" s="90"/>
      <c r="P43" s="86"/>
      <c r="Q43" s="66"/>
      <c r="R43" s="66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</row>
    <row r="44" ht="30.0" customHeight="1">
      <c r="A44" s="30"/>
      <c r="B44" s="30"/>
      <c r="H44" s="66"/>
      <c r="I44" s="66"/>
      <c r="J44" s="66"/>
      <c r="K44" s="66"/>
      <c r="L44" s="66"/>
      <c r="M44" s="66"/>
      <c r="N44" s="66"/>
      <c r="O44" s="90"/>
      <c r="P44" s="86"/>
      <c r="Q44" s="66"/>
      <c r="R44" s="66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</row>
    <row r="45" ht="30.0" customHeight="1">
      <c r="A45" s="30"/>
      <c r="B45" s="30"/>
      <c r="H45" s="66"/>
      <c r="I45" s="66"/>
      <c r="J45" s="66"/>
      <c r="K45" s="66"/>
      <c r="L45" s="66"/>
      <c r="M45" s="66"/>
      <c r="N45" s="66"/>
      <c r="O45" s="90"/>
      <c r="P45" s="91"/>
      <c r="Q45" s="66"/>
      <c r="R45" s="66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</row>
    <row r="46" ht="37.5" customHeight="1">
      <c r="A46" s="30"/>
      <c r="B46" s="30"/>
      <c r="H46" s="66"/>
      <c r="I46" s="66"/>
      <c r="J46" s="66"/>
      <c r="K46" s="66"/>
      <c r="L46" s="66"/>
      <c r="M46" s="66"/>
      <c r="N46" s="86"/>
      <c r="O46" s="66"/>
      <c r="P46" s="66"/>
      <c r="Q46" s="66"/>
      <c r="R46" s="66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</row>
    <row r="47" ht="30.0" customHeight="1">
      <c r="A47" s="30"/>
      <c r="B47" s="30"/>
      <c r="H47" s="66"/>
      <c r="I47" s="66"/>
      <c r="J47" s="66"/>
      <c r="K47" s="66"/>
      <c r="L47" s="66"/>
      <c r="M47" s="66"/>
      <c r="N47" s="86"/>
      <c r="O47" s="66"/>
      <c r="P47" s="66"/>
      <c r="Q47" s="66"/>
      <c r="R47" s="66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</row>
    <row r="48" ht="30.0" customHeight="1">
      <c r="A48" s="30"/>
      <c r="B48" s="30"/>
      <c r="H48" s="66"/>
      <c r="I48" s="66"/>
      <c r="J48" s="66"/>
      <c r="K48" s="66"/>
      <c r="L48" s="66"/>
      <c r="M48" s="66"/>
      <c r="N48" s="86"/>
      <c r="O48" s="66"/>
      <c r="P48" s="66"/>
      <c r="Q48" s="66"/>
      <c r="R48" s="66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</row>
    <row r="49" ht="30.0" customHeight="1">
      <c r="A49" s="30"/>
      <c r="B49" s="30"/>
      <c r="D49" s="68"/>
      <c r="E49" s="68"/>
      <c r="H49" s="66"/>
      <c r="I49" s="66"/>
      <c r="J49" s="66"/>
      <c r="K49" s="66"/>
      <c r="L49" s="66"/>
      <c r="M49" s="66"/>
      <c r="N49" s="86"/>
      <c r="O49" s="66"/>
      <c r="P49" s="66"/>
      <c r="Q49" s="66"/>
      <c r="R49" s="66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</row>
    <row r="50" ht="30.0" hidden="1" customHeight="1">
      <c r="A50" s="30"/>
      <c r="B50" s="30"/>
      <c r="D50" s="68"/>
      <c r="E50" s="68"/>
      <c r="H50" s="66"/>
      <c r="I50" s="66"/>
      <c r="J50" s="66"/>
      <c r="K50" s="66"/>
      <c r="L50" s="66"/>
      <c r="M50" s="66"/>
      <c r="N50" s="86"/>
      <c r="O50" s="66"/>
      <c r="P50" s="66"/>
      <c r="Q50" s="66"/>
      <c r="R50" s="66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</row>
    <row r="51" ht="30.0" hidden="1" customHeight="1">
      <c r="A51" s="30"/>
      <c r="B51" s="30"/>
      <c r="D51" s="68"/>
      <c r="E51" s="68"/>
      <c r="H51" s="66"/>
      <c r="I51" s="66"/>
      <c r="J51" s="66"/>
      <c r="K51" s="66"/>
      <c r="L51" s="66"/>
      <c r="M51" s="66"/>
      <c r="N51" s="86"/>
      <c r="O51" s="66"/>
      <c r="P51" s="66"/>
      <c r="Q51" s="66"/>
      <c r="R51" s="66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</row>
    <row r="52" ht="30.0" hidden="1" customHeight="1">
      <c r="A52" s="30"/>
      <c r="B52" s="30"/>
      <c r="D52" s="68"/>
      <c r="E52" s="68"/>
      <c r="H52" s="66"/>
      <c r="I52" s="66"/>
      <c r="J52" s="66"/>
      <c r="K52" s="66"/>
      <c r="L52" s="66"/>
      <c r="M52" s="66"/>
      <c r="N52" s="86"/>
      <c r="O52" s="66"/>
      <c r="P52" s="66"/>
      <c r="Q52" s="66"/>
      <c r="R52" s="66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</row>
    <row r="53" ht="30.0" hidden="1" customHeight="1">
      <c r="A53" s="30"/>
      <c r="B53" s="30"/>
      <c r="D53" s="68"/>
      <c r="E53" s="68"/>
      <c r="H53" s="66"/>
      <c r="I53" s="66"/>
      <c r="J53" s="66"/>
      <c r="K53" s="66"/>
      <c r="L53" s="66"/>
      <c r="M53" s="66"/>
      <c r="N53" s="86"/>
      <c r="O53" s="66"/>
      <c r="P53" s="66"/>
      <c r="Q53" s="66"/>
      <c r="R53" s="66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</row>
    <row r="54" ht="30.0" hidden="1" customHeight="1">
      <c r="A54" s="30"/>
      <c r="B54" s="30"/>
      <c r="D54" s="68"/>
      <c r="E54" s="68"/>
      <c r="H54" s="66"/>
      <c r="I54" s="66"/>
      <c r="J54" s="66"/>
      <c r="K54" s="66"/>
      <c r="L54" s="66"/>
      <c r="M54" s="66"/>
      <c r="N54" s="86"/>
      <c r="O54" s="66"/>
      <c r="P54" s="66"/>
      <c r="Q54" s="66"/>
      <c r="R54" s="66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</row>
    <row r="55" ht="30.0" hidden="1" customHeight="1">
      <c r="A55" s="60"/>
      <c r="B55" s="30"/>
      <c r="D55" s="68"/>
      <c r="E55" s="68"/>
      <c r="H55" s="66"/>
      <c r="I55" s="66"/>
      <c r="J55" s="66"/>
      <c r="K55" s="66"/>
      <c r="L55" s="66"/>
      <c r="M55" s="66"/>
      <c r="N55" s="86"/>
      <c r="O55" s="66"/>
      <c r="P55" s="66"/>
      <c r="Q55" s="66"/>
      <c r="R55" s="66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</row>
    <row r="56" ht="30.0" hidden="1" customHeight="1">
      <c r="A56" s="60"/>
      <c r="B56" s="30"/>
      <c r="D56" s="68"/>
      <c r="E56" s="68"/>
      <c r="H56" s="66"/>
      <c r="I56" s="66"/>
      <c r="J56" s="66"/>
      <c r="K56" s="66"/>
      <c r="L56" s="66"/>
      <c r="M56" s="66"/>
      <c r="N56" s="86"/>
      <c r="O56" s="66"/>
      <c r="P56" s="66"/>
      <c r="Q56" s="66"/>
      <c r="R56" s="66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</row>
    <row r="57" ht="30.0" hidden="1" customHeight="1">
      <c r="A57" s="60"/>
      <c r="B57" s="30"/>
      <c r="D57" s="68"/>
      <c r="E57" s="68"/>
      <c r="H57" s="66"/>
      <c r="I57" s="66"/>
      <c r="J57" s="66"/>
      <c r="K57" s="66"/>
      <c r="L57" s="66"/>
      <c r="M57" s="66"/>
      <c r="N57" s="86"/>
      <c r="O57" s="66"/>
      <c r="P57" s="66"/>
      <c r="Q57" s="66"/>
      <c r="R57" s="66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</row>
    <row r="58" ht="30.0" hidden="1" customHeight="1">
      <c r="A58" s="30"/>
      <c r="B58" s="30"/>
      <c r="D58" s="68"/>
      <c r="E58" s="68"/>
      <c r="H58" s="66"/>
      <c r="I58" s="66"/>
      <c r="J58" s="66"/>
      <c r="K58" s="66"/>
      <c r="L58" s="66"/>
      <c r="M58" s="66"/>
      <c r="N58" s="86"/>
      <c r="O58" s="66"/>
      <c r="P58" s="66"/>
      <c r="Q58" s="66"/>
      <c r="R58" s="66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</row>
    <row r="59" ht="30.0" hidden="1" customHeight="1">
      <c r="A59" s="30"/>
      <c r="B59" s="30"/>
      <c r="D59" s="68"/>
      <c r="E59" s="68"/>
      <c r="H59" s="66"/>
      <c r="I59" s="66"/>
      <c r="J59" s="66"/>
      <c r="K59" s="66"/>
      <c r="L59" s="66"/>
      <c r="M59" s="66"/>
      <c r="N59" s="86"/>
      <c r="O59" s="66"/>
      <c r="P59" s="66"/>
      <c r="Q59" s="66"/>
      <c r="R59" s="66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</row>
    <row r="60" ht="30.0" hidden="1" customHeight="1">
      <c r="A60" s="30"/>
      <c r="B60" s="30"/>
      <c r="D60" s="68"/>
      <c r="E60" s="68"/>
      <c r="H60" s="66"/>
      <c r="I60" s="66"/>
      <c r="J60" s="66"/>
      <c r="K60" s="66"/>
      <c r="L60" s="66"/>
      <c r="M60" s="66"/>
      <c r="N60" s="86"/>
      <c r="O60" s="66"/>
      <c r="P60" s="66"/>
      <c r="Q60" s="66"/>
      <c r="R60" s="66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</row>
    <row r="61" ht="30.0" hidden="1" customHeight="1">
      <c r="A61" s="30"/>
      <c r="B61" s="30"/>
      <c r="D61" s="68"/>
      <c r="E61" s="68"/>
      <c r="H61" s="66"/>
      <c r="I61" s="66"/>
      <c r="J61" s="66"/>
      <c r="K61" s="66"/>
      <c r="L61" s="66"/>
      <c r="M61" s="66"/>
      <c r="N61" s="86"/>
      <c r="O61" s="66"/>
      <c r="P61" s="66"/>
      <c r="Q61" s="66"/>
      <c r="R61" s="66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</row>
    <row r="62" ht="30.0" hidden="1" customHeight="1">
      <c r="A62" s="30"/>
      <c r="B62" s="30"/>
      <c r="D62" s="68"/>
      <c r="E62" s="68"/>
      <c r="H62" s="66"/>
      <c r="I62" s="66"/>
      <c r="J62" s="66"/>
      <c r="K62" s="66"/>
      <c r="L62" s="66"/>
      <c r="M62" s="66"/>
      <c r="N62" s="86"/>
      <c r="O62" s="66"/>
      <c r="P62" s="66"/>
      <c r="Q62" s="66"/>
      <c r="R62" s="66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</row>
    <row r="63" ht="30.0" hidden="1" customHeight="1">
      <c r="A63" s="30"/>
      <c r="B63" s="30"/>
      <c r="D63" s="68"/>
      <c r="E63" s="68"/>
      <c r="H63" s="66"/>
      <c r="I63" s="66"/>
      <c r="J63" s="66"/>
      <c r="K63" s="66"/>
      <c r="L63" s="66"/>
      <c r="M63" s="66"/>
      <c r="N63" s="86"/>
      <c r="O63" s="66"/>
      <c r="P63" s="66"/>
      <c r="Q63" s="66"/>
      <c r="R63" s="66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</row>
    <row r="64" ht="30.0" hidden="1" customHeight="1">
      <c r="A64" s="30"/>
      <c r="B64" s="30"/>
      <c r="D64" s="68"/>
      <c r="E64" s="68"/>
      <c r="H64" s="66"/>
      <c r="I64" s="66"/>
      <c r="J64" s="66"/>
      <c r="K64" s="66"/>
      <c r="L64" s="66"/>
      <c r="M64" s="66"/>
      <c r="N64" s="86"/>
      <c r="O64" s="66"/>
      <c r="P64" s="66"/>
      <c r="Q64" s="66"/>
      <c r="R64" s="66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</row>
    <row r="65" ht="15.75" hidden="1" customHeight="1">
      <c r="A65" s="30"/>
      <c r="B65" s="30"/>
      <c r="D65" s="68"/>
      <c r="E65" s="68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</row>
    <row r="66" ht="15.75" hidden="1" customHeight="1">
      <c r="A66" s="30"/>
      <c r="B66" s="30"/>
      <c r="D66" s="68"/>
      <c r="E66" s="68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</row>
    <row r="67" ht="15.75" hidden="1" customHeight="1">
      <c r="A67" s="30"/>
      <c r="B67" s="30"/>
      <c r="D67" s="68"/>
      <c r="E67" s="68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</row>
    <row r="68" ht="15.75" hidden="1" customHeight="1">
      <c r="A68" s="30"/>
      <c r="B68" s="30"/>
      <c r="D68" s="68"/>
      <c r="E68" s="68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</row>
    <row r="69" ht="15.0" customHeight="1">
      <c r="A69" s="30"/>
      <c r="B69" s="30"/>
      <c r="D69" s="68"/>
      <c r="E69" s="68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</row>
    <row r="70" ht="15.0" customHeight="1">
      <c r="A70" s="30"/>
      <c r="B70" s="30"/>
      <c r="D70" s="68"/>
      <c r="E70" s="68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</row>
    <row r="71" ht="15.0" customHeight="1">
      <c r="A71" s="30"/>
      <c r="B71" s="30"/>
      <c r="D71" s="68"/>
      <c r="E71" s="68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</row>
    <row r="72" ht="15.75" customHeight="1">
      <c r="A72" s="30"/>
      <c r="B72" s="30"/>
      <c r="D72" s="68"/>
      <c r="E72" s="68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</row>
    <row r="73" ht="15.75" customHeight="1">
      <c r="A73" s="30"/>
      <c r="B73" s="30"/>
      <c r="D73" s="68"/>
      <c r="E73" s="68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</row>
    <row r="74" ht="15.75" customHeight="1">
      <c r="A74" s="30"/>
      <c r="B74" s="30"/>
      <c r="D74" s="68"/>
      <c r="E74" s="68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</row>
    <row r="75" ht="15.75" customHeight="1">
      <c r="A75" s="30"/>
      <c r="B75" s="30"/>
      <c r="D75" s="68"/>
      <c r="E75" s="68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</row>
    <row r="76" ht="15.75" customHeight="1">
      <c r="A76" s="30"/>
      <c r="B76" s="30"/>
      <c r="D76" s="68"/>
      <c r="E76" s="68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</row>
    <row r="77" ht="15.75" customHeight="1">
      <c r="A77" s="30"/>
      <c r="B77" s="30"/>
      <c r="D77" s="68"/>
      <c r="E77" s="68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</row>
    <row r="78" ht="15.75" customHeight="1">
      <c r="A78" s="30"/>
      <c r="B78" s="30"/>
      <c r="D78" s="68"/>
      <c r="E78" s="68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</row>
    <row r="79" ht="15.75" customHeight="1">
      <c r="A79" s="30"/>
      <c r="B79" s="30"/>
      <c r="D79" s="68"/>
      <c r="E79" s="68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</row>
    <row r="80" ht="15.75" customHeight="1">
      <c r="A80" s="30"/>
      <c r="B80" s="30"/>
      <c r="D80" s="68"/>
      <c r="E80" s="68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</row>
    <row r="81" ht="15.75" customHeight="1">
      <c r="A81" s="30"/>
      <c r="B81" s="30"/>
      <c r="D81" s="68"/>
      <c r="E81" s="68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</row>
    <row r="82" ht="15.75" customHeight="1">
      <c r="A82" s="30"/>
      <c r="B82" s="30"/>
      <c r="D82" s="68"/>
      <c r="E82" s="68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</row>
    <row r="83" ht="15.75" customHeight="1">
      <c r="A83" s="30"/>
      <c r="B83" s="30"/>
      <c r="D83" s="68"/>
      <c r="E83" s="68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</row>
    <row r="84" ht="15.75" customHeight="1">
      <c r="A84" s="30"/>
      <c r="B84" s="30"/>
      <c r="D84" s="68"/>
      <c r="E84" s="68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</row>
    <row r="85" ht="15.75" customHeight="1">
      <c r="A85" s="30"/>
      <c r="B85" s="30"/>
      <c r="D85" s="68"/>
      <c r="E85" s="68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</row>
    <row r="86" ht="15.75" customHeight="1">
      <c r="A86" s="30"/>
      <c r="B86" s="30"/>
      <c r="D86" s="68"/>
      <c r="E86" s="68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</row>
    <row r="87" ht="15.75" customHeight="1">
      <c r="A87" s="30"/>
      <c r="B87" s="30"/>
      <c r="D87" s="68"/>
      <c r="E87" s="68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</row>
    <row r="88" ht="15.75" customHeight="1">
      <c r="A88" s="30"/>
      <c r="B88" s="30"/>
      <c r="D88" s="68"/>
      <c r="E88" s="68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</row>
    <row r="89" ht="15.75" customHeight="1">
      <c r="A89" s="30"/>
      <c r="B89" s="30"/>
      <c r="D89" s="68"/>
      <c r="E89" s="68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</row>
    <row r="90" ht="15.75" customHeight="1">
      <c r="A90" s="30"/>
      <c r="B90" s="30"/>
      <c r="D90" s="68"/>
      <c r="E90" s="68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</row>
    <row r="91" ht="15.75" customHeight="1">
      <c r="A91" s="30"/>
      <c r="B91" s="30"/>
      <c r="D91" s="68"/>
      <c r="E91" s="68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</row>
    <row r="92" ht="15.75" customHeight="1">
      <c r="A92" s="30"/>
      <c r="B92" s="30"/>
      <c r="D92" s="68"/>
      <c r="E92" s="68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</row>
    <row r="93" ht="15.75" customHeight="1">
      <c r="A93" s="30"/>
      <c r="B93" s="30"/>
      <c r="D93" s="68"/>
      <c r="E93" s="68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</row>
    <row r="94" ht="15.75" customHeight="1">
      <c r="A94" s="30"/>
      <c r="B94" s="30"/>
      <c r="D94" s="68"/>
      <c r="E94" s="68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</row>
    <row r="95" ht="15.75" customHeight="1">
      <c r="A95" s="30"/>
      <c r="B95" s="30"/>
      <c r="D95" s="68"/>
      <c r="E95" s="68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</row>
    <row r="96" ht="15.75" customHeight="1">
      <c r="A96" s="30"/>
      <c r="B96" s="30"/>
      <c r="D96" s="68"/>
      <c r="E96" s="68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</row>
    <row r="97" ht="15.75" customHeight="1">
      <c r="A97" s="30"/>
      <c r="B97" s="30"/>
      <c r="D97" s="68"/>
      <c r="E97" s="68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</row>
    <row r="98" ht="15.75" customHeight="1">
      <c r="A98" s="30"/>
      <c r="B98" s="30"/>
      <c r="D98" s="68"/>
      <c r="E98" s="68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</row>
    <row r="99" ht="15.75" customHeight="1">
      <c r="A99" s="30"/>
      <c r="B99" s="30"/>
      <c r="D99" s="68"/>
      <c r="E99" s="68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</row>
    <row r="100" ht="15.75" customHeight="1">
      <c r="A100" s="30"/>
      <c r="B100" s="30"/>
      <c r="D100" s="68"/>
      <c r="E100" s="68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</row>
    <row r="101" ht="15.75" customHeight="1">
      <c r="A101" s="30"/>
      <c r="B101" s="30"/>
      <c r="D101" s="68"/>
      <c r="E101" s="68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</row>
    <row r="102" ht="15.75" customHeight="1">
      <c r="A102" s="30"/>
      <c r="B102" s="30"/>
      <c r="D102" s="68"/>
      <c r="E102" s="68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</row>
    <row r="103" ht="15.75" customHeight="1">
      <c r="A103" s="30"/>
      <c r="B103" s="30"/>
      <c r="D103" s="68"/>
      <c r="E103" s="68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</row>
    <row r="104" ht="15.75" customHeight="1">
      <c r="A104" s="30"/>
      <c r="B104" s="30"/>
      <c r="D104" s="68"/>
      <c r="E104" s="68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</row>
    <row r="105" ht="15.75" customHeight="1">
      <c r="A105" s="30"/>
      <c r="B105" s="30"/>
      <c r="D105" s="68"/>
      <c r="E105" s="68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</row>
    <row r="106" ht="15.75" customHeight="1">
      <c r="A106" s="30"/>
      <c r="B106" s="30"/>
      <c r="D106" s="68"/>
      <c r="E106" s="68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</row>
    <row r="107" ht="15.75" customHeight="1">
      <c r="A107" s="30"/>
      <c r="B107" s="30"/>
      <c r="D107" s="68"/>
      <c r="E107" s="68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</row>
    <row r="108" ht="15.75" customHeight="1">
      <c r="A108" s="30"/>
      <c r="B108" s="30"/>
      <c r="D108" s="68"/>
      <c r="E108" s="68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</row>
    <row r="109" ht="15.75" customHeight="1">
      <c r="A109" s="30"/>
      <c r="B109" s="30"/>
      <c r="D109" s="68"/>
      <c r="E109" s="68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</row>
    <row r="110" ht="15.75" customHeight="1">
      <c r="A110" s="30"/>
      <c r="B110" s="30"/>
      <c r="D110" s="68"/>
      <c r="E110" s="68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</row>
    <row r="111" ht="15.75" customHeight="1">
      <c r="A111" s="30"/>
      <c r="B111" s="30"/>
      <c r="D111" s="68"/>
      <c r="E111" s="68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</row>
    <row r="112" ht="15.75" customHeight="1">
      <c r="A112" s="30"/>
      <c r="B112" s="30"/>
      <c r="D112" s="68"/>
      <c r="E112" s="68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</row>
    <row r="113" ht="15.75" customHeight="1">
      <c r="A113" s="30"/>
      <c r="B113" s="30"/>
      <c r="D113" s="68"/>
      <c r="E113" s="68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</row>
    <row r="114" ht="15.75" customHeight="1">
      <c r="A114" s="30"/>
      <c r="B114" s="30"/>
      <c r="D114" s="68"/>
      <c r="E114" s="68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</row>
    <row r="115" ht="15.75" customHeight="1">
      <c r="A115" s="30"/>
      <c r="B115" s="30"/>
      <c r="D115" s="68"/>
      <c r="E115" s="68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</row>
    <row r="116" ht="15.75" customHeight="1">
      <c r="A116" s="30"/>
      <c r="B116" s="30"/>
      <c r="D116" s="68"/>
      <c r="E116" s="68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</row>
    <row r="117" ht="15.75" customHeight="1">
      <c r="A117" s="30"/>
      <c r="B117" s="30"/>
      <c r="D117" s="68"/>
      <c r="E117" s="68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</row>
    <row r="118" ht="15.75" customHeight="1">
      <c r="A118" s="30"/>
      <c r="B118" s="30"/>
      <c r="D118" s="68"/>
      <c r="E118" s="68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</row>
    <row r="119" ht="15.75" customHeight="1">
      <c r="A119" s="30"/>
      <c r="B119" s="30"/>
      <c r="D119" s="68"/>
      <c r="E119" s="68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</row>
    <row r="120" ht="15.75" customHeight="1">
      <c r="A120" s="30"/>
      <c r="B120" s="30"/>
      <c r="D120" s="68"/>
      <c r="E120" s="68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</row>
    <row r="121" ht="15.75" customHeight="1">
      <c r="A121" s="30"/>
      <c r="B121" s="30"/>
      <c r="D121" s="68"/>
      <c r="E121" s="68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</row>
    <row r="122" ht="15.75" customHeight="1">
      <c r="A122" s="30"/>
      <c r="B122" s="30"/>
      <c r="D122" s="68"/>
      <c r="E122" s="68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</row>
    <row r="123" ht="15.75" customHeight="1">
      <c r="A123" s="30"/>
      <c r="B123" s="30"/>
      <c r="D123" s="68"/>
      <c r="E123" s="68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</row>
    <row r="124" ht="15.75" customHeight="1">
      <c r="A124" s="30"/>
      <c r="B124" s="30"/>
      <c r="D124" s="68"/>
      <c r="E124" s="68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</row>
    <row r="125" ht="15.75" customHeight="1">
      <c r="A125" s="30"/>
      <c r="B125" s="30"/>
      <c r="D125" s="68"/>
      <c r="E125" s="68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</row>
    <row r="126" ht="15.75" customHeight="1">
      <c r="A126" s="30"/>
      <c r="B126" s="30"/>
      <c r="D126" s="68"/>
      <c r="E126" s="68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</row>
    <row r="127" ht="15.75" customHeight="1">
      <c r="A127" s="30"/>
      <c r="B127" s="30"/>
      <c r="D127" s="68"/>
      <c r="E127" s="68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</row>
    <row r="128" ht="15.75" customHeight="1">
      <c r="A128" s="30"/>
      <c r="B128" s="30"/>
      <c r="D128" s="68"/>
      <c r="E128" s="68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</row>
    <row r="129" ht="15.75" customHeight="1">
      <c r="A129" s="30"/>
      <c r="B129" s="30"/>
      <c r="D129" s="68"/>
      <c r="E129" s="68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</row>
    <row r="130" ht="15.75" customHeight="1">
      <c r="A130" s="30"/>
      <c r="B130" s="30"/>
      <c r="D130" s="68"/>
      <c r="E130" s="68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</row>
    <row r="131" ht="15.75" customHeight="1">
      <c r="A131" s="30"/>
      <c r="B131" s="30"/>
      <c r="D131" s="68"/>
      <c r="E131" s="68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</row>
    <row r="132" ht="15.75" customHeight="1">
      <c r="A132" s="30"/>
      <c r="B132" s="30"/>
      <c r="D132" s="68"/>
      <c r="E132" s="68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</row>
    <row r="133" ht="15.75" customHeight="1">
      <c r="A133" s="30"/>
      <c r="B133" s="30"/>
      <c r="D133" s="68"/>
      <c r="E133" s="68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</row>
    <row r="134" ht="15.75" customHeight="1">
      <c r="A134" s="30"/>
      <c r="B134" s="30"/>
      <c r="D134" s="68"/>
      <c r="E134" s="68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</row>
    <row r="135" ht="15.75" customHeight="1">
      <c r="A135" s="30"/>
      <c r="B135" s="30"/>
      <c r="D135" s="68"/>
      <c r="E135" s="68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</row>
    <row r="136" ht="15.75" customHeight="1">
      <c r="A136" s="30"/>
      <c r="B136" s="30"/>
      <c r="D136" s="68"/>
      <c r="E136" s="68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</row>
    <row r="137" ht="15.75" customHeight="1">
      <c r="A137" s="30"/>
      <c r="B137" s="30"/>
      <c r="D137" s="68"/>
      <c r="E137" s="68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</row>
    <row r="138" ht="15.75" customHeight="1">
      <c r="A138" s="30"/>
      <c r="B138" s="30"/>
      <c r="D138" s="68"/>
      <c r="E138" s="68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</row>
    <row r="139" ht="15.75" customHeight="1">
      <c r="A139" s="30"/>
      <c r="B139" s="30"/>
      <c r="D139" s="68"/>
      <c r="E139" s="68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</row>
    <row r="140" ht="15.75" customHeight="1">
      <c r="A140" s="30"/>
      <c r="B140" s="30"/>
      <c r="D140" s="68"/>
      <c r="E140" s="68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</row>
    <row r="141" ht="15.75" customHeight="1">
      <c r="A141" s="30"/>
      <c r="B141" s="30"/>
      <c r="D141" s="68"/>
      <c r="E141" s="68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</row>
    <row r="142" ht="15.75" customHeight="1">
      <c r="A142" s="30"/>
      <c r="B142" s="30"/>
      <c r="D142" s="68"/>
      <c r="E142" s="68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</row>
    <row r="143" ht="15.75" customHeight="1">
      <c r="A143" s="30"/>
      <c r="B143" s="30"/>
      <c r="D143" s="68"/>
      <c r="E143" s="68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</row>
    <row r="144" ht="15.75" customHeight="1">
      <c r="A144" s="30"/>
      <c r="B144" s="30"/>
      <c r="D144" s="68"/>
      <c r="E144" s="68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</row>
    <row r="145" ht="15.75" customHeight="1">
      <c r="A145" s="30"/>
      <c r="B145" s="30"/>
      <c r="D145" s="68"/>
      <c r="E145" s="68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</row>
    <row r="146" ht="15.75" customHeight="1">
      <c r="A146" s="30"/>
      <c r="B146" s="30"/>
      <c r="D146" s="68"/>
      <c r="E146" s="68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</row>
    <row r="147" ht="15.75" customHeight="1">
      <c r="A147" s="30"/>
      <c r="B147" s="30"/>
      <c r="D147" s="68"/>
      <c r="E147" s="68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</row>
    <row r="148" ht="15.75" customHeight="1">
      <c r="A148" s="30"/>
      <c r="B148" s="30"/>
      <c r="D148" s="68"/>
      <c r="E148" s="68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</row>
    <row r="149" ht="15.75" customHeight="1">
      <c r="A149" s="30"/>
      <c r="B149" s="30"/>
      <c r="D149" s="68"/>
      <c r="E149" s="68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</row>
    <row r="150" ht="15.75" customHeight="1">
      <c r="A150" s="30"/>
      <c r="B150" s="30"/>
      <c r="D150" s="68"/>
      <c r="E150" s="68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</row>
    <row r="151" ht="15.75" customHeight="1">
      <c r="A151" s="30"/>
      <c r="B151" s="30"/>
      <c r="D151" s="68"/>
      <c r="E151" s="68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</row>
    <row r="152" ht="15.75" customHeight="1">
      <c r="A152" s="30"/>
      <c r="B152" s="30"/>
      <c r="D152" s="68"/>
      <c r="E152" s="68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</row>
    <row r="153" ht="15.75" customHeight="1">
      <c r="A153" s="30"/>
      <c r="B153" s="30"/>
      <c r="D153" s="68"/>
      <c r="E153" s="68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</row>
    <row r="154" ht="15.75" customHeight="1">
      <c r="A154" s="30"/>
      <c r="B154" s="30"/>
      <c r="D154" s="68"/>
      <c r="E154" s="68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</row>
    <row r="155" ht="15.75" customHeight="1">
      <c r="A155" s="30"/>
      <c r="B155" s="30"/>
      <c r="D155" s="68"/>
      <c r="E155" s="68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</row>
    <row r="156" ht="15.75" customHeight="1">
      <c r="A156" s="30"/>
      <c r="B156" s="30"/>
      <c r="D156" s="68"/>
      <c r="E156" s="68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</row>
    <row r="157" ht="15.75" customHeight="1">
      <c r="A157" s="30"/>
      <c r="B157" s="30"/>
      <c r="D157" s="68"/>
      <c r="E157" s="68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</row>
    <row r="158" ht="15.75" customHeight="1">
      <c r="A158" s="30"/>
      <c r="B158" s="30"/>
      <c r="D158" s="68"/>
      <c r="E158" s="68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</row>
    <row r="159" ht="15.75" customHeight="1">
      <c r="A159" s="30"/>
      <c r="B159" s="30"/>
      <c r="D159" s="68"/>
      <c r="E159" s="68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</row>
    <row r="160" ht="15.75" customHeight="1">
      <c r="A160" s="30"/>
      <c r="B160" s="30"/>
      <c r="D160" s="68"/>
      <c r="E160" s="68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</row>
    <row r="161" ht="15.75" customHeight="1">
      <c r="A161" s="30"/>
      <c r="B161" s="30"/>
      <c r="D161" s="68"/>
      <c r="E161" s="68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</row>
    <row r="162" ht="15.75" customHeight="1">
      <c r="A162" s="30"/>
      <c r="B162" s="30"/>
      <c r="D162" s="68"/>
      <c r="E162" s="68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</row>
    <row r="163" ht="15.75" customHeight="1">
      <c r="A163" s="30"/>
      <c r="B163" s="30"/>
      <c r="D163" s="68"/>
      <c r="E163" s="68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</row>
    <row r="164" ht="15.75" customHeight="1">
      <c r="A164" s="30"/>
      <c r="B164" s="30"/>
      <c r="D164" s="68"/>
      <c r="E164" s="68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</row>
    <row r="165" ht="15.75" customHeight="1">
      <c r="A165" s="30"/>
      <c r="B165" s="30"/>
      <c r="D165" s="68"/>
      <c r="E165" s="68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</row>
    <row r="166" ht="15.75" customHeight="1">
      <c r="A166" s="30"/>
      <c r="B166" s="30"/>
      <c r="D166" s="68"/>
      <c r="E166" s="68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</row>
    <row r="167" ht="15.75" customHeight="1">
      <c r="A167" s="30"/>
      <c r="B167" s="30"/>
      <c r="D167" s="68"/>
      <c r="E167" s="68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</row>
    <row r="168" ht="15.75" customHeight="1">
      <c r="A168" s="30"/>
      <c r="B168" s="30"/>
      <c r="D168" s="68"/>
      <c r="E168" s="68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</row>
    <row r="169" ht="15.75" customHeight="1">
      <c r="A169" s="30"/>
      <c r="B169" s="30"/>
      <c r="D169" s="68"/>
      <c r="E169" s="68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</row>
    <row r="170" ht="15.75" customHeight="1">
      <c r="A170" s="30"/>
      <c r="B170" s="30"/>
      <c r="D170" s="68"/>
      <c r="E170" s="68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</row>
    <row r="171" ht="15.75" customHeight="1">
      <c r="A171" s="30"/>
      <c r="B171" s="30"/>
      <c r="D171" s="68"/>
      <c r="E171" s="68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</row>
    <row r="172" ht="15.75" customHeight="1">
      <c r="A172" s="30"/>
      <c r="B172" s="30"/>
      <c r="D172" s="68"/>
      <c r="E172" s="68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</row>
    <row r="173" ht="15.75" customHeight="1">
      <c r="A173" s="30"/>
      <c r="B173" s="30"/>
      <c r="D173" s="68"/>
      <c r="E173" s="68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</row>
    <row r="174" ht="15.75" customHeight="1">
      <c r="A174" s="30"/>
      <c r="B174" s="30"/>
      <c r="D174" s="68"/>
      <c r="E174" s="68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</row>
    <row r="175" ht="15.75" customHeight="1">
      <c r="A175" s="30"/>
      <c r="B175" s="30"/>
      <c r="D175" s="68"/>
      <c r="E175" s="68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</row>
    <row r="176" ht="15.75" customHeight="1">
      <c r="A176" s="30"/>
      <c r="B176" s="30"/>
      <c r="D176" s="68"/>
      <c r="E176" s="68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</row>
    <row r="177" ht="15.75" customHeight="1">
      <c r="A177" s="30"/>
      <c r="B177" s="30"/>
      <c r="D177" s="68"/>
      <c r="E177" s="68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</row>
    <row r="178" ht="15.75" customHeight="1">
      <c r="A178" s="30"/>
      <c r="B178" s="30"/>
      <c r="D178" s="68"/>
      <c r="E178" s="68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</row>
    <row r="179" ht="15.75" customHeight="1">
      <c r="A179" s="30"/>
      <c r="B179" s="30"/>
      <c r="D179" s="68"/>
      <c r="E179" s="68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</row>
    <row r="180" ht="15.75" customHeight="1">
      <c r="A180" s="30"/>
      <c r="B180" s="30"/>
      <c r="D180" s="68"/>
      <c r="E180" s="68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</row>
    <row r="181" ht="15.75" customHeight="1">
      <c r="A181" s="30"/>
      <c r="B181" s="30"/>
      <c r="D181" s="68"/>
      <c r="E181" s="68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</row>
    <row r="182" ht="15.75" customHeight="1">
      <c r="A182" s="30"/>
      <c r="B182" s="30"/>
      <c r="D182" s="68"/>
      <c r="E182" s="68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</row>
    <row r="183" ht="15.75" customHeight="1">
      <c r="A183" s="30"/>
      <c r="B183" s="30"/>
      <c r="D183" s="68"/>
      <c r="E183" s="68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</row>
    <row r="184" ht="15.75" customHeight="1">
      <c r="A184" s="30"/>
      <c r="B184" s="30"/>
      <c r="D184" s="68"/>
      <c r="E184" s="68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</row>
    <row r="185" ht="15.75" customHeight="1">
      <c r="A185" s="30"/>
      <c r="B185" s="30"/>
      <c r="D185" s="68"/>
      <c r="E185" s="68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</row>
    <row r="186" ht="15.75" customHeight="1">
      <c r="A186" s="30"/>
      <c r="B186" s="30"/>
      <c r="D186" s="68"/>
      <c r="E186" s="68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</row>
    <row r="187" ht="15.75" customHeight="1">
      <c r="A187" s="30"/>
      <c r="B187" s="30"/>
      <c r="D187" s="68"/>
      <c r="E187" s="68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</row>
    <row r="188" ht="15.75" customHeight="1">
      <c r="A188" s="30"/>
      <c r="B188" s="30"/>
      <c r="D188" s="68"/>
      <c r="E188" s="68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</row>
    <row r="189" ht="15.75" customHeight="1">
      <c r="A189" s="30"/>
      <c r="B189" s="30"/>
      <c r="D189" s="68"/>
      <c r="E189" s="68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</row>
    <row r="190" ht="15.75" customHeight="1">
      <c r="A190" s="30"/>
      <c r="B190" s="30"/>
      <c r="D190" s="68"/>
      <c r="E190" s="68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</row>
    <row r="191" ht="15.75" customHeight="1">
      <c r="A191" s="30"/>
      <c r="B191" s="30"/>
      <c r="D191" s="68"/>
      <c r="E191" s="68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</row>
    <row r="192" ht="15.75" customHeight="1">
      <c r="A192" s="30"/>
      <c r="B192" s="30"/>
      <c r="D192" s="68"/>
      <c r="E192" s="68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</row>
    <row r="193" ht="15.75" customHeight="1">
      <c r="A193" s="30"/>
      <c r="B193" s="30"/>
      <c r="D193" s="68"/>
      <c r="E193" s="68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</row>
    <row r="194" ht="15.75" customHeight="1">
      <c r="A194" s="30"/>
      <c r="B194" s="30"/>
      <c r="D194" s="68"/>
      <c r="E194" s="68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</row>
    <row r="195" ht="15.75" customHeight="1">
      <c r="A195" s="30"/>
      <c r="B195" s="30"/>
      <c r="D195" s="68"/>
      <c r="E195" s="68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</row>
    <row r="196" ht="15.75" customHeight="1">
      <c r="A196" s="30"/>
      <c r="B196" s="30"/>
      <c r="D196" s="68"/>
      <c r="E196" s="68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</row>
    <row r="197" ht="15.75" customHeight="1">
      <c r="A197" s="30"/>
      <c r="B197" s="30"/>
      <c r="D197" s="68"/>
      <c r="E197" s="68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</row>
    <row r="198" ht="15.75" customHeight="1">
      <c r="A198" s="30"/>
      <c r="B198" s="30"/>
      <c r="D198" s="68"/>
      <c r="E198" s="68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</row>
    <row r="199" ht="15.75" customHeight="1">
      <c r="A199" s="30"/>
      <c r="B199" s="30"/>
      <c r="D199" s="68"/>
      <c r="E199" s="68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</row>
    <row r="200" ht="15.75" customHeight="1">
      <c r="A200" s="30"/>
      <c r="B200" s="30"/>
      <c r="D200" s="68"/>
      <c r="E200" s="68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</row>
    <row r="201" ht="15.75" customHeight="1">
      <c r="A201" s="30"/>
      <c r="B201" s="30"/>
      <c r="D201" s="68"/>
      <c r="E201" s="68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</row>
    <row r="202" ht="15.75" customHeight="1">
      <c r="A202" s="30"/>
      <c r="B202" s="30"/>
      <c r="D202" s="68"/>
      <c r="E202" s="68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</row>
    <row r="203" ht="15.75" customHeight="1">
      <c r="A203" s="30"/>
      <c r="B203" s="30"/>
      <c r="D203" s="68"/>
      <c r="E203" s="68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</row>
    <row r="204" ht="15.75" customHeight="1">
      <c r="A204" s="30"/>
      <c r="B204" s="30"/>
      <c r="D204" s="68"/>
      <c r="E204" s="68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</row>
    <row r="205" ht="15.75" customHeight="1">
      <c r="A205" s="30"/>
      <c r="B205" s="30"/>
      <c r="D205" s="68"/>
      <c r="E205" s="68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</row>
    <row r="206" ht="15.75" customHeight="1">
      <c r="A206" s="30"/>
      <c r="B206" s="30"/>
      <c r="D206" s="68"/>
      <c r="E206" s="68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</row>
    <row r="207" ht="15.75" customHeight="1">
      <c r="A207" s="30"/>
      <c r="B207" s="30"/>
      <c r="D207" s="68"/>
      <c r="E207" s="68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</row>
    <row r="208" ht="15.75" customHeight="1">
      <c r="A208" s="30"/>
      <c r="B208" s="30"/>
      <c r="D208" s="68"/>
      <c r="E208" s="68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</row>
    <row r="209" ht="15.75" customHeight="1">
      <c r="A209" s="30"/>
      <c r="B209" s="30"/>
      <c r="D209" s="68"/>
      <c r="E209" s="68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</row>
    <row r="210" ht="15.75" customHeight="1">
      <c r="A210" s="30"/>
      <c r="B210" s="30"/>
      <c r="D210" s="68"/>
      <c r="E210" s="68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</row>
    <row r="211" ht="15.75" customHeight="1">
      <c r="A211" s="30"/>
      <c r="B211" s="30"/>
      <c r="D211" s="68"/>
      <c r="E211" s="68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</row>
    <row r="212" ht="15.75" customHeight="1">
      <c r="A212" s="30"/>
      <c r="B212" s="30"/>
      <c r="D212" s="68"/>
      <c r="E212" s="68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</row>
    <row r="213" ht="15.75" customHeight="1">
      <c r="A213" s="30"/>
      <c r="B213" s="30"/>
      <c r="D213" s="68"/>
      <c r="E213" s="68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</row>
    <row r="214" ht="15.75" customHeight="1">
      <c r="A214" s="30"/>
      <c r="B214" s="30"/>
      <c r="D214" s="68"/>
      <c r="E214" s="68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</row>
    <row r="215" ht="15.75" customHeight="1">
      <c r="A215" s="30"/>
      <c r="B215" s="30"/>
      <c r="D215" s="68"/>
      <c r="E215" s="68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</row>
    <row r="216" ht="15.75" customHeight="1">
      <c r="A216" s="30"/>
      <c r="B216" s="30"/>
      <c r="D216" s="68"/>
      <c r="E216" s="68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</row>
    <row r="217" ht="15.75" customHeight="1">
      <c r="A217" s="30"/>
      <c r="B217" s="30"/>
      <c r="D217" s="68"/>
      <c r="E217" s="68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</row>
    <row r="218" ht="15.75" customHeight="1">
      <c r="A218" s="30"/>
      <c r="B218" s="30"/>
      <c r="D218" s="68"/>
      <c r="E218" s="68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</row>
    <row r="219" ht="15.75" customHeight="1">
      <c r="A219" s="30"/>
      <c r="B219" s="30"/>
      <c r="D219" s="68"/>
      <c r="E219" s="68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</row>
    <row r="220" ht="15.75" customHeight="1">
      <c r="A220" s="30"/>
      <c r="B220" s="30"/>
      <c r="D220" s="68"/>
      <c r="E220" s="68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</row>
    <row r="221" ht="15.75" customHeight="1">
      <c r="A221" s="30"/>
      <c r="B221" s="30"/>
      <c r="D221" s="68"/>
      <c r="E221" s="68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</row>
    <row r="222" ht="15.75" customHeight="1">
      <c r="A222" s="30"/>
      <c r="B222" s="30"/>
      <c r="D222" s="68"/>
      <c r="E222" s="68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</row>
    <row r="223" ht="15.75" customHeight="1">
      <c r="A223" s="30"/>
      <c r="B223" s="30"/>
      <c r="D223" s="68"/>
      <c r="E223" s="68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</row>
    <row r="224" ht="15.75" customHeight="1">
      <c r="A224" s="30"/>
      <c r="B224" s="30"/>
      <c r="D224" s="68"/>
      <c r="E224" s="68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</row>
    <row r="225" ht="15.75" customHeight="1">
      <c r="A225" s="30"/>
      <c r="B225" s="30"/>
      <c r="D225" s="68"/>
      <c r="E225" s="68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</row>
    <row r="226" ht="15.75" customHeight="1">
      <c r="A226" s="30"/>
      <c r="B226" s="30"/>
      <c r="D226" s="68"/>
      <c r="E226" s="68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</row>
    <row r="227" ht="15.75" customHeight="1">
      <c r="A227" s="30"/>
      <c r="B227" s="30"/>
      <c r="D227" s="68"/>
      <c r="E227" s="68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</row>
    <row r="228" ht="15.75" customHeight="1">
      <c r="A228" s="30"/>
      <c r="B228" s="30"/>
      <c r="D228" s="68"/>
      <c r="E228" s="68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D6:D25">
    <cfRule type="containsText" dxfId="1" priority="1" operator="containsText" text="Totalmente">
      <formula>NOT(ISERROR(SEARCH(("Totalmente"),(D6))))</formula>
    </cfRule>
  </conditionalFormatting>
  <conditionalFormatting sqref="D6:D25">
    <cfRule type="containsText" dxfId="2" priority="2" operator="containsText" text="Pouco">
      <formula>NOT(ISERROR(SEARCH(("Pouco"),(D6))))</formula>
    </cfRule>
  </conditionalFormatting>
  <conditionalFormatting sqref="D6:D25">
    <cfRule type="containsText" dxfId="3" priority="3" operator="containsText" text="Sem">
      <formula>NOT(ISERROR(SEARCH(("Sem"),(D6))))</formula>
    </cfRule>
  </conditionalFormatting>
  <conditionalFormatting sqref="D6:E25">
    <cfRule type="containsText" dxfId="0" priority="4" operator="containsText" text="Muito">
      <formula>NOT(ISERROR(SEARCH(("Muito"),(D6))))</formula>
    </cfRule>
  </conditionalFormatting>
  <conditionalFormatting sqref="E6:E25">
    <cfRule type="containsText" dxfId="1" priority="5" operator="containsText" text="Pra">
      <formula>NOT(ISERROR(SEARCH(("Pra"),(E6))))</formula>
    </cfRule>
  </conditionalFormatting>
  <conditionalFormatting sqref="E6:E25">
    <cfRule type="containsText" dxfId="2" priority="6" operator="containsText" text="Pouco">
      <formula>NOT(ISERROR(SEARCH(("Pouco"),(E6))))</formula>
    </cfRule>
  </conditionalFormatting>
  <conditionalFormatting sqref="E6:E25">
    <cfRule type="containsText" dxfId="3" priority="7" operator="containsText" text="Nada">
      <formula>NOT(ISERROR(SEARCH(("Nada"),(E6))))</formula>
    </cfRule>
  </conditionalFormatting>
  <conditionalFormatting sqref="F6:F25">
    <cfRule type="containsText" dxfId="1" priority="8" operator="containsText" text="Piora muito">
      <formula>NOT(ISERROR(SEARCH(("Piora muito"),(F6))))</formula>
    </cfRule>
  </conditionalFormatting>
  <conditionalFormatting sqref="F6:F25">
    <cfRule type="containsText" dxfId="0" priority="9" operator="containsText" text="Piora">
      <formula>NOT(ISERROR(SEARCH(("Piora"),(F6))))</formula>
    </cfRule>
  </conditionalFormatting>
  <conditionalFormatting sqref="F6:F25">
    <cfRule type="containsText" dxfId="3" priority="10" operator="containsText" text="Melhora muito">
      <formula>NOT(ISERROR(SEARCH(("Melhora muito"),(F6))))</formula>
    </cfRule>
  </conditionalFormatting>
  <conditionalFormatting sqref="F6:F25">
    <cfRule type="containsText" dxfId="2" priority="11" operator="containsText" text="Melhora">
      <formula>NOT(ISERROR(SEARCH(("Melhora"),(F6))))</formula>
    </cfRule>
  </conditionalFormatting>
  <conditionalFormatting sqref="G6:G25">
    <cfRule type="containsText" dxfId="0" priority="12" operator="containsText" text="POUCA IMPORTÂNCIA">
      <formula>NOT(ISERROR(SEARCH(("POUCA IMPORTÂNCIA"),(G6))))</formula>
    </cfRule>
  </conditionalFormatting>
  <conditionalFormatting sqref="G6:G25">
    <cfRule type="containsText" dxfId="1" priority="13" operator="containsText" text="TOTALMENTE SEM IMPORTÂNCIA">
      <formula>NOT(ISERROR(SEARCH(("TOTALMENTE SEM IMPORTÂNCIA"),(G6))))</formula>
    </cfRule>
  </conditionalFormatting>
  <conditionalFormatting sqref="G6:G25">
    <cfRule type="containsText" dxfId="2" priority="14" operator="containsText" text="MUITO IMPORTANTE">
      <formula>NOT(ISERROR(SEARCH(("MUITO IMPORTANTE"),(G6))))</formula>
    </cfRule>
  </conditionalFormatting>
  <conditionalFormatting sqref="G6:G25">
    <cfRule type="containsText" dxfId="3" priority="15" operator="containsText" text="TOTALMENTE IMPORTANTE">
      <formula>NOT(ISERROR(SEARCH(("TOTALMENTE IMPORTANTE"),(G6))))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4.29"/>
    <col customWidth="1" min="3" max="3" width="71.43"/>
    <col customWidth="1" min="4" max="4" width="11.43"/>
    <col customWidth="1" min="5" max="5" width="74.71"/>
    <col customWidth="1" min="6" max="6" width="14.71"/>
    <col customWidth="1" min="7" max="11" width="10.43"/>
    <col customWidth="1" min="12" max="12" width="20.43"/>
    <col customWidth="1" min="13" max="26" width="8.71"/>
    <col customWidth="1" min="27" max="28" width="9.29"/>
    <col customWidth="1" min="29" max="31" width="14.43"/>
  </cols>
  <sheetData>
    <row r="1" ht="33.75" customHeight="1">
      <c r="A1" s="92"/>
      <c r="B1" s="30"/>
      <c r="C1" s="93"/>
      <c r="D1" s="94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ht="37.5" customHeight="1">
      <c r="A2" s="95"/>
      <c r="B2" s="30"/>
      <c r="C2" s="95"/>
      <c r="D2" s="94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ht="41.25" customHeight="1">
      <c r="A3" s="95"/>
      <c r="B3" s="30"/>
      <c r="C3" s="30"/>
      <c r="D3" s="96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ht="30.0" customHeight="1">
      <c r="A4" s="95"/>
      <c r="B4" s="30"/>
      <c r="C4" s="97" t="s">
        <v>79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ht="30.0" customHeight="1">
      <c r="A5" s="95"/>
      <c r="B5" s="60"/>
      <c r="C5" s="98" t="s">
        <v>80</v>
      </c>
      <c r="D5" s="99">
        <f>SUM(D6:D10)</f>
        <v>0</v>
      </c>
      <c r="E5" s="100" t="s">
        <v>81</v>
      </c>
      <c r="F5" s="101">
        <f>SUM(F6:F10)</f>
        <v>0</v>
      </c>
      <c r="G5" s="60"/>
      <c r="H5" s="30">
        <v>2.0E-4</v>
      </c>
      <c r="I5" s="67">
        <f t="shared" ref="I5:I24" si="1">H5+L5</f>
        <v>0.0002</v>
      </c>
      <c r="J5" s="102" t="str">
        <f t="shared" ref="J5:J9" si="2">C6</f>
        <v/>
      </c>
      <c r="K5" s="60" t="s">
        <v>82</v>
      </c>
      <c r="L5" s="103">
        <f t="shared" ref="L5:L9" si="3">D6</f>
        <v>0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30"/>
      <c r="AD5" s="30"/>
      <c r="AE5" s="30"/>
    </row>
    <row r="6" ht="37.5" customHeight="1">
      <c r="A6" s="95"/>
      <c r="B6" s="104">
        <v>1.0</v>
      </c>
      <c r="C6" s="105" t="str">
        <f>IF(ISERROR(VLOOKUP(LARGE('Forças'!$M$6:$M$24,$B6),'Forças'!$M$6:$N$24,2,FALSE)),"",VLOOKUP(LARGE('Forças'!$M$6:$M$24,$B6),'Forças'!$M$6:$N$24,2,FALSE))</f>
        <v/>
      </c>
      <c r="D6" s="106">
        <f>IF(ISERROR(VLOOKUP(LARGE('Forças'!$M$6:$M$24,$B6),'Forças'!$M$6:$O$24,3,FALSE)),0,VLOOKUP(LARGE('Forças'!$M$6:$M$24,$B6),'Forças'!$M$6:$O$24,3,FALSE))</f>
        <v>0</v>
      </c>
      <c r="E6" s="107" t="str">
        <f>IF(ISERROR(VLOOKUP(LARGE(Fraquezas!$M$6:$M$24,$B6),Fraquezas!$M$6:$N$24,2,FALSE)),"",VLOOKUP(LARGE(Fraquezas!$M$6:$M$24,$B6),Fraquezas!$M$6:$N$24,2,FALSE))</f>
        <v/>
      </c>
      <c r="F6" s="108">
        <f>IF(ISERROR(VLOOKUP(LARGE(Fraquezas!$M$6:$M$24,$B6),Fraquezas!$M$6:$O$24,3,FALSE)),0,VLOOKUP(LARGE(Fraquezas!$M$6:$M$24,$B6),Fraquezas!$M$6:$O$24,3,FALSE))</f>
        <v>0</v>
      </c>
      <c r="G6" s="60"/>
      <c r="H6" s="30">
        <v>1.9E-4</v>
      </c>
      <c r="I6" s="67">
        <f t="shared" si="1"/>
        <v>0.00019</v>
      </c>
      <c r="J6" s="102" t="str">
        <f t="shared" si="2"/>
        <v/>
      </c>
      <c r="K6" s="60" t="s">
        <v>82</v>
      </c>
      <c r="L6" s="103">
        <f t="shared" si="3"/>
        <v>0</v>
      </c>
      <c r="M6" s="60"/>
      <c r="N6" s="104"/>
      <c r="O6" s="104"/>
      <c r="P6" s="104"/>
      <c r="Q6" s="60"/>
      <c r="R6" s="104"/>
      <c r="S6" s="104"/>
      <c r="T6" s="104"/>
      <c r="U6" s="104"/>
      <c r="V6" s="104"/>
      <c r="W6" s="104"/>
      <c r="X6" s="104"/>
      <c r="Y6" s="104"/>
      <c r="Z6" s="104"/>
      <c r="AA6" s="60"/>
      <c r="AB6" s="104"/>
      <c r="AC6" s="30"/>
      <c r="AD6" s="30"/>
      <c r="AE6" s="30"/>
    </row>
    <row r="7" ht="25.5" customHeight="1">
      <c r="A7" s="95"/>
      <c r="B7" s="60">
        <v>2.0</v>
      </c>
      <c r="C7" s="105" t="str">
        <f>IF(ISERROR(VLOOKUP(LARGE('Forças'!$M$6:$M$24,$B7),'Forças'!$M$6:$N$24,2,FALSE)),"",VLOOKUP(LARGE('Forças'!$M$6:$M$24,$B7),'Forças'!$M$6:$N$24,2,FALSE))</f>
        <v/>
      </c>
      <c r="D7" s="106">
        <f>IF(ISERROR(VLOOKUP(LARGE('Forças'!$M$6:$M$24,$B7),'Forças'!$M$6:$O$24,3,FALSE)),0,VLOOKUP(LARGE('Forças'!$M$6:$M$24,$B7),'Forças'!$M$6:$O$24,3,FALSE))</f>
        <v>0</v>
      </c>
      <c r="E7" s="107" t="str">
        <f>IF(ISERROR(VLOOKUP(LARGE(Fraquezas!$M$6:$M$24,$B7),Fraquezas!$M$6:$N$24,2,FALSE)),"",VLOOKUP(LARGE(Fraquezas!$M$6:$M$24,$B7),Fraquezas!$M$6:$N$24,2,FALSE))</f>
        <v/>
      </c>
      <c r="F7" s="108">
        <f>IF(ISERROR(VLOOKUP(LARGE(Fraquezas!$M$6:$M$24,$B7),Fraquezas!$M$6:$O$24,3,FALSE)),0,VLOOKUP(LARGE(Fraquezas!$M$6:$M$24,$B7),Fraquezas!$M$6:$O$24,3,FALSE))</f>
        <v>0</v>
      </c>
      <c r="G7" s="60"/>
      <c r="H7" s="30">
        <v>1.8E-4</v>
      </c>
      <c r="I7" s="67">
        <f t="shared" si="1"/>
        <v>0.00018</v>
      </c>
      <c r="J7" s="102" t="str">
        <f t="shared" si="2"/>
        <v/>
      </c>
      <c r="K7" s="60" t="s">
        <v>82</v>
      </c>
      <c r="L7" s="103">
        <f t="shared" si="3"/>
        <v>0</v>
      </c>
      <c r="M7" s="60"/>
      <c r="N7" s="104"/>
      <c r="O7" s="104"/>
      <c r="P7" s="104"/>
      <c r="Q7" s="60"/>
      <c r="R7" s="104"/>
      <c r="S7" s="104"/>
      <c r="T7" s="104"/>
      <c r="U7" s="104"/>
      <c r="V7" s="104"/>
      <c r="W7" s="104"/>
      <c r="X7" s="104"/>
      <c r="Y7" s="104"/>
      <c r="Z7" s="104"/>
      <c r="AA7" s="60"/>
      <c r="AB7" s="60"/>
      <c r="AC7" s="30"/>
      <c r="AD7" s="30"/>
      <c r="AE7" s="30"/>
    </row>
    <row r="8" ht="25.5" customHeight="1">
      <c r="A8" s="95"/>
      <c r="B8" s="104">
        <v>3.0</v>
      </c>
      <c r="C8" s="105" t="str">
        <f>IF(ISERROR(VLOOKUP(LARGE('Forças'!$M$6:$M$24,$B8),'Forças'!$M$6:$N$24,2,FALSE)),"",VLOOKUP(LARGE('Forças'!$M$6:$M$24,$B8),'Forças'!$M$6:$N$24,2,FALSE))</f>
        <v/>
      </c>
      <c r="D8" s="106">
        <f>IF(ISERROR(VLOOKUP(LARGE('Forças'!$M$6:$M$24,$B8),'Forças'!$M$6:$O$24,3,FALSE)),0,VLOOKUP(LARGE('Forças'!$M$6:$M$24,$B8),'Forças'!$M$6:$O$24,3,FALSE))</f>
        <v>0</v>
      </c>
      <c r="E8" s="107" t="str">
        <f>IF(ISERROR(VLOOKUP(LARGE(Fraquezas!$M$6:$M$24,$B8),Fraquezas!$M$6:$N$24,2,FALSE)),"",VLOOKUP(LARGE(Fraquezas!$M$6:$M$24,$B8),Fraquezas!$M$6:$N$24,2,FALSE))</f>
        <v/>
      </c>
      <c r="F8" s="108">
        <f>IF(ISERROR(VLOOKUP(LARGE(Fraquezas!$M$6:$M$24,$B8),Fraquezas!$M$6:$O$24,3,FALSE)),0,VLOOKUP(LARGE(Fraquezas!$M$6:$M$24,$B8),Fraquezas!$M$6:$O$24,3,FALSE))</f>
        <v>0</v>
      </c>
      <c r="G8" s="60"/>
      <c r="H8" s="30">
        <v>1.7E-4</v>
      </c>
      <c r="I8" s="67">
        <f t="shared" si="1"/>
        <v>0.00017</v>
      </c>
      <c r="J8" s="102" t="str">
        <f t="shared" si="2"/>
        <v/>
      </c>
      <c r="K8" s="60" t="s">
        <v>82</v>
      </c>
      <c r="L8" s="103">
        <f t="shared" si="3"/>
        <v>0</v>
      </c>
      <c r="M8" s="60"/>
      <c r="N8" s="104"/>
      <c r="O8" s="104"/>
      <c r="P8" s="104"/>
      <c r="Q8" s="60"/>
      <c r="R8" s="104"/>
      <c r="S8" s="104"/>
      <c r="T8" s="104"/>
      <c r="U8" s="104"/>
      <c r="V8" s="104"/>
      <c r="W8" s="104"/>
      <c r="X8" s="104"/>
      <c r="Y8" s="104"/>
      <c r="Z8" s="104"/>
      <c r="AA8" s="60"/>
      <c r="AB8" s="60"/>
      <c r="AC8" s="30"/>
      <c r="AD8" s="30"/>
      <c r="AE8" s="30"/>
    </row>
    <row r="9" ht="25.5" customHeight="1">
      <c r="A9" s="95"/>
      <c r="B9" s="60">
        <v>4.0</v>
      </c>
      <c r="C9" s="105" t="str">
        <f>IF(ISERROR(VLOOKUP(LARGE('Forças'!$M$6:$M$24,$B9),'Forças'!$M$6:$N$24,2,FALSE)),"",VLOOKUP(LARGE('Forças'!$M$6:$M$24,$B9),'Forças'!$M$6:$N$24,2,FALSE))</f>
        <v/>
      </c>
      <c r="D9" s="106">
        <f>IF(ISERROR(VLOOKUP(LARGE('Forças'!$M$6:$M$24,$B9),'Forças'!$M$6:$O$24,3,FALSE)),0,VLOOKUP(LARGE('Forças'!$M$6:$M$24,$B9),'Forças'!$M$6:$O$24,3,FALSE))</f>
        <v>0</v>
      </c>
      <c r="E9" s="107" t="str">
        <f>IF(ISERROR(VLOOKUP(LARGE(Fraquezas!$M$6:$M$24,$B9),Fraquezas!$M$6:$N$24,2,FALSE)),"",VLOOKUP(LARGE(Fraquezas!$M$6:$M$24,$B9),Fraquezas!$M$6:$N$24,2,FALSE))</f>
        <v/>
      </c>
      <c r="F9" s="108">
        <f>IF(ISERROR(VLOOKUP(LARGE(Fraquezas!$M$6:$M$24,$B9),Fraquezas!$M$6:$O$24,3,FALSE)),0,VLOOKUP(LARGE(Fraquezas!$M$6:$M$24,$B9),Fraquezas!$M$6:$O$24,3,FALSE))</f>
        <v>0</v>
      </c>
      <c r="G9" s="60"/>
      <c r="H9" s="30">
        <v>1.6E-4</v>
      </c>
      <c r="I9" s="30">
        <f t="shared" si="1"/>
        <v>0.00016</v>
      </c>
      <c r="J9" s="60" t="str">
        <f t="shared" si="2"/>
        <v/>
      </c>
      <c r="K9" s="60" t="s">
        <v>82</v>
      </c>
      <c r="L9" s="60">
        <f t="shared" si="3"/>
        <v>0</v>
      </c>
      <c r="M9" s="60"/>
      <c r="N9" s="104"/>
      <c r="O9" s="104"/>
      <c r="P9" s="104"/>
      <c r="Q9" s="60"/>
      <c r="R9" s="104"/>
      <c r="S9" s="104"/>
      <c r="T9" s="104"/>
      <c r="U9" s="104"/>
      <c r="V9" s="104"/>
      <c r="W9" s="104"/>
      <c r="X9" s="104"/>
      <c r="Y9" s="104"/>
      <c r="Z9" s="104"/>
      <c r="AA9" s="60"/>
      <c r="AB9" s="60"/>
      <c r="AC9" s="30"/>
      <c r="AD9" s="30"/>
      <c r="AE9" s="30"/>
    </row>
    <row r="10" ht="25.5" customHeight="1">
      <c r="A10" s="95"/>
      <c r="B10" s="104">
        <v>5.0</v>
      </c>
      <c r="C10" s="109" t="str">
        <f>IF(ISERROR(VLOOKUP(LARGE('Forças'!$M$6:$M$24,$B10),'Forças'!$M$6:$N$24,2,FALSE)),"",VLOOKUP(LARGE('Forças'!$M$6:$M$24,$B10),'Forças'!$M$6:$N$24,2,FALSE))</f>
        <v/>
      </c>
      <c r="D10" s="110">
        <f>IF(ISERROR(VLOOKUP(LARGE('Forças'!$M$6:$M$24,$B10),'Forças'!$M$6:$O$24,3,FALSE)),0,VLOOKUP(LARGE('Forças'!$M$6:$M$24,$B10),'Forças'!$M$6:$O$24,3,FALSE))</f>
        <v>0</v>
      </c>
      <c r="E10" s="107" t="str">
        <f>IF(ISERROR(VLOOKUP(LARGE(Fraquezas!$M$6:$M$24,$B10),Fraquezas!$M$6:$N$24,2,FALSE)),"",VLOOKUP(LARGE(Fraquezas!$M$6:$M$24,$B10),Fraquezas!$M$6:$N$24,2,FALSE))</f>
        <v/>
      </c>
      <c r="F10" s="108">
        <f>IF(ISERROR(VLOOKUP(LARGE(Fraquezas!$M$6:$M$24,$B10),Fraquezas!$M$6:$O$24,3,FALSE)),0,VLOOKUP(LARGE(Fraquezas!$M$6:$M$24,$B10),Fraquezas!$M$6:$O$24,3,FALSE))</f>
        <v>0</v>
      </c>
      <c r="G10" s="60"/>
      <c r="H10" s="30">
        <v>1.5E-4</v>
      </c>
      <c r="I10" s="67">
        <f t="shared" si="1"/>
        <v>0.00015</v>
      </c>
      <c r="J10" s="102" t="str">
        <f t="shared" ref="J10:J14" si="4">E6</f>
        <v/>
      </c>
      <c r="K10" s="60" t="s">
        <v>83</v>
      </c>
      <c r="L10" s="103">
        <f t="shared" ref="L10:L14" si="5">F6</f>
        <v>0</v>
      </c>
      <c r="M10" s="60"/>
      <c r="N10" s="104"/>
      <c r="O10" s="104"/>
      <c r="P10" s="104"/>
      <c r="Q10" s="60"/>
      <c r="R10" s="104"/>
      <c r="S10" s="104"/>
      <c r="T10" s="104"/>
      <c r="U10" s="104"/>
      <c r="V10" s="104"/>
      <c r="W10" s="104"/>
      <c r="X10" s="104"/>
      <c r="Y10" s="104"/>
      <c r="Z10" s="104"/>
      <c r="AA10" s="60"/>
      <c r="AB10" s="60"/>
      <c r="AC10" s="30"/>
      <c r="AD10" s="30"/>
      <c r="AE10" s="30"/>
    </row>
    <row r="11" ht="15.0" customHeight="1">
      <c r="A11" s="95"/>
      <c r="B11" s="30"/>
      <c r="D11" s="111"/>
      <c r="G11" s="30"/>
      <c r="H11" s="30">
        <v>1.4E-4</v>
      </c>
      <c r="I11" s="67">
        <f t="shared" si="1"/>
        <v>0.00014</v>
      </c>
      <c r="J11" s="102" t="str">
        <f t="shared" si="4"/>
        <v/>
      </c>
      <c r="K11" s="60" t="s">
        <v>83</v>
      </c>
      <c r="L11" s="103">
        <f t="shared" si="5"/>
        <v>0</v>
      </c>
      <c r="M11" s="30"/>
      <c r="N11" s="30"/>
      <c r="O11" s="30"/>
      <c r="P11" s="30"/>
      <c r="Q11" s="30"/>
      <c r="R11" s="30"/>
      <c r="S11" s="30"/>
      <c r="T11" s="30"/>
      <c r="U11" s="54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ht="30.0" customHeight="1">
      <c r="A12" s="95"/>
      <c r="B12" s="30"/>
      <c r="C12" s="97" t="s">
        <v>84</v>
      </c>
      <c r="D12" s="111"/>
      <c r="G12" s="30"/>
      <c r="H12" s="30">
        <v>1.3E-4</v>
      </c>
      <c r="I12" s="67">
        <f t="shared" si="1"/>
        <v>0.00013</v>
      </c>
      <c r="J12" s="102" t="str">
        <f t="shared" si="4"/>
        <v/>
      </c>
      <c r="K12" s="60" t="s">
        <v>83</v>
      </c>
      <c r="L12" s="103">
        <f t="shared" si="5"/>
        <v>0</v>
      </c>
      <c r="M12" s="30"/>
      <c r="N12" s="30"/>
      <c r="O12" s="30"/>
      <c r="P12" s="30"/>
      <c r="Q12" s="30"/>
      <c r="R12" s="30"/>
      <c r="S12" s="30"/>
      <c r="T12" s="30"/>
      <c r="U12" s="54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ht="30.0" customHeight="1">
      <c r="A13" s="95"/>
      <c r="B13" s="30"/>
      <c r="C13" s="98" t="s">
        <v>85</v>
      </c>
      <c r="D13" s="99">
        <f>SUM(D14:D18)</f>
        <v>0</v>
      </c>
      <c r="E13" s="100" t="s">
        <v>86</v>
      </c>
      <c r="F13" s="101">
        <f>SUM(F14:F18)</f>
        <v>0</v>
      </c>
      <c r="G13" s="30"/>
      <c r="H13" s="30">
        <v>1.2E-4</v>
      </c>
      <c r="I13" s="67">
        <f t="shared" si="1"/>
        <v>0.00012</v>
      </c>
      <c r="J13" s="102" t="str">
        <f t="shared" si="4"/>
        <v/>
      </c>
      <c r="K13" s="60" t="s">
        <v>83</v>
      </c>
      <c r="L13" s="103">
        <f t="shared" si="5"/>
        <v>0</v>
      </c>
      <c r="M13" s="30"/>
      <c r="N13" s="30"/>
      <c r="O13" s="30"/>
      <c r="P13" s="30"/>
      <c r="Q13" s="30"/>
      <c r="R13" s="30"/>
      <c r="S13" s="30"/>
      <c r="T13" s="30"/>
      <c r="U13" s="54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ht="25.5" customHeight="1">
      <c r="A14" s="95"/>
      <c r="B14" s="104">
        <v>1.0</v>
      </c>
      <c r="C14" s="105" t="str">
        <f>IF(ISERROR(VLOOKUP(LARGE(Oportunidades!$M$6:$M$25,$B14),Oportunidades!$M$6:$N$25,2,FALSE)),"",VLOOKUP(LARGE(Oportunidades!$M$6:$M$25,$B14),Oportunidades!$M$6:$N$25,2,FALSE))</f>
        <v/>
      </c>
      <c r="D14" s="106">
        <f>IF(ISERROR(VLOOKUP(LARGE(Oportunidades!$M$6:$M$25,$B14),Oportunidades!$M$6:$O$25,3,FALSE)),0,VLOOKUP(LARGE(Oportunidades!$M$6:$M$25,$B14),Oportunidades!$M$6:$O$25,3,FALSE))</f>
        <v>0</v>
      </c>
      <c r="E14" s="107" t="str">
        <f>IF(ISERROR(VLOOKUP(LARGE('Ameaças'!$M$6:$M$25,$B14),'Ameaças'!$M$6:$N$25,2,FALSE)),"",VLOOKUP(LARGE('Ameaças'!$M$6:$M$25,$B14),'Ameaças'!$M$6:$N$25,2,FALSE))</f>
        <v/>
      </c>
      <c r="F14" s="108">
        <f>IF(ISERROR(VLOOKUP(LARGE('Ameaças'!$M$6:$M$25,$B14),'Ameaças'!$M$6:$O$25,3,FALSE)),0,VLOOKUP(LARGE('Ameaças'!$M$6:$M$25,$B14),'Ameaças'!$M$6:$O$25,3,FALSE))</f>
        <v>0</v>
      </c>
      <c r="G14" s="30"/>
      <c r="H14" s="30">
        <v>1.1E-4</v>
      </c>
      <c r="I14" s="67">
        <f t="shared" si="1"/>
        <v>0.00011</v>
      </c>
      <c r="J14" s="102" t="str">
        <f t="shared" si="4"/>
        <v/>
      </c>
      <c r="K14" s="60" t="s">
        <v>83</v>
      </c>
      <c r="L14" s="103">
        <f t="shared" si="5"/>
        <v>0</v>
      </c>
      <c r="M14" s="30"/>
      <c r="N14" s="30"/>
      <c r="O14" s="30"/>
      <c r="P14" s="30"/>
      <c r="Q14" s="30"/>
      <c r="R14" s="30"/>
      <c r="S14" s="30"/>
      <c r="T14" s="30"/>
      <c r="U14" s="54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 ht="25.5" customHeight="1">
      <c r="A15" s="95"/>
      <c r="B15" s="60">
        <v>2.0</v>
      </c>
      <c r="C15" s="105" t="str">
        <f>IF(ISERROR(VLOOKUP(LARGE(Oportunidades!$M$6:$M$25,$B15),Oportunidades!$M$6:$N$25,2,FALSE)),"",VLOOKUP(LARGE(Oportunidades!$M$6:$M$25,$B15),Oportunidades!$M$6:$N$25,2,FALSE))</f>
        <v/>
      </c>
      <c r="D15" s="106">
        <f>IF(ISERROR(VLOOKUP(LARGE(Oportunidades!$M$6:$M$25,$B15),Oportunidades!$M$6:$O$25,3,FALSE)),0,VLOOKUP(LARGE(Oportunidades!$M$6:$M$25,$B15),Oportunidades!$M$6:$O$25,3,FALSE))</f>
        <v>0</v>
      </c>
      <c r="E15" s="107" t="str">
        <f>IF(ISERROR(VLOOKUP(LARGE('Ameaças'!$M$6:$M$25,$B15),'Ameaças'!$M$6:$N$25,2,FALSE)),"",VLOOKUP(LARGE('Ameaças'!$M$6:$M$25,$B15),'Ameaças'!$M$6:$N$25,2,FALSE))</f>
        <v/>
      </c>
      <c r="F15" s="108">
        <f>IF(ISERROR(VLOOKUP(LARGE('Ameaças'!$M$6:$M$25,$B15),'Ameaças'!$M$6:$O$25,3,FALSE)),0,VLOOKUP(LARGE('Ameaças'!$M$6:$M$25,$B15),'Ameaças'!$M$6:$O$25,3,FALSE))</f>
        <v>0</v>
      </c>
      <c r="G15" s="30"/>
      <c r="H15" s="30">
        <v>1.0E-4</v>
      </c>
      <c r="I15" s="67">
        <f t="shared" si="1"/>
        <v>0.0001</v>
      </c>
      <c r="J15" s="54" t="str">
        <f t="shared" ref="J15:J19" si="6">C14</f>
        <v/>
      </c>
      <c r="K15" s="30" t="s">
        <v>87</v>
      </c>
      <c r="L15" s="67">
        <f t="shared" ref="L15:L19" si="7">D14</f>
        <v>0</v>
      </c>
      <c r="M15" s="30"/>
      <c r="N15" s="30"/>
      <c r="O15" s="30"/>
      <c r="P15" s="30"/>
      <c r="Q15" s="30"/>
      <c r="R15" s="30"/>
      <c r="S15" s="30"/>
      <c r="T15" s="30"/>
      <c r="U15" s="54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ht="25.5" customHeight="1">
      <c r="A16" s="95"/>
      <c r="B16" s="104">
        <v>3.0</v>
      </c>
      <c r="C16" s="105" t="str">
        <f>IF(ISERROR(VLOOKUP(LARGE(Oportunidades!$M$6:$M$25,$B16),Oportunidades!$M$6:$N$25,2,FALSE)),"",VLOOKUP(LARGE(Oportunidades!$M$6:$M$25,$B16),Oportunidades!$M$6:$N$25,2,FALSE))</f>
        <v/>
      </c>
      <c r="D16" s="106">
        <f>IF(ISERROR(VLOOKUP(LARGE(Oportunidades!$M$6:$M$25,$B16),Oportunidades!$M$6:$O$25,3,FALSE)),0,VLOOKUP(LARGE(Oportunidades!$M$6:$M$25,$B16),Oportunidades!$M$6:$O$25,3,FALSE))</f>
        <v>0</v>
      </c>
      <c r="E16" s="112" t="str">
        <f>IF(ISERROR(VLOOKUP(LARGE('Ameaças'!$M$6:$M$25,$B16),'Ameaças'!$M$6:$N$25,2,FALSE)),"",VLOOKUP(LARGE('Ameaças'!$M$6:$M$25,$B16),'Ameaças'!$M$6:$N$25,2,FALSE))</f>
        <v/>
      </c>
      <c r="F16" s="113">
        <f>IF(ISERROR(VLOOKUP(LARGE('Ameaças'!$M$6:$M$25,$B16),'Ameaças'!$M$6:$O$25,3,FALSE)),0,VLOOKUP(LARGE('Ameaças'!$M$6:$M$25,$B16),'Ameaças'!$M$6:$O$25,3,FALSE))</f>
        <v>0</v>
      </c>
      <c r="G16" s="30"/>
      <c r="H16" s="30">
        <v>9.0E-5</v>
      </c>
      <c r="I16" s="67">
        <f t="shared" si="1"/>
        <v>0.00009</v>
      </c>
      <c r="J16" s="54" t="str">
        <f t="shared" si="6"/>
        <v/>
      </c>
      <c r="K16" s="30" t="s">
        <v>87</v>
      </c>
      <c r="L16" s="67">
        <f t="shared" si="7"/>
        <v>0</v>
      </c>
      <c r="M16" s="30"/>
      <c r="N16" s="30"/>
      <c r="O16" s="30"/>
      <c r="P16" s="30"/>
      <c r="Q16" s="30"/>
      <c r="R16" s="30"/>
      <c r="S16" s="30"/>
      <c r="T16" s="30"/>
      <c r="U16" s="54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ht="25.5" customHeight="1">
      <c r="A17" s="95"/>
      <c r="B17" s="60">
        <v>4.0</v>
      </c>
      <c r="C17" s="105" t="str">
        <f>IF(ISERROR(VLOOKUP(LARGE(Oportunidades!$M$6:$M$25,$B17),Oportunidades!$M$6:$N$25,2,FALSE)),"",VLOOKUP(LARGE(Oportunidades!$M$6:$M$25,$B17),Oportunidades!$M$6:$N$25,2,FALSE))</f>
        <v/>
      </c>
      <c r="D17" s="106">
        <f>IF(ISERROR(VLOOKUP(LARGE(Oportunidades!$M$6:$M$25,$B17),Oportunidades!$M$6:$O$25,3,FALSE)),0,VLOOKUP(LARGE(Oportunidades!$M$6:$M$25,$B17),Oportunidades!$M$6:$O$25,3,FALSE))</f>
        <v>0</v>
      </c>
      <c r="E17" s="112" t="str">
        <f>IF(ISERROR(VLOOKUP(LARGE('Ameaças'!$M$6:$M$25,$B17),'Ameaças'!$M$6:$N$25,2,FALSE)),"",VLOOKUP(LARGE('Ameaças'!$M$6:$M$25,$B17),'Ameaças'!$M$6:$N$25,2,FALSE))</f>
        <v/>
      </c>
      <c r="F17" s="113">
        <f>IF(ISERROR(VLOOKUP(LARGE('Ameaças'!$M$6:$M$25,$B17),'Ameaças'!$M$6:$O$25,3,FALSE)),0,VLOOKUP(LARGE('Ameaças'!$M$6:$M$25,$B17),'Ameaças'!$M$6:$O$25,3,FALSE))</f>
        <v>0</v>
      </c>
      <c r="G17" s="30"/>
      <c r="H17" s="30">
        <v>8.0E-5</v>
      </c>
      <c r="I17" s="67">
        <f t="shared" si="1"/>
        <v>0.00008</v>
      </c>
      <c r="J17" s="54" t="str">
        <f t="shared" si="6"/>
        <v/>
      </c>
      <c r="K17" s="30" t="s">
        <v>87</v>
      </c>
      <c r="L17" s="67">
        <f t="shared" si="7"/>
        <v>0</v>
      </c>
      <c r="M17" s="30"/>
      <c r="N17" s="30"/>
      <c r="O17" s="30"/>
      <c r="P17" s="30"/>
      <c r="Q17" s="30"/>
      <c r="R17" s="30"/>
      <c r="S17" s="30"/>
      <c r="T17" s="30"/>
      <c r="U17" s="54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ht="25.5" customHeight="1">
      <c r="A18" s="95"/>
      <c r="B18" s="104">
        <v>5.0</v>
      </c>
      <c r="C18" s="105" t="str">
        <f>IF(ISERROR(VLOOKUP(LARGE(Oportunidades!$M$6:$M$25,$B18),Oportunidades!$M$6:$N$25,2,FALSE)),"",VLOOKUP(LARGE(Oportunidades!$M$6:$M$25,$B18),Oportunidades!$M$6:$N$25,2,FALSE))</f>
        <v/>
      </c>
      <c r="D18" s="106">
        <f>IF(ISERROR(VLOOKUP(LARGE(Oportunidades!$M$6:$M$25,$B18),Oportunidades!$M$6:$O$25,3,FALSE)),0,VLOOKUP(LARGE(Oportunidades!$M$6:$M$25,$B18),Oportunidades!$M$6:$O$25,3,FALSE))</f>
        <v>0</v>
      </c>
      <c r="E18" s="112" t="str">
        <f>IF(ISERROR(VLOOKUP(LARGE('Ameaças'!$M$6:$M$25,$B18),'Ameaças'!$M$6:$N$25,2,FALSE)),"",VLOOKUP(LARGE('Ameaças'!$M$6:$M$25,$B18),'Ameaças'!$M$6:$N$25,2,FALSE))</f>
        <v/>
      </c>
      <c r="F18" s="113">
        <f>IF(ISERROR(VLOOKUP(LARGE('Ameaças'!$M$6:$M$25,$B18),'Ameaças'!$M$6:$O$25,3,FALSE)),0,VLOOKUP(LARGE('Ameaças'!$M$6:$M$25,$B18),'Ameaças'!$M$6:$O$25,3,FALSE))</f>
        <v>0</v>
      </c>
      <c r="G18" s="30"/>
      <c r="H18" s="30">
        <v>7.0E-5</v>
      </c>
      <c r="I18" s="67">
        <f t="shared" si="1"/>
        <v>0.00007</v>
      </c>
      <c r="J18" s="54" t="str">
        <f t="shared" si="6"/>
        <v/>
      </c>
      <c r="K18" s="30" t="s">
        <v>87</v>
      </c>
      <c r="L18" s="67">
        <f t="shared" si="7"/>
        <v>0</v>
      </c>
      <c r="M18" s="30"/>
      <c r="N18" s="30"/>
      <c r="O18" s="30"/>
      <c r="P18" s="30"/>
      <c r="Q18" s="30"/>
      <c r="R18" s="30"/>
      <c r="S18" s="30"/>
      <c r="T18" s="30"/>
      <c r="U18" s="54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ht="30.0" customHeight="1">
      <c r="A19" s="95"/>
      <c r="B19" s="30"/>
      <c r="C19" s="30"/>
      <c r="D19" s="96"/>
      <c r="E19" s="30"/>
      <c r="F19" s="30"/>
      <c r="G19" s="30"/>
      <c r="H19" s="30">
        <v>6.0E-5</v>
      </c>
      <c r="I19" s="67">
        <f t="shared" si="1"/>
        <v>0.00006</v>
      </c>
      <c r="J19" s="54" t="str">
        <f t="shared" si="6"/>
        <v/>
      </c>
      <c r="K19" s="30" t="s">
        <v>87</v>
      </c>
      <c r="L19" s="67">
        <f t="shared" si="7"/>
        <v>0</v>
      </c>
      <c r="M19" s="30"/>
      <c r="N19" s="30"/>
      <c r="O19" s="30"/>
      <c r="P19" s="30"/>
      <c r="Q19" s="30"/>
      <c r="R19" s="30"/>
      <c r="S19" s="30"/>
      <c r="T19" s="30"/>
      <c r="U19" s="54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 ht="30.0" customHeight="1">
      <c r="A20" s="95"/>
      <c r="B20" s="30"/>
      <c r="C20" s="30"/>
      <c r="D20" s="96"/>
      <c r="E20" s="30"/>
      <c r="F20" s="30"/>
      <c r="G20" s="30"/>
      <c r="H20" s="30">
        <v>5.0E-5</v>
      </c>
      <c r="I20" s="67">
        <f t="shared" si="1"/>
        <v>0.00005</v>
      </c>
      <c r="J20" s="54" t="str">
        <f t="shared" ref="J20:J24" si="8">E14</f>
        <v/>
      </c>
      <c r="K20" s="30" t="s">
        <v>88</v>
      </c>
      <c r="L20" s="67">
        <f t="shared" ref="L20:L24" si="9">F14</f>
        <v>0</v>
      </c>
      <c r="M20" s="30"/>
      <c r="N20" s="30"/>
      <c r="O20" s="30"/>
      <c r="P20" s="30"/>
      <c r="Q20" s="30"/>
      <c r="R20" s="30"/>
      <c r="S20" s="30"/>
      <c r="T20" s="30"/>
      <c r="U20" s="54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30.0" customHeight="1">
      <c r="A21" s="95"/>
      <c r="B21" s="30"/>
      <c r="C21" s="30"/>
      <c r="D21" s="96"/>
      <c r="E21" s="30"/>
      <c r="F21" s="30"/>
      <c r="G21" s="30"/>
      <c r="H21" s="30">
        <v>4.0E-5</v>
      </c>
      <c r="I21" s="67">
        <f t="shared" si="1"/>
        <v>0.00004</v>
      </c>
      <c r="J21" s="54" t="str">
        <f t="shared" si="8"/>
        <v/>
      </c>
      <c r="K21" s="30" t="s">
        <v>88</v>
      </c>
      <c r="L21" s="67">
        <f t="shared" si="9"/>
        <v>0</v>
      </c>
      <c r="M21" s="30"/>
      <c r="N21" s="30"/>
      <c r="O21" s="30"/>
      <c r="P21" s="30"/>
      <c r="Q21" s="30"/>
      <c r="R21" s="30"/>
      <c r="S21" s="30"/>
      <c r="T21" s="30"/>
      <c r="U21" s="54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ht="14.25" customHeight="1">
      <c r="A22" s="95"/>
      <c r="B22" s="30"/>
      <c r="C22" s="30"/>
      <c r="D22" s="96"/>
      <c r="E22" s="30"/>
      <c r="F22" s="30"/>
      <c r="G22" s="30"/>
      <c r="H22" s="30">
        <v>3.0E-5</v>
      </c>
      <c r="I22" s="30">
        <f t="shared" si="1"/>
        <v>0.00003</v>
      </c>
      <c r="J22" s="30" t="str">
        <f t="shared" si="8"/>
        <v/>
      </c>
      <c r="K22" s="30" t="s">
        <v>88</v>
      </c>
      <c r="L22" s="30">
        <f t="shared" si="9"/>
        <v>0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ht="14.25" customHeight="1">
      <c r="A23" s="95"/>
      <c r="B23" s="30"/>
      <c r="C23" s="30"/>
      <c r="D23" s="96"/>
      <c r="E23" s="30"/>
      <c r="F23" s="30"/>
      <c r="G23" s="30"/>
      <c r="H23" s="30">
        <v>2.0E-5</v>
      </c>
      <c r="I23" s="30">
        <f t="shared" si="1"/>
        <v>0.00002</v>
      </c>
      <c r="J23" s="30" t="str">
        <f t="shared" si="8"/>
        <v/>
      </c>
      <c r="K23" s="30" t="s">
        <v>88</v>
      </c>
      <c r="L23" s="30">
        <f t="shared" si="9"/>
        <v>0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4.25" customHeight="1">
      <c r="A24" s="95"/>
      <c r="B24" s="30"/>
      <c r="C24" s="30"/>
      <c r="D24" s="96"/>
      <c r="E24" s="30"/>
      <c r="F24" s="30"/>
      <c r="G24" s="30"/>
      <c r="H24" s="30">
        <v>1.0E-5</v>
      </c>
      <c r="I24" s="30">
        <f t="shared" si="1"/>
        <v>0.00001</v>
      </c>
      <c r="J24" s="30" t="str">
        <f t="shared" si="8"/>
        <v/>
      </c>
      <c r="K24" s="30" t="s">
        <v>88</v>
      </c>
      <c r="L24" s="30">
        <f t="shared" si="9"/>
        <v>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ht="14.25" customHeight="1">
      <c r="A25" s="95"/>
      <c r="B25" s="30"/>
      <c r="C25" s="30"/>
      <c r="D25" s="96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ht="14.25" customHeight="1">
      <c r="A26" s="95"/>
      <c r="B26" s="30"/>
      <c r="C26" s="30"/>
      <c r="D26" s="114"/>
      <c r="E26" s="11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4.25" customHeight="1">
      <c r="A27" s="95"/>
      <c r="B27" s="30"/>
      <c r="C27" s="30"/>
      <c r="D27" s="114"/>
      <c r="E27" s="11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ht="14.25" customHeight="1">
      <c r="A28" s="95"/>
      <c r="B28" s="30"/>
      <c r="C28" s="30"/>
      <c r="D28" s="114"/>
      <c r="E28" s="11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ht="14.25" customHeight="1">
      <c r="A29" s="95"/>
      <c r="B29" s="30"/>
      <c r="C29" s="30"/>
      <c r="D29" s="114"/>
      <c r="E29" s="11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4.25" customHeight="1">
      <c r="A30" s="95"/>
      <c r="B30" s="30"/>
      <c r="C30" s="30"/>
      <c r="D30" s="114"/>
      <c r="E30" s="11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ht="14.25" customHeight="1">
      <c r="A31" s="95"/>
      <c r="B31" s="30"/>
      <c r="C31" s="30"/>
      <c r="D31" s="114"/>
      <c r="E31" s="11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ht="14.25" customHeight="1">
      <c r="A32" s="95"/>
      <c r="B32" s="30"/>
      <c r="C32" s="30"/>
      <c r="D32" s="114"/>
      <c r="E32" s="11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4.25" customHeight="1">
      <c r="A33" s="95"/>
      <c r="B33" s="30"/>
      <c r="C33" s="30"/>
      <c r="D33" s="114"/>
      <c r="E33" s="11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ht="14.25" customHeight="1">
      <c r="A34" s="95"/>
      <c r="B34" s="30"/>
      <c r="C34" s="30"/>
      <c r="D34" s="114"/>
      <c r="E34" s="11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t="14.25" customHeight="1">
      <c r="A35" s="95"/>
      <c r="B35" s="30"/>
      <c r="C35" s="30"/>
      <c r="D35" s="114"/>
      <c r="E35" s="11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ht="14.25" customHeight="1">
      <c r="A36" s="95"/>
      <c r="B36" s="30"/>
      <c r="C36" s="30"/>
      <c r="D36" s="114"/>
      <c r="E36" s="11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4.25" customHeight="1">
      <c r="A37" s="95"/>
      <c r="B37" s="30"/>
      <c r="C37" s="30"/>
      <c r="D37" s="114"/>
      <c r="E37" s="11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4.25" customHeight="1">
      <c r="A38" s="95"/>
      <c r="B38" s="30"/>
      <c r="C38" s="30"/>
      <c r="D38" s="114"/>
      <c r="E38" s="11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ht="14.25" customHeight="1">
      <c r="A39" s="95"/>
      <c r="B39" s="30"/>
      <c r="C39" s="30"/>
      <c r="D39" s="114"/>
      <c r="E39" s="11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ht="14.25" customHeight="1">
      <c r="A40" s="95"/>
      <c r="B40" s="30"/>
      <c r="C40" s="30"/>
      <c r="D40" s="114"/>
      <c r="E40" s="11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4.25" customHeight="1">
      <c r="A41" s="95"/>
      <c r="B41" s="30"/>
      <c r="C41" s="30"/>
      <c r="D41" s="114"/>
      <c r="E41" s="11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ht="14.25" customHeight="1">
      <c r="A42" s="95"/>
      <c r="B42" s="30"/>
      <c r="C42" s="30"/>
      <c r="D42" s="114"/>
      <c r="E42" s="11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ht="14.25" customHeight="1">
      <c r="A43" s="95"/>
      <c r="B43" s="30"/>
      <c r="C43" s="30"/>
      <c r="D43" s="114"/>
      <c r="E43" s="11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4.25" customHeight="1">
      <c r="A44" s="95"/>
      <c r="B44" s="30"/>
      <c r="C44" s="30"/>
      <c r="D44" s="114"/>
      <c r="E44" s="11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ht="14.25" customHeight="1">
      <c r="A45" s="95"/>
      <c r="B45" s="30"/>
      <c r="C45" s="30"/>
      <c r="D45" s="114"/>
      <c r="E45" s="11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ht="14.25" customHeight="1">
      <c r="A46" s="95"/>
      <c r="B46" s="30"/>
      <c r="C46" s="30"/>
      <c r="D46" s="114"/>
      <c r="E46" s="11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4.25" customHeight="1">
      <c r="A47" s="95"/>
      <c r="B47" s="30"/>
      <c r="C47" s="30"/>
      <c r="D47" s="114"/>
      <c r="E47" s="11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ht="14.25" customHeight="1">
      <c r="A48" s="95"/>
      <c r="B48" s="30"/>
      <c r="C48" s="30"/>
      <c r="D48" s="114"/>
      <c r="E48" s="11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 ht="14.25" customHeight="1">
      <c r="A49" s="95"/>
      <c r="B49" s="30"/>
      <c r="C49" s="30"/>
      <c r="D49" s="114"/>
      <c r="E49" s="11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4.25" customHeight="1">
      <c r="A50" s="95"/>
      <c r="B50" s="30"/>
      <c r="C50" s="30"/>
      <c r="D50" s="114"/>
      <c r="E50" s="11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 ht="14.25" customHeight="1">
      <c r="A51" s="95"/>
      <c r="B51" s="30"/>
      <c r="C51" s="30"/>
      <c r="D51" s="114"/>
      <c r="E51" s="11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ht="14.25" customHeight="1">
      <c r="A52" s="95"/>
      <c r="B52" s="30"/>
      <c r="C52" s="30"/>
      <c r="D52" s="114"/>
      <c r="E52" s="11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4.25" customHeight="1">
      <c r="A53" s="95"/>
      <c r="B53" s="30"/>
      <c r="C53" s="30"/>
      <c r="D53" s="114"/>
      <c r="E53" s="11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 ht="14.25" customHeight="1">
      <c r="A54" s="95"/>
      <c r="B54" s="30"/>
      <c r="C54" s="30"/>
      <c r="D54" s="114"/>
      <c r="E54" s="11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 ht="14.25" customHeight="1">
      <c r="A55" s="95"/>
      <c r="B55" s="30"/>
      <c r="C55" s="30"/>
      <c r="D55" s="114"/>
      <c r="E55" s="11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4.25" customHeight="1">
      <c r="A56" s="95"/>
      <c r="B56" s="30"/>
      <c r="C56" s="30"/>
      <c r="D56" s="114"/>
      <c r="E56" s="11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 ht="14.25" customHeight="1">
      <c r="A57" s="95"/>
      <c r="B57" s="30"/>
      <c r="C57" s="30"/>
      <c r="D57" s="114"/>
      <c r="E57" s="11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 ht="14.25" customHeight="1">
      <c r="A58" s="95"/>
      <c r="B58" s="30"/>
      <c r="C58" s="30"/>
      <c r="D58" s="114"/>
      <c r="E58" s="11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4.25" customHeight="1">
      <c r="A59" s="95"/>
      <c r="B59" s="30"/>
      <c r="C59" s="30"/>
      <c r="D59" s="114"/>
      <c r="E59" s="11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 ht="14.25" customHeight="1">
      <c r="A60" s="95"/>
      <c r="B60" s="30"/>
      <c r="C60" s="30"/>
      <c r="D60" s="114"/>
      <c r="E60" s="11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ht="14.25" customHeight="1">
      <c r="A61" s="95"/>
      <c r="B61" s="30"/>
      <c r="C61" s="30"/>
      <c r="D61" s="114"/>
      <c r="E61" s="11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4.25" customHeight="1">
      <c r="A62" s="95"/>
      <c r="B62" s="30"/>
      <c r="C62" s="30"/>
      <c r="D62" s="114"/>
      <c r="E62" s="11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ht="14.25" customHeight="1">
      <c r="A63" s="95"/>
      <c r="B63" s="30"/>
      <c r="C63" s="30"/>
      <c r="D63" s="114"/>
      <c r="E63" s="11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ht="14.25" customHeight="1">
      <c r="A64" s="95"/>
      <c r="B64" s="30"/>
      <c r="C64" s="30"/>
      <c r="D64" s="114"/>
      <c r="E64" s="11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4.25" customHeight="1">
      <c r="A65" s="95"/>
      <c r="B65" s="30"/>
      <c r="C65" s="30"/>
      <c r="D65" s="114"/>
      <c r="E65" s="11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 ht="14.25" customHeight="1">
      <c r="A66" s="95"/>
      <c r="B66" s="30"/>
      <c r="C66" s="30"/>
      <c r="D66" s="114"/>
      <c r="E66" s="11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 ht="14.25" customHeight="1">
      <c r="A67" s="95"/>
      <c r="B67" s="30"/>
      <c r="C67" s="30"/>
      <c r="D67" s="114"/>
      <c r="E67" s="11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4.25" customHeight="1">
      <c r="A68" s="95"/>
      <c r="B68" s="30"/>
      <c r="C68" s="30"/>
      <c r="D68" s="114"/>
      <c r="E68" s="11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ht="14.25" customHeight="1">
      <c r="A69" s="95"/>
      <c r="B69" s="30"/>
      <c r="C69" s="30"/>
      <c r="D69" s="114"/>
      <c r="E69" s="11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ht="14.25" customHeight="1">
      <c r="A70" s="95"/>
      <c r="B70" s="30"/>
      <c r="C70" s="30"/>
      <c r="D70" s="114"/>
      <c r="E70" s="11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4.25" customHeight="1">
      <c r="A71" s="95"/>
      <c r="B71" s="30"/>
      <c r="C71" s="30"/>
      <c r="D71" s="114"/>
      <c r="E71" s="11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 ht="14.25" customHeight="1">
      <c r="A72" s="95"/>
      <c r="B72" s="30"/>
      <c r="C72" s="30"/>
      <c r="D72" s="114"/>
      <c r="E72" s="11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 ht="14.25" customHeight="1">
      <c r="A73" s="95"/>
      <c r="B73" s="30"/>
      <c r="C73" s="30"/>
      <c r="D73" s="114"/>
      <c r="E73" s="11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 ht="14.25" customHeight="1">
      <c r="A74" s="95"/>
      <c r="B74" s="30"/>
      <c r="C74" s="30"/>
      <c r="D74" s="114"/>
      <c r="E74" s="11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 ht="14.25" customHeight="1">
      <c r="A75" s="95"/>
      <c r="B75" s="30"/>
      <c r="C75" s="30"/>
      <c r="D75" s="114"/>
      <c r="E75" s="11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 ht="14.25" customHeight="1">
      <c r="A76" s="95"/>
      <c r="B76" s="30"/>
      <c r="C76" s="30"/>
      <c r="D76" s="114"/>
      <c r="E76" s="11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 ht="14.25" customHeight="1">
      <c r="A77" s="95"/>
      <c r="B77" s="30"/>
      <c r="C77" s="30"/>
      <c r="D77" s="114"/>
      <c r="E77" s="11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 ht="14.25" customHeight="1">
      <c r="A78" s="95"/>
      <c r="B78" s="30"/>
      <c r="C78" s="30"/>
      <c r="D78" s="114"/>
      <c r="E78" s="11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 ht="14.25" customHeight="1">
      <c r="A79" s="95"/>
      <c r="B79" s="30"/>
      <c r="C79" s="30"/>
      <c r="D79" s="114"/>
      <c r="E79" s="11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 ht="14.25" customHeight="1">
      <c r="A80" s="95"/>
      <c r="B80" s="30"/>
      <c r="C80" s="30"/>
      <c r="D80" s="114"/>
      <c r="E80" s="11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 ht="14.25" customHeight="1">
      <c r="A81" s="95"/>
      <c r="B81" s="30"/>
      <c r="C81" s="30"/>
      <c r="D81" s="114"/>
      <c r="E81" s="11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ht="14.25" customHeight="1">
      <c r="A82" s="95"/>
      <c r="B82" s="30"/>
      <c r="C82" s="30"/>
      <c r="D82" s="114"/>
      <c r="E82" s="11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 ht="14.25" customHeight="1">
      <c r="A83" s="95"/>
      <c r="B83" s="30"/>
      <c r="C83" s="30"/>
      <c r="D83" s="114"/>
      <c r="E83" s="11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 ht="14.25" customHeight="1">
      <c r="A84" s="95"/>
      <c r="B84" s="30"/>
      <c r="C84" s="30"/>
      <c r="D84" s="114"/>
      <c r="E84" s="11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ht="14.25" customHeight="1">
      <c r="A85" s="95"/>
      <c r="B85" s="30"/>
      <c r="C85" s="30"/>
      <c r="D85" s="114"/>
      <c r="E85" s="11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ht="14.25" customHeight="1">
      <c r="A86" s="95"/>
      <c r="B86" s="30"/>
      <c r="C86" s="30"/>
      <c r="D86" s="114"/>
      <c r="E86" s="11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ht="14.25" customHeight="1">
      <c r="A87" s="95"/>
      <c r="B87" s="30"/>
      <c r="C87" s="30"/>
      <c r="D87" s="114"/>
      <c r="E87" s="11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 ht="14.25" customHeight="1">
      <c r="A88" s="95"/>
      <c r="B88" s="30"/>
      <c r="C88" s="30"/>
      <c r="D88" s="114"/>
      <c r="E88" s="11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ht="14.25" customHeight="1">
      <c r="A89" s="95"/>
      <c r="B89" s="30"/>
      <c r="C89" s="30"/>
      <c r="D89" s="114"/>
      <c r="E89" s="11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 ht="14.25" customHeight="1">
      <c r="A90" s="95"/>
      <c r="B90" s="30"/>
      <c r="C90" s="30"/>
      <c r="D90" s="114"/>
      <c r="E90" s="11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 ht="14.25" customHeight="1">
      <c r="A91" s="95"/>
      <c r="B91" s="30"/>
      <c r="C91" s="30"/>
      <c r="D91" s="114"/>
      <c r="E91" s="11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ht="14.25" customHeight="1">
      <c r="A92" s="95"/>
      <c r="B92" s="30"/>
      <c r="C92" s="30"/>
      <c r="D92" s="114"/>
      <c r="E92" s="11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ht="14.25" customHeight="1">
      <c r="A93" s="95"/>
      <c r="B93" s="30"/>
      <c r="C93" s="30"/>
      <c r="D93" s="114"/>
      <c r="E93" s="11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ht="14.25" customHeight="1">
      <c r="A94" s="95"/>
      <c r="B94" s="30"/>
      <c r="C94" s="30"/>
      <c r="D94" s="114"/>
      <c r="E94" s="11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ht="14.25" customHeight="1">
      <c r="A95" s="95"/>
      <c r="B95" s="30"/>
      <c r="C95" s="30"/>
      <c r="D95" s="114"/>
      <c r="E95" s="11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ht="14.25" customHeight="1">
      <c r="A96" s="95"/>
      <c r="B96" s="30"/>
      <c r="C96" s="30"/>
      <c r="D96" s="114"/>
      <c r="E96" s="11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 ht="14.25" customHeight="1">
      <c r="A97" s="95"/>
      <c r="B97" s="30"/>
      <c r="C97" s="30"/>
      <c r="D97" s="114"/>
      <c r="E97" s="11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ht="14.25" customHeight="1">
      <c r="A98" s="95"/>
      <c r="B98" s="30"/>
      <c r="C98" s="30"/>
      <c r="D98" s="114"/>
      <c r="E98" s="11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ht="14.25" customHeight="1">
      <c r="A99" s="95"/>
      <c r="B99" s="30"/>
      <c r="C99" s="30"/>
      <c r="D99" s="114"/>
      <c r="E99" s="11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 ht="14.25" customHeight="1">
      <c r="A100" s="95"/>
      <c r="B100" s="30"/>
      <c r="C100" s="30"/>
      <c r="D100" s="114"/>
      <c r="E100" s="11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ht="14.25" customHeight="1">
      <c r="A101" s="95"/>
      <c r="B101" s="30"/>
      <c r="C101" s="30"/>
      <c r="D101" s="114"/>
      <c r="E101" s="11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ht="14.25" customHeight="1">
      <c r="A102" s="95"/>
      <c r="B102" s="30"/>
      <c r="C102" s="30"/>
      <c r="D102" s="114"/>
      <c r="E102" s="11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 ht="14.25" customHeight="1">
      <c r="A103" s="95"/>
      <c r="B103" s="30"/>
      <c r="C103" s="30"/>
      <c r="D103" s="114"/>
      <c r="E103" s="11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ht="14.25" customHeight="1">
      <c r="A104" s="95"/>
      <c r="B104" s="30"/>
      <c r="C104" s="30"/>
      <c r="D104" s="114"/>
      <c r="E104" s="11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ht="14.25" customHeight="1">
      <c r="A105" s="95"/>
      <c r="B105" s="30"/>
      <c r="C105" s="30"/>
      <c r="D105" s="114"/>
      <c r="E105" s="11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 ht="14.25" customHeight="1">
      <c r="A106" s="95"/>
      <c r="B106" s="30"/>
      <c r="C106" s="30"/>
      <c r="D106" s="114"/>
      <c r="E106" s="11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ht="14.25" customHeight="1">
      <c r="A107" s="95"/>
      <c r="B107" s="30"/>
      <c r="C107" s="30"/>
      <c r="D107" s="114"/>
      <c r="E107" s="11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ht="14.25" customHeight="1">
      <c r="A108" s="95"/>
      <c r="B108" s="30"/>
      <c r="C108" s="30"/>
      <c r="D108" s="114"/>
      <c r="E108" s="11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 ht="14.25" customHeight="1">
      <c r="A109" s="95"/>
      <c r="B109" s="30"/>
      <c r="C109" s="30"/>
      <c r="D109" s="114"/>
      <c r="E109" s="11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ht="14.25" customHeight="1">
      <c r="A110" s="95"/>
      <c r="B110" s="30"/>
      <c r="C110" s="30"/>
      <c r="D110" s="114"/>
      <c r="E110" s="11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ht="14.25" customHeight="1">
      <c r="A111" s="95"/>
      <c r="B111" s="30"/>
      <c r="C111" s="30"/>
      <c r="D111" s="114"/>
      <c r="E111" s="11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 ht="14.25" customHeight="1">
      <c r="A112" s="95"/>
      <c r="B112" s="30"/>
      <c r="C112" s="30"/>
      <c r="D112" s="114"/>
      <c r="E112" s="11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ht="14.25" customHeight="1">
      <c r="A113" s="95"/>
      <c r="B113" s="30"/>
      <c r="C113" s="30"/>
      <c r="D113" s="114"/>
      <c r="E113" s="11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ht="14.25" customHeight="1">
      <c r="A114" s="95"/>
      <c r="B114" s="30"/>
      <c r="C114" s="30"/>
      <c r="D114" s="114"/>
      <c r="E114" s="11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 ht="14.25" customHeight="1">
      <c r="A115" s="95"/>
      <c r="B115" s="30"/>
      <c r="C115" s="30"/>
      <c r="D115" s="114"/>
      <c r="E115" s="11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ht="14.25" customHeight="1">
      <c r="A116" s="95"/>
      <c r="B116" s="30"/>
      <c r="C116" s="30"/>
      <c r="D116" s="114"/>
      <c r="E116" s="11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ht="14.25" customHeight="1">
      <c r="A117" s="95"/>
      <c r="B117" s="30"/>
      <c r="C117" s="30"/>
      <c r="D117" s="114"/>
      <c r="E117" s="11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 ht="14.25" customHeight="1">
      <c r="A118" s="95"/>
      <c r="B118" s="30"/>
      <c r="C118" s="30"/>
      <c r="D118" s="114"/>
      <c r="E118" s="11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ht="14.25" customHeight="1">
      <c r="A119" s="95"/>
      <c r="B119" s="30"/>
      <c r="C119" s="30"/>
      <c r="D119" s="114"/>
      <c r="E119" s="11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ht="14.25" customHeight="1">
      <c r="A120" s="95"/>
      <c r="B120" s="30"/>
      <c r="C120" s="30"/>
      <c r="D120" s="114"/>
      <c r="E120" s="11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 ht="14.25" customHeight="1">
      <c r="A121" s="95"/>
      <c r="B121" s="30"/>
      <c r="C121" s="30"/>
      <c r="D121" s="114"/>
      <c r="E121" s="11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ht="14.25" customHeight="1">
      <c r="A122" s="95"/>
      <c r="B122" s="30"/>
      <c r="C122" s="30"/>
      <c r="D122" s="114"/>
      <c r="E122" s="11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 ht="14.25" customHeight="1">
      <c r="A123" s="95"/>
      <c r="B123" s="30"/>
      <c r="C123" s="30"/>
      <c r="D123" s="114"/>
      <c r="E123" s="11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 ht="14.25" customHeight="1">
      <c r="A124" s="95"/>
      <c r="B124" s="30"/>
      <c r="C124" s="30"/>
      <c r="D124" s="114"/>
      <c r="E124" s="11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ht="14.25" customHeight="1">
      <c r="A125" s="95"/>
      <c r="B125" s="30"/>
      <c r="C125" s="30"/>
      <c r="D125" s="114"/>
      <c r="E125" s="11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ht="14.25" customHeight="1">
      <c r="A126" s="95"/>
      <c r="B126" s="30"/>
      <c r="C126" s="30"/>
      <c r="D126" s="114"/>
      <c r="E126" s="11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 ht="14.25" customHeight="1">
      <c r="A127" s="95"/>
      <c r="B127" s="30"/>
      <c r="C127" s="30"/>
      <c r="D127" s="114"/>
      <c r="E127" s="11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ht="14.25" customHeight="1">
      <c r="A128" s="95"/>
      <c r="B128" s="30"/>
      <c r="C128" s="30"/>
      <c r="D128" s="114"/>
      <c r="E128" s="11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ht="14.25" customHeight="1">
      <c r="A129" s="95"/>
      <c r="B129" s="30"/>
      <c r="C129" s="30"/>
      <c r="D129" s="114"/>
      <c r="E129" s="11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 ht="14.25" customHeight="1">
      <c r="A130" s="95"/>
      <c r="B130" s="30"/>
      <c r="C130" s="30"/>
      <c r="D130" s="114"/>
      <c r="E130" s="11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ht="14.25" customHeight="1">
      <c r="A131" s="95"/>
      <c r="B131" s="30"/>
      <c r="C131" s="30"/>
      <c r="D131" s="114"/>
      <c r="E131" s="11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 ht="14.25" customHeight="1">
      <c r="A132" s="95"/>
      <c r="B132" s="30"/>
      <c r="C132" s="30"/>
      <c r="D132" s="114"/>
      <c r="E132" s="11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 ht="14.25" customHeight="1">
      <c r="A133" s="95"/>
      <c r="B133" s="30"/>
      <c r="C133" s="30"/>
      <c r="D133" s="114"/>
      <c r="E133" s="11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ht="14.25" customHeight="1">
      <c r="A134" s="95"/>
      <c r="B134" s="30"/>
      <c r="C134" s="30"/>
      <c r="D134" s="114"/>
      <c r="E134" s="11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 ht="14.25" customHeight="1">
      <c r="A135" s="95"/>
      <c r="B135" s="30"/>
      <c r="C135" s="30"/>
      <c r="D135" s="114"/>
      <c r="E135" s="11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 ht="14.25" customHeight="1">
      <c r="A136" s="95"/>
      <c r="B136" s="30"/>
      <c r="C136" s="30"/>
      <c r="D136" s="114"/>
      <c r="E136" s="11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ht="14.25" customHeight="1">
      <c r="A137" s="95"/>
      <c r="B137" s="30"/>
      <c r="C137" s="30"/>
      <c r="D137" s="114"/>
      <c r="E137" s="11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ht="14.25" customHeight="1">
      <c r="A138" s="95"/>
      <c r="B138" s="30"/>
      <c r="C138" s="30"/>
      <c r="D138" s="114"/>
      <c r="E138" s="11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 ht="14.25" customHeight="1">
      <c r="A139" s="95"/>
      <c r="B139" s="30"/>
      <c r="C139" s="30"/>
      <c r="D139" s="114"/>
      <c r="E139" s="11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ht="14.25" customHeight="1">
      <c r="A140" s="95"/>
      <c r="B140" s="30"/>
      <c r="C140" s="30"/>
      <c r="D140" s="114"/>
      <c r="E140" s="11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ht="14.25" customHeight="1">
      <c r="A141" s="95"/>
      <c r="B141" s="30"/>
      <c r="C141" s="30"/>
      <c r="D141" s="114"/>
      <c r="E141" s="11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ht="14.25" customHeight="1">
      <c r="A142" s="95"/>
      <c r="B142" s="30"/>
      <c r="C142" s="30"/>
      <c r="D142" s="114"/>
      <c r="E142" s="11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ht="14.25" customHeight="1">
      <c r="A143" s="95"/>
      <c r="B143" s="30"/>
      <c r="C143" s="30"/>
      <c r="D143" s="114"/>
      <c r="E143" s="11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ht="14.25" customHeight="1">
      <c r="A144" s="95"/>
      <c r="B144" s="30"/>
      <c r="C144" s="30"/>
      <c r="D144" s="114"/>
      <c r="E144" s="11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 ht="14.25" customHeight="1">
      <c r="A145" s="95"/>
      <c r="B145" s="30"/>
      <c r="C145" s="30"/>
      <c r="D145" s="114"/>
      <c r="E145" s="11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ht="14.25" customHeight="1">
      <c r="A146" s="95"/>
      <c r="B146" s="30"/>
      <c r="C146" s="30"/>
      <c r="D146" s="114"/>
      <c r="E146" s="11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 ht="14.25" customHeight="1">
      <c r="A147" s="95"/>
      <c r="B147" s="30"/>
      <c r="C147" s="30"/>
      <c r="D147" s="114"/>
      <c r="E147" s="11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 ht="14.25" customHeight="1">
      <c r="A148" s="95"/>
      <c r="B148" s="30"/>
      <c r="C148" s="30"/>
      <c r="D148" s="114"/>
      <c r="E148" s="11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ht="14.25" customHeight="1">
      <c r="A149" s="95"/>
      <c r="B149" s="30"/>
      <c r="C149" s="30"/>
      <c r="D149" s="114"/>
      <c r="E149" s="11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 ht="14.25" customHeight="1">
      <c r="A150" s="95"/>
      <c r="B150" s="30"/>
      <c r="C150" s="30"/>
      <c r="D150" s="114"/>
      <c r="E150" s="11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 ht="14.25" customHeight="1">
      <c r="A151" s="95"/>
      <c r="B151" s="30"/>
      <c r="C151" s="30"/>
      <c r="D151" s="114"/>
      <c r="E151" s="11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ht="14.25" customHeight="1">
      <c r="A152" s="95"/>
      <c r="B152" s="30"/>
      <c r="C152" s="30"/>
      <c r="D152" s="114"/>
      <c r="E152" s="11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 ht="14.25" customHeight="1">
      <c r="A153" s="95"/>
      <c r="B153" s="30"/>
      <c r="C153" s="30"/>
      <c r="D153" s="114"/>
      <c r="E153" s="11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 ht="14.25" customHeight="1">
      <c r="A154" s="95"/>
      <c r="B154" s="30"/>
      <c r="C154" s="30"/>
      <c r="D154" s="114"/>
      <c r="E154" s="11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ht="14.25" customHeight="1">
      <c r="A155" s="95"/>
      <c r="B155" s="30"/>
      <c r="C155" s="30"/>
      <c r="D155" s="114"/>
      <c r="E155" s="11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 ht="14.25" customHeight="1">
      <c r="A156" s="95"/>
      <c r="B156" s="30"/>
      <c r="C156" s="30"/>
      <c r="D156" s="114"/>
      <c r="E156" s="11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 ht="14.25" customHeight="1">
      <c r="A157" s="95"/>
      <c r="B157" s="30"/>
      <c r="C157" s="30"/>
      <c r="D157" s="114"/>
      <c r="E157" s="11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ht="14.25" customHeight="1">
      <c r="A158" s="95"/>
      <c r="B158" s="30"/>
      <c r="C158" s="30"/>
      <c r="D158" s="114"/>
      <c r="E158" s="11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 ht="14.25" customHeight="1">
      <c r="A159" s="95"/>
      <c r="B159" s="30"/>
      <c r="C159" s="30"/>
      <c r="D159" s="114"/>
      <c r="E159" s="115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 ht="14.25" customHeight="1">
      <c r="A160" s="95"/>
      <c r="B160" s="30"/>
      <c r="C160" s="30"/>
      <c r="D160" s="114"/>
      <c r="E160" s="115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ht="14.25" customHeight="1">
      <c r="A161" s="95"/>
      <c r="B161" s="30"/>
      <c r="C161" s="30"/>
      <c r="D161" s="114"/>
      <c r="E161" s="115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 ht="14.25" customHeight="1">
      <c r="A162" s="95"/>
      <c r="B162" s="30"/>
      <c r="C162" s="30"/>
      <c r="D162" s="114"/>
      <c r="E162" s="115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 ht="14.25" customHeight="1">
      <c r="A163" s="95"/>
      <c r="B163" s="30"/>
      <c r="C163" s="30"/>
      <c r="D163" s="114"/>
      <c r="E163" s="115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ht="14.25" customHeight="1">
      <c r="A164" s="95"/>
      <c r="B164" s="30"/>
      <c r="C164" s="30"/>
      <c r="D164" s="114"/>
      <c r="E164" s="115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 ht="14.25" customHeight="1">
      <c r="A165" s="95"/>
      <c r="B165" s="30"/>
      <c r="C165" s="30"/>
      <c r="D165" s="114"/>
      <c r="E165" s="115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 ht="14.25" customHeight="1">
      <c r="A166" s="95"/>
      <c r="B166" s="30"/>
      <c r="C166" s="30"/>
      <c r="D166" s="114"/>
      <c r="E166" s="115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ht="14.25" customHeight="1">
      <c r="A167" s="95"/>
      <c r="B167" s="30"/>
      <c r="C167" s="30"/>
      <c r="D167" s="114"/>
      <c r="E167" s="115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 ht="14.25" customHeight="1">
      <c r="A168" s="95"/>
      <c r="B168" s="30"/>
      <c r="C168" s="30"/>
      <c r="D168" s="114"/>
      <c r="E168" s="115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 ht="14.25" customHeight="1">
      <c r="A169" s="95"/>
      <c r="B169" s="30"/>
      <c r="C169" s="30"/>
      <c r="D169" s="114"/>
      <c r="E169" s="115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ht="14.25" customHeight="1">
      <c r="A170" s="95"/>
      <c r="B170" s="30"/>
      <c r="C170" s="30"/>
      <c r="D170" s="114"/>
      <c r="E170" s="115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 ht="14.25" customHeight="1">
      <c r="A171" s="95"/>
      <c r="B171" s="30"/>
      <c r="C171" s="30"/>
      <c r="D171" s="114"/>
      <c r="E171" s="115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 ht="14.25" customHeight="1">
      <c r="A172" s="95"/>
      <c r="B172" s="30"/>
      <c r="C172" s="30"/>
      <c r="D172" s="114"/>
      <c r="E172" s="115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ht="14.25" customHeight="1">
      <c r="A173" s="95"/>
      <c r="B173" s="30"/>
      <c r="C173" s="30"/>
      <c r="D173" s="114"/>
      <c r="E173" s="115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 ht="14.25" customHeight="1">
      <c r="A174" s="95"/>
      <c r="B174" s="30"/>
      <c r="C174" s="30"/>
      <c r="D174" s="114"/>
      <c r="E174" s="115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 ht="14.25" customHeight="1">
      <c r="A175" s="95"/>
      <c r="B175" s="30"/>
      <c r="C175" s="30"/>
      <c r="D175" s="114"/>
      <c r="E175" s="115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ht="14.25" customHeight="1">
      <c r="A176" s="95"/>
      <c r="B176" s="30"/>
      <c r="C176" s="30"/>
      <c r="D176" s="114"/>
      <c r="E176" s="115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 ht="14.25" customHeight="1">
      <c r="A177" s="95"/>
      <c r="B177" s="30"/>
      <c r="C177" s="30"/>
      <c r="D177" s="114"/>
      <c r="E177" s="115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 ht="14.25" customHeight="1">
      <c r="A178" s="95"/>
      <c r="B178" s="30"/>
      <c r="C178" s="30"/>
      <c r="D178" s="114"/>
      <c r="E178" s="115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ht="14.25" customHeight="1">
      <c r="A179" s="95"/>
      <c r="B179" s="30"/>
      <c r="D179" s="116"/>
      <c r="E179" s="68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 ht="14.25" customHeight="1">
      <c r="A180" s="95"/>
      <c r="B180" s="30"/>
      <c r="D180" s="116"/>
      <c r="E180" s="68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 ht="14.25" customHeight="1">
      <c r="A181" s="95"/>
      <c r="B181" s="30"/>
      <c r="D181" s="116"/>
      <c r="E181" s="68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ht="14.25" customHeight="1">
      <c r="A182" s="95"/>
      <c r="B182" s="30"/>
      <c r="D182" s="116"/>
      <c r="E182" s="68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 ht="14.25" customHeight="1">
      <c r="A183" s="95"/>
      <c r="B183" s="30"/>
      <c r="D183" s="116"/>
      <c r="E183" s="68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 ht="14.25" customHeight="1">
      <c r="A184" s="95"/>
      <c r="B184" s="30"/>
      <c r="D184" s="116"/>
      <c r="E184" s="68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ht="14.25" customHeight="1">
      <c r="A185" s="95"/>
      <c r="B185" s="30"/>
      <c r="D185" s="116"/>
      <c r="E185" s="68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ht="14.25" customHeight="1">
      <c r="A186" s="95"/>
      <c r="B186" s="30"/>
      <c r="D186" s="116"/>
      <c r="E186" s="68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 ht="14.25" customHeight="1">
      <c r="A187" s="95"/>
      <c r="B187" s="30"/>
      <c r="D187" s="116"/>
      <c r="E187" s="68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ht="14.25" customHeight="1">
      <c r="A188" s="95"/>
      <c r="B188" s="30"/>
      <c r="D188" s="116"/>
      <c r="E188" s="68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 ht="14.25" customHeight="1">
      <c r="A189" s="95"/>
      <c r="B189" s="30"/>
      <c r="D189" s="116"/>
      <c r="E189" s="68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 ht="14.25" customHeight="1">
      <c r="A190" s="95"/>
      <c r="B190" s="30"/>
      <c r="D190" s="116"/>
      <c r="E190" s="68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ht="14.25" customHeight="1">
      <c r="A191" s="95"/>
      <c r="B191" s="30"/>
      <c r="D191" s="116"/>
      <c r="E191" s="68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 ht="14.25" customHeight="1">
      <c r="A192" s="95"/>
      <c r="B192" s="30"/>
      <c r="D192" s="116"/>
      <c r="E192" s="68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 ht="14.25" customHeight="1">
      <c r="A193" s="95"/>
      <c r="B193" s="30"/>
      <c r="D193" s="116"/>
      <c r="E193" s="68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ht="14.25" customHeight="1">
      <c r="A194" s="95"/>
      <c r="B194" s="30"/>
      <c r="D194" s="116"/>
      <c r="E194" s="68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 ht="14.25" customHeight="1">
      <c r="A195" s="95"/>
      <c r="B195" s="30"/>
      <c r="D195" s="116"/>
      <c r="E195" s="68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 ht="14.25" customHeight="1">
      <c r="A196" s="95"/>
      <c r="B196" s="30"/>
      <c r="D196" s="116"/>
      <c r="E196" s="68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ht="14.25" customHeight="1">
      <c r="A197" s="95"/>
      <c r="B197" s="30"/>
      <c r="D197" s="116"/>
      <c r="E197" s="68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 ht="14.25" customHeight="1">
      <c r="A198" s="95"/>
      <c r="B198" s="30"/>
      <c r="D198" s="116"/>
      <c r="E198" s="68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 ht="14.25" customHeight="1">
      <c r="A199" s="95"/>
      <c r="B199" s="30"/>
      <c r="D199" s="116"/>
      <c r="E199" s="68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ht="14.25" customHeight="1">
      <c r="A200" s="95"/>
      <c r="B200" s="30"/>
      <c r="D200" s="116"/>
      <c r="E200" s="68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 ht="14.25" customHeight="1">
      <c r="A201" s="95"/>
      <c r="B201" s="30"/>
      <c r="D201" s="116"/>
      <c r="E201" s="68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 ht="14.25" customHeight="1">
      <c r="A202" s="95"/>
      <c r="B202" s="30"/>
      <c r="D202" s="116"/>
      <c r="E202" s="68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ht="14.25" customHeight="1">
      <c r="A203" s="95"/>
      <c r="B203" s="30"/>
      <c r="D203" s="116"/>
      <c r="E203" s="68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 ht="14.25" customHeight="1">
      <c r="A204" s="95"/>
      <c r="B204" s="30"/>
      <c r="D204" s="116"/>
      <c r="E204" s="68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 ht="14.25" customHeight="1">
      <c r="A205" s="95"/>
      <c r="B205" s="30"/>
      <c r="D205" s="116"/>
      <c r="E205" s="68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ht="14.25" customHeight="1">
      <c r="A206" s="95"/>
      <c r="B206" s="30"/>
      <c r="D206" s="116"/>
      <c r="E206" s="68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 ht="14.25" customHeight="1">
      <c r="A207" s="95"/>
      <c r="B207" s="30"/>
      <c r="D207" s="116"/>
      <c r="E207" s="68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 ht="14.25" customHeight="1">
      <c r="A208" s="95"/>
      <c r="B208" s="30"/>
      <c r="D208" s="116"/>
      <c r="E208" s="68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ht="14.25" customHeight="1">
      <c r="A209" s="95"/>
      <c r="B209" s="30"/>
      <c r="D209" s="116"/>
      <c r="E209" s="68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 ht="14.25" customHeight="1">
      <c r="A210" s="95"/>
      <c r="B210" s="30"/>
      <c r="D210" s="116"/>
      <c r="E210" s="68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 ht="14.25" customHeight="1">
      <c r="A211" s="95"/>
      <c r="B211" s="30"/>
      <c r="D211" s="116"/>
      <c r="E211" s="68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ht="14.25" customHeight="1">
      <c r="A212" s="95"/>
      <c r="B212" s="30"/>
      <c r="D212" s="116"/>
      <c r="E212" s="68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 ht="14.25" customHeight="1">
      <c r="A213" s="95"/>
      <c r="B213" s="30"/>
      <c r="D213" s="116"/>
      <c r="E213" s="68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 ht="14.25" customHeight="1">
      <c r="A214" s="95"/>
      <c r="B214" s="30"/>
      <c r="D214" s="116"/>
      <c r="E214" s="68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ht="14.25" customHeight="1">
      <c r="A215" s="95"/>
      <c r="B215" s="30"/>
      <c r="D215" s="116"/>
      <c r="E215" s="68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 ht="14.25" customHeight="1">
      <c r="A216" s="95"/>
      <c r="B216" s="30"/>
      <c r="D216" s="116"/>
      <c r="E216" s="68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 ht="14.25" customHeight="1">
      <c r="A217" s="95"/>
      <c r="B217" s="30"/>
      <c r="D217" s="116"/>
      <c r="E217" s="68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ht="14.25" customHeight="1">
      <c r="A218" s="95"/>
      <c r="B218" s="30"/>
      <c r="D218" s="116"/>
      <c r="E218" s="68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 ht="14.25" customHeight="1">
      <c r="A219" s="95"/>
      <c r="B219" s="30"/>
      <c r="D219" s="116"/>
      <c r="E219" s="68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 ht="14.25" customHeight="1">
      <c r="A220" s="95"/>
      <c r="B220" s="30"/>
      <c r="D220" s="116"/>
      <c r="E220" s="68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ht="14.25" customHeight="1">
      <c r="A221" s="95"/>
      <c r="B221" s="30"/>
      <c r="D221" s="116"/>
      <c r="E221" s="68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 ht="14.25" customHeight="1">
      <c r="A222" s="95"/>
      <c r="B222" s="30"/>
      <c r="D222" s="116"/>
      <c r="E222" s="68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 ht="14.25" customHeight="1">
      <c r="A223" s="95"/>
      <c r="B223" s="30"/>
      <c r="D223" s="116"/>
      <c r="E223" s="68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ht="14.25" customHeight="1">
      <c r="A224" s="95"/>
      <c r="B224" s="30"/>
      <c r="D224" s="116"/>
      <c r="E224" s="68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24"/>
    <mergeCell ref="C1:C2"/>
  </mergeCells>
  <printOptions verticalCentered="1"/>
  <pageMargins bottom="0.7480314960629921" footer="0.0" header="0.0" left="0.2362204724409449" right="0.2362204724409449" top="0.7480314960629921"/>
  <pageSetup paperSize="9" scale="87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30.71"/>
    <col customWidth="1" min="4" max="4" width="17.43"/>
    <col customWidth="1" min="5" max="5" width="30.71"/>
    <col customWidth="1" min="6" max="6" width="17.43"/>
    <col customWidth="1" min="7" max="7" width="26.71"/>
    <col customWidth="1" min="8" max="8" width="48.43"/>
    <col customWidth="1" min="9" max="16" width="8.71"/>
    <col customWidth="1" min="17" max="26" width="9.29"/>
    <col customWidth="1" min="27" max="29" width="14.43"/>
  </cols>
  <sheetData>
    <row r="1" ht="27.0" customHeight="1">
      <c r="A1" s="30"/>
      <c r="B1" s="30"/>
      <c r="C1" s="93"/>
      <c r="D1" s="32"/>
      <c r="E1" s="117"/>
      <c r="F1" s="32"/>
      <c r="G1" s="32"/>
      <c r="H1" s="32"/>
      <c r="I1" s="33"/>
      <c r="J1" s="33"/>
      <c r="K1" s="33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ht="36.75" customHeight="1">
      <c r="A2" s="35"/>
      <c r="B2" s="30"/>
      <c r="C2" s="95"/>
      <c r="D2" s="37"/>
      <c r="E2" s="95"/>
      <c r="F2" s="37"/>
      <c r="G2" s="37"/>
      <c r="H2" s="37"/>
      <c r="I2" s="38"/>
      <c r="J2" s="38"/>
      <c r="K2" s="38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44.2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27.0" customHeight="1">
      <c r="A4" s="30"/>
      <c r="B4" s="30"/>
      <c r="C4" s="118" t="s">
        <v>89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24.75" customHeight="1">
      <c r="A5" s="30"/>
      <c r="B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30.0" customHeight="1">
      <c r="A6" s="30"/>
      <c r="B6" s="30"/>
      <c r="H6" s="119"/>
      <c r="I6" s="30"/>
      <c r="J6" s="30"/>
      <c r="K6" s="30"/>
      <c r="L6" s="30"/>
      <c r="M6" s="30"/>
      <c r="N6" s="30"/>
      <c r="O6" s="30"/>
      <c r="P6" s="30"/>
      <c r="Q6" s="30"/>
      <c r="R6" s="30" t="s">
        <v>90</v>
      </c>
      <c r="S6" s="30" t="s">
        <v>91</v>
      </c>
      <c r="T6" s="30" t="s">
        <v>92</v>
      </c>
      <c r="U6" s="30" t="s">
        <v>93</v>
      </c>
      <c r="V6" s="30" t="s">
        <v>94</v>
      </c>
      <c r="W6" s="30" t="s">
        <v>95</v>
      </c>
      <c r="X6" s="30" t="s">
        <v>96</v>
      </c>
      <c r="Y6" s="30" t="s">
        <v>97</v>
      </c>
      <c r="Z6" s="30" t="s">
        <v>98</v>
      </c>
      <c r="AA6" s="30"/>
      <c r="AB6" s="30"/>
      <c r="AC6" s="30"/>
    </row>
    <row r="7" ht="33.0" customHeight="1">
      <c r="A7" s="30"/>
      <c r="B7" s="39"/>
      <c r="C7" s="70" t="s">
        <v>99</v>
      </c>
      <c r="D7" s="70" t="s">
        <v>100</v>
      </c>
      <c r="E7" s="70" t="s">
        <v>101</v>
      </c>
      <c r="F7" s="70" t="s">
        <v>100</v>
      </c>
      <c r="G7" s="70" t="s">
        <v>102</v>
      </c>
      <c r="H7" s="70" t="s">
        <v>103</v>
      </c>
      <c r="I7" s="39"/>
      <c r="J7" s="39"/>
      <c r="K7" s="39"/>
      <c r="L7" s="39"/>
      <c r="M7" s="39"/>
      <c r="N7" s="39"/>
      <c r="O7" s="39"/>
      <c r="P7" s="39"/>
      <c r="Q7" s="39"/>
      <c r="R7" s="39">
        <v>1.0</v>
      </c>
      <c r="S7" s="39">
        <v>1.0</v>
      </c>
      <c r="T7" s="39">
        <v>1.0</v>
      </c>
      <c r="U7" s="39">
        <v>1.0</v>
      </c>
      <c r="V7" s="39">
        <v>2.0</v>
      </c>
      <c r="W7" s="39">
        <v>2.0</v>
      </c>
      <c r="X7" s="39">
        <v>2.0</v>
      </c>
      <c r="Y7" s="39">
        <v>2.0</v>
      </c>
      <c r="Z7" s="39">
        <v>2.0</v>
      </c>
      <c r="AA7" s="30"/>
      <c r="AB7" s="30"/>
      <c r="AC7" s="30"/>
    </row>
    <row r="8" ht="34.5" customHeight="1">
      <c r="A8" s="30"/>
      <c r="B8" s="30"/>
      <c r="C8" s="120" t="s">
        <v>104</v>
      </c>
      <c r="D8" s="71" t="s">
        <v>105</v>
      </c>
      <c r="E8" s="120" t="s">
        <v>106</v>
      </c>
      <c r="F8" s="71" t="s">
        <v>107</v>
      </c>
      <c r="G8" s="71" t="s">
        <v>108</v>
      </c>
      <c r="H8" s="121" t="s">
        <v>109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34.5" customHeight="1">
      <c r="A9" s="30"/>
      <c r="B9" s="30"/>
      <c r="C9" s="122"/>
      <c r="D9" s="123" t="str">
        <f>IF(ISERROR(VLOOKUP(C9,'Matriz SWOT'!$J$5:$K$14,2,FALSE)),"",VLOOKUP(C9,'Matriz SWOT'!$J$5:$K$14,2,FALSE))</f>
        <v/>
      </c>
      <c r="E9" s="122"/>
      <c r="F9" s="123" t="str">
        <f>IF(ISERROR(VLOOKUP(E9,'Matriz SWOT'!$J$5:$K$24,2,FALSE)),"",VLOOKUP(E9,'Matriz SWOT'!$J$5:$K$24,2,FALSE))</f>
        <v/>
      </c>
      <c r="G9" s="123" t="str">
        <f t="shared" ref="G9:G108" si="1">IF(F9="","",VLOOKUP(D9&amp;F9,$M$9:$O$12,2,FALSE))</f>
        <v/>
      </c>
      <c r="H9" s="124" t="str">
        <f t="shared" ref="H9:H108" si="2">IF(G9="","",VLOOKUP(G9,$N$9:$O$12,2,FALSE))</f>
        <v/>
      </c>
      <c r="I9" s="30">
        <v>1.0</v>
      </c>
      <c r="J9" s="54" t="str">
        <f>VLOOKUP(LARGE('Matriz SWOT'!$I$5:$I$14,Cruzamento!I9),'Matriz SWOT'!$I$5:$J$14,2,FALSE)</f>
        <v/>
      </c>
      <c r="K9" s="54" t="str">
        <f>VLOOKUP(LARGE('Matriz SWOT'!$I$15:$I$24,Cruzamento!I9),'Matriz SWOT'!$I$15:$J$24,2,FALSE)</f>
        <v/>
      </c>
      <c r="L9" s="54"/>
      <c r="M9" s="30" t="s">
        <v>110</v>
      </c>
      <c r="N9" s="54" t="s">
        <v>111</v>
      </c>
      <c r="O9" s="54" t="s">
        <v>112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34.5" customHeight="1">
      <c r="A10" s="30"/>
      <c r="B10" s="30"/>
      <c r="C10" s="125"/>
      <c r="D10" s="123" t="str">
        <f>IF(ISERROR(VLOOKUP(C10,'Matriz SWOT'!$J$5:$K$14,2,FALSE)),"",VLOOKUP(C10,'Matriz SWOT'!$J$5:$K$14,2,FALSE))</f>
        <v/>
      </c>
      <c r="E10" s="125"/>
      <c r="F10" s="123" t="str">
        <f>IF(ISERROR(VLOOKUP(E10,'Matriz SWOT'!$J$5:$K$24,2,FALSE)),"",VLOOKUP(E10,'Matriz SWOT'!$J$5:$K$24,2,FALSE))</f>
        <v/>
      </c>
      <c r="G10" s="123" t="str">
        <f t="shared" si="1"/>
        <v/>
      </c>
      <c r="H10" s="124" t="str">
        <f t="shared" si="2"/>
        <v/>
      </c>
      <c r="I10" s="30">
        <v>2.0</v>
      </c>
      <c r="J10" s="54" t="str">
        <f>VLOOKUP(LARGE('Matriz SWOT'!$I$5:$I$14,Cruzamento!I10),'Matriz SWOT'!$I$5:$J$14,2,FALSE)</f>
        <v/>
      </c>
      <c r="K10" s="54" t="str">
        <f>VLOOKUP(LARGE('Matriz SWOT'!$I$15:$I$24,Cruzamento!I10),'Matriz SWOT'!$I$15:$J$24,2,FALSE)</f>
        <v/>
      </c>
      <c r="L10" s="54"/>
      <c r="M10" s="30" t="s">
        <v>113</v>
      </c>
      <c r="N10" s="30" t="s">
        <v>114</v>
      </c>
      <c r="O10" s="30" t="s">
        <v>115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34.5" customHeight="1">
      <c r="A11" s="30"/>
      <c r="B11" s="30"/>
      <c r="C11" s="125"/>
      <c r="D11" s="123" t="str">
        <f>IF(ISERROR(VLOOKUP(C11,'Matriz SWOT'!$J$5:$K$14,2,FALSE)),"",VLOOKUP(C11,'Matriz SWOT'!$J$5:$K$14,2,FALSE))</f>
        <v/>
      </c>
      <c r="E11" s="125"/>
      <c r="F11" s="123" t="str">
        <f>IF(ISERROR(VLOOKUP(E11,'Matriz SWOT'!$J$5:$K$24,2,FALSE)),"",VLOOKUP(E11,'Matriz SWOT'!$J$5:$K$24,2,FALSE))</f>
        <v/>
      </c>
      <c r="G11" s="123" t="str">
        <f t="shared" si="1"/>
        <v/>
      </c>
      <c r="H11" s="124" t="str">
        <f t="shared" si="2"/>
        <v/>
      </c>
      <c r="I11" s="30">
        <v>3.0</v>
      </c>
      <c r="J11" s="54" t="str">
        <f>VLOOKUP(LARGE('Matriz SWOT'!$I$5:$I$14,Cruzamento!I11),'Matriz SWOT'!$I$5:$J$14,2,FALSE)</f>
        <v/>
      </c>
      <c r="K11" s="54" t="str">
        <f>VLOOKUP(LARGE('Matriz SWOT'!$I$15:$I$24,Cruzamento!I11),'Matriz SWOT'!$I$15:$J$24,2,FALSE)</f>
        <v/>
      </c>
      <c r="L11" s="54"/>
      <c r="M11" s="30" t="s">
        <v>116</v>
      </c>
      <c r="N11" s="30" t="s">
        <v>117</v>
      </c>
      <c r="O11" s="30" t="s">
        <v>118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34.5" customHeight="1">
      <c r="A12" s="30"/>
      <c r="B12" s="30"/>
      <c r="C12" s="125"/>
      <c r="D12" s="123" t="str">
        <f>IF(ISERROR(VLOOKUP(C12,'Matriz SWOT'!$J$5:$K$14,2,FALSE)),"",VLOOKUP(C12,'Matriz SWOT'!$J$5:$K$14,2,FALSE))</f>
        <v/>
      </c>
      <c r="E12" s="125"/>
      <c r="F12" s="123" t="str">
        <f>IF(ISERROR(VLOOKUP(E12,'Matriz SWOT'!$J$5:$K$24,2,FALSE)),"",VLOOKUP(E12,'Matriz SWOT'!$J$5:$K$24,2,FALSE))</f>
        <v/>
      </c>
      <c r="G12" s="123" t="str">
        <f t="shared" si="1"/>
        <v/>
      </c>
      <c r="H12" s="124" t="str">
        <f t="shared" si="2"/>
        <v/>
      </c>
      <c r="I12" s="30">
        <v>4.0</v>
      </c>
      <c r="J12" s="54" t="str">
        <f>VLOOKUP(LARGE('Matriz SWOT'!$I$5:$I$14,Cruzamento!I12),'Matriz SWOT'!$I$5:$J$14,2,FALSE)</f>
        <v/>
      </c>
      <c r="K12" s="54" t="str">
        <f>VLOOKUP(LARGE('Matriz SWOT'!$I$15:$I$24,Cruzamento!I12),'Matriz SWOT'!$I$15:$J$24,2,FALSE)</f>
        <v/>
      </c>
      <c r="L12" s="54"/>
      <c r="M12" s="30" t="s">
        <v>119</v>
      </c>
      <c r="N12" s="30" t="s">
        <v>120</v>
      </c>
      <c r="O12" s="30" t="s">
        <v>121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38.25" customHeight="1">
      <c r="A13" s="30"/>
      <c r="B13" s="30"/>
      <c r="C13" s="125"/>
      <c r="D13" s="123" t="str">
        <f>IF(ISERROR(VLOOKUP(C13,'Matriz SWOT'!$J$5:$K$14,2,FALSE)),"",VLOOKUP(C13,'Matriz SWOT'!$J$5:$K$14,2,FALSE))</f>
        <v/>
      </c>
      <c r="E13" s="125"/>
      <c r="F13" s="123" t="str">
        <f>IF(ISERROR(VLOOKUP(E13,'Matriz SWOT'!$J$5:$K$24,2,FALSE)),"",VLOOKUP(E13,'Matriz SWOT'!$J$5:$K$24,2,FALSE))</f>
        <v/>
      </c>
      <c r="G13" s="123" t="str">
        <f t="shared" si="1"/>
        <v/>
      </c>
      <c r="H13" s="124" t="str">
        <f t="shared" si="2"/>
        <v/>
      </c>
      <c r="I13" s="30">
        <v>5.0</v>
      </c>
      <c r="J13" s="54" t="str">
        <f>VLOOKUP(LARGE('Matriz SWOT'!$I$5:$I$14,Cruzamento!I13),'Matriz SWOT'!$I$5:$J$14,2,FALSE)</f>
        <v/>
      </c>
      <c r="K13" s="54" t="str">
        <f>VLOOKUP(LARGE('Matriz SWOT'!$I$15:$I$24,Cruzamento!I13),'Matriz SWOT'!$I$15:$J$24,2,FALSE)</f>
        <v/>
      </c>
      <c r="L13" s="54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42.0" customHeight="1">
      <c r="A14" s="60"/>
      <c r="B14" s="30"/>
      <c r="C14" s="125"/>
      <c r="D14" s="123" t="str">
        <f>IF(ISERROR(VLOOKUP(C14,'Matriz SWOT'!$J$5:$K$14,2,FALSE)),"",VLOOKUP(C14,'Matriz SWOT'!$J$5:$K$14,2,FALSE))</f>
        <v/>
      </c>
      <c r="E14" s="125"/>
      <c r="F14" s="123" t="str">
        <f>IF(ISERROR(VLOOKUP(E14,'Matriz SWOT'!$J$5:$K$24,2,FALSE)),"",VLOOKUP(E14,'Matriz SWOT'!$J$5:$K$24,2,FALSE))</f>
        <v/>
      </c>
      <c r="G14" s="123" t="str">
        <f t="shared" si="1"/>
        <v/>
      </c>
      <c r="H14" s="124" t="str">
        <f t="shared" si="2"/>
        <v/>
      </c>
      <c r="I14" s="30">
        <v>6.0</v>
      </c>
      <c r="J14" s="54" t="str">
        <f>VLOOKUP(LARGE('Matriz SWOT'!$I$5:$I$14,Cruzamento!I14),'Matriz SWOT'!$I$5:$J$14,2,FALSE)</f>
        <v/>
      </c>
      <c r="K14" s="54" t="str">
        <f>VLOOKUP(LARGE('Matriz SWOT'!$I$15:$I$24,Cruzamento!I14),'Matriz SWOT'!$I$15:$J$24,2,FALSE)</f>
        <v/>
      </c>
      <c r="L14" s="54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34.5" customHeight="1">
      <c r="A15" s="60"/>
      <c r="B15" s="30"/>
      <c r="C15" s="125"/>
      <c r="D15" s="123" t="str">
        <f>IF(ISERROR(VLOOKUP(C15,'Matriz SWOT'!$J$5:$K$14,2,FALSE)),"",VLOOKUP(C15,'Matriz SWOT'!$J$5:$K$14,2,FALSE))</f>
        <v/>
      </c>
      <c r="E15" s="125"/>
      <c r="F15" s="123" t="str">
        <f>IF(ISERROR(VLOOKUP(E15,'Matriz SWOT'!$J$5:$K$24,2,FALSE)),"",VLOOKUP(E15,'Matriz SWOT'!$J$5:$K$24,2,FALSE))</f>
        <v/>
      </c>
      <c r="G15" s="123" t="str">
        <f t="shared" si="1"/>
        <v/>
      </c>
      <c r="H15" s="124" t="str">
        <f t="shared" si="2"/>
        <v/>
      </c>
      <c r="I15" s="30">
        <v>7.0</v>
      </c>
      <c r="J15" s="54" t="str">
        <f>VLOOKUP(LARGE('Matriz SWOT'!$I$5:$I$14,Cruzamento!I15),'Matriz SWOT'!$I$5:$J$14,2,FALSE)</f>
        <v/>
      </c>
      <c r="K15" s="54" t="str">
        <f>VLOOKUP(LARGE('Matriz SWOT'!$I$15:$I$24,Cruzamento!I15),'Matriz SWOT'!$I$15:$J$24,2,FALSE)</f>
        <v/>
      </c>
      <c r="L15" s="54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34.5" customHeight="1">
      <c r="A16" s="30"/>
      <c r="B16" s="30"/>
      <c r="C16" s="125"/>
      <c r="D16" s="123" t="str">
        <f>IF(ISERROR(VLOOKUP(C16,'Matriz SWOT'!$J$5:$K$14,2,FALSE)),"",VLOOKUP(C16,'Matriz SWOT'!$J$5:$K$14,2,FALSE))</f>
        <v/>
      </c>
      <c r="E16" s="125"/>
      <c r="F16" s="123" t="str">
        <f>IF(ISERROR(VLOOKUP(E16,'Matriz SWOT'!$J$5:$K$24,2,FALSE)),"",VLOOKUP(E16,'Matriz SWOT'!$J$5:$K$24,2,FALSE))</f>
        <v/>
      </c>
      <c r="G16" s="123" t="str">
        <f t="shared" si="1"/>
        <v/>
      </c>
      <c r="H16" s="124" t="str">
        <f t="shared" si="2"/>
        <v/>
      </c>
      <c r="I16" s="30">
        <v>8.0</v>
      </c>
      <c r="J16" s="54" t="str">
        <f>VLOOKUP(LARGE('Matriz SWOT'!$I$5:$I$14,Cruzamento!I16),'Matriz SWOT'!$I$5:$J$14,2,FALSE)</f>
        <v/>
      </c>
      <c r="K16" s="30" t="str">
        <f>VLOOKUP(LARGE('Matriz SWOT'!$I$15:$I$24,Cruzamento!I16),'Matriz SWOT'!$I$15:$J$24,2,FALSE)</f>
        <v/>
      </c>
      <c r="L16" s="54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34.5" customHeight="1">
      <c r="A17" s="30"/>
      <c r="B17" s="30"/>
      <c r="C17" s="125"/>
      <c r="D17" s="123" t="str">
        <f>IF(ISERROR(VLOOKUP(C17,'Matriz SWOT'!$J$5:$K$14,2,FALSE)),"",VLOOKUP(C17,'Matriz SWOT'!$J$5:$K$14,2,FALSE))</f>
        <v/>
      </c>
      <c r="E17" s="125"/>
      <c r="F17" s="123" t="str">
        <f>IF(ISERROR(VLOOKUP(E17,'Matriz SWOT'!$J$5:$K$24,2,FALSE)),"",VLOOKUP(E17,'Matriz SWOT'!$J$5:$K$24,2,FALSE))</f>
        <v/>
      </c>
      <c r="G17" s="123" t="str">
        <f t="shared" si="1"/>
        <v/>
      </c>
      <c r="H17" s="124" t="str">
        <f t="shared" si="2"/>
        <v/>
      </c>
      <c r="I17" s="30">
        <v>9.0</v>
      </c>
      <c r="J17" s="54" t="str">
        <f>VLOOKUP(LARGE('Matriz SWOT'!$I$5:$I$14,Cruzamento!I17),'Matriz SWOT'!$I$5:$J$14,2,FALSE)</f>
        <v/>
      </c>
      <c r="K17" s="30" t="str">
        <f>VLOOKUP(LARGE('Matriz SWOT'!$I$15:$I$24,Cruzamento!I17),'Matriz SWOT'!$I$15:$J$24,2,FALSE)</f>
        <v/>
      </c>
      <c r="L17" s="54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34.5" customHeight="1">
      <c r="A18" s="30"/>
      <c r="B18" s="30"/>
      <c r="C18" s="125"/>
      <c r="D18" s="123" t="str">
        <f>IF(ISERROR(VLOOKUP(C18,'Matriz SWOT'!$J$5:$K$14,2,FALSE)),"",VLOOKUP(C18,'Matriz SWOT'!$J$5:$K$14,2,FALSE))</f>
        <v/>
      </c>
      <c r="E18" s="125"/>
      <c r="F18" s="123" t="str">
        <f>IF(ISERROR(VLOOKUP(E18,'Matriz SWOT'!$J$5:$K$24,2,FALSE)),"",VLOOKUP(E18,'Matriz SWOT'!$J$5:$K$24,2,FALSE))</f>
        <v/>
      </c>
      <c r="G18" s="123" t="str">
        <f t="shared" si="1"/>
        <v/>
      </c>
      <c r="H18" s="124" t="str">
        <f t="shared" si="2"/>
        <v/>
      </c>
      <c r="I18" s="30">
        <v>10.0</v>
      </c>
      <c r="J18" s="54" t="str">
        <f>VLOOKUP(LARGE('Matriz SWOT'!$I$5:$I$14,Cruzamento!I18),'Matriz SWOT'!$I$5:$J$14,2,FALSE)</f>
        <v/>
      </c>
      <c r="K18" s="30" t="str">
        <f>VLOOKUP(LARGE('Matriz SWOT'!$I$15:$I$24,Cruzamento!I18),'Matriz SWOT'!$I$15:$J$24,2,FALSE)</f>
        <v/>
      </c>
      <c r="L18" s="54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34.5" customHeight="1">
      <c r="A19" s="30"/>
      <c r="B19" s="30"/>
      <c r="C19" s="125"/>
      <c r="D19" s="123" t="str">
        <f>IF(ISERROR(VLOOKUP(C19,'Matriz SWOT'!$J$5:$K$14,2,FALSE)),"",VLOOKUP(C19,'Matriz SWOT'!$J$5:$K$14,2,FALSE))</f>
        <v/>
      </c>
      <c r="E19" s="125"/>
      <c r="F19" s="123" t="str">
        <f>IF(ISERROR(VLOOKUP(E19,'Matriz SWOT'!$J$5:$K$24,2,FALSE)),"",VLOOKUP(E19,'Matriz SWOT'!$J$5:$K$24,2,FALSE))</f>
        <v/>
      </c>
      <c r="G19" s="123" t="str">
        <f t="shared" si="1"/>
        <v/>
      </c>
      <c r="H19" s="124" t="str">
        <f t="shared" si="2"/>
        <v/>
      </c>
      <c r="I19" s="30"/>
      <c r="J19" s="30"/>
      <c r="K19" s="30"/>
      <c r="L19" s="54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34.5" customHeight="1">
      <c r="A20" s="30"/>
      <c r="B20" s="30"/>
      <c r="C20" s="125"/>
      <c r="D20" s="123" t="str">
        <f>IF(ISERROR(VLOOKUP(C20,'Matriz SWOT'!$J$5:$K$14,2,FALSE)),"",VLOOKUP(C20,'Matriz SWOT'!$J$5:$K$14,2,FALSE))</f>
        <v/>
      </c>
      <c r="E20" s="125"/>
      <c r="F20" s="123" t="str">
        <f>IF(ISERROR(VLOOKUP(E20,'Matriz SWOT'!$J$5:$K$24,2,FALSE)),"",VLOOKUP(E20,'Matriz SWOT'!$J$5:$K$24,2,FALSE))</f>
        <v/>
      </c>
      <c r="G20" s="123" t="str">
        <f t="shared" si="1"/>
        <v/>
      </c>
      <c r="H20" s="124" t="str">
        <f t="shared" si="2"/>
        <v/>
      </c>
      <c r="I20" s="30"/>
      <c r="J20" s="30"/>
      <c r="K20" s="30"/>
      <c r="L20" s="54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34.5" customHeight="1">
      <c r="A21" s="30"/>
      <c r="B21" s="30"/>
      <c r="C21" s="125"/>
      <c r="D21" s="123" t="str">
        <f>IF(ISERROR(VLOOKUP(C21,'Matriz SWOT'!$J$5:$K$14,2,FALSE)),"",VLOOKUP(C21,'Matriz SWOT'!$J$5:$K$14,2,FALSE))</f>
        <v/>
      </c>
      <c r="E21" s="125"/>
      <c r="F21" s="123" t="str">
        <f>IF(ISERROR(VLOOKUP(E21,'Matriz SWOT'!$J$5:$K$24,2,FALSE)),"",VLOOKUP(E21,'Matriz SWOT'!$J$5:$K$24,2,FALSE))</f>
        <v/>
      </c>
      <c r="G21" s="123" t="str">
        <f t="shared" si="1"/>
        <v/>
      </c>
      <c r="H21" s="124" t="str">
        <f t="shared" si="2"/>
        <v/>
      </c>
      <c r="I21" s="30"/>
      <c r="J21" s="30"/>
      <c r="K21" s="30"/>
      <c r="L21" s="54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34.5" customHeight="1">
      <c r="A22" s="30"/>
      <c r="B22" s="30"/>
      <c r="C22" s="125"/>
      <c r="D22" s="123" t="str">
        <f>IF(ISERROR(VLOOKUP(C22,'Matriz SWOT'!$J$5:$K$14,2,FALSE)),"",VLOOKUP(C22,'Matriz SWOT'!$J$5:$K$14,2,FALSE))</f>
        <v/>
      </c>
      <c r="E22" s="125"/>
      <c r="F22" s="123" t="str">
        <f>IF(ISERROR(VLOOKUP(E22,'Matriz SWOT'!$J$5:$K$24,2,FALSE)),"",VLOOKUP(E22,'Matriz SWOT'!$J$5:$K$24,2,FALSE))</f>
        <v/>
      </c>
      <c r="G22" s="123" t="str">
        <f t="shared" si="1"/>
        <v/>
      </c>
      <c r="H22" s="124" t="str">
        <f t="shared" si="2"/>
        <v/>
      </c>
      <c r="I22" s="30"/>
      <c r="J22" s="30"/>
      <c r="K22" s="30"/>
      <c r="L22" s="54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34.5" customHeight="1">
      <c r="A23" s="60"/>
      <c r="B23" s="30"/>
      <c r="C23" s="125"/>
      <c r="D23" s="123" t="str">
        <f>IF(ISERROR(VLOOKUP(C23,'Matriz SWOT'!$J$5:$K$14,2,FALSE)),"",VLOOKUP(C23,'Matriz SWOT'!$J$5:$K$14,2,FALSE))</f>
        <v/>
      </c>
      <c r="E23" s="125"/>
      <c r="F23" s="123" t="str">
        <f>IF(ISERROR(VLOOKUP(E23,'Matriz SWOT'!$J$5:$K$24,2,FALSE)),"",VLOOKUP(E23,'Matriz SWOT'!$J$5:$K$24,2,FALSE))</f>
        <v/>
      </c>
      <c r="G23" s="123" t="str">
        <f t="shared" si="1"/>
        <v/>
      </c>
      <c r="H23" s="124" t="str">
        <f t="shared" si="2"/>
        <v/>
      </c>
      <c r="I23" s="30"/>
      <c r="J23" s="30"/>
      <c r="K23" s="30"/>
      <c r="L23" s="54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34.5" customHeight="1">
      <c r="A24" s="60"/>
      <c r="B24" s="30"/>
      <c r="C24" s="125"/>
      <c r="D24" s="123" t="str">
        <f>IF(ISERROR(VLOOKUP(C24,'Matriz SWOT'!$J$5:$K$14,2,FALSE)),"",VLOOKUP(C24,'Matriz SWOT'!$J$5:$K$14,2,FALSE))</f>
        <v/>
      </c>
      <c r="E24" s="125"/>
      <c r="F24" s="123" t="str">
        <f>IF(ISERROR(VLOOKUP(E24,'Matriz SWOT'!$J$5:$K$24,2,FALSE)),"",VLOOKUP(E24,'Matriz SWOT'!$J$5:$K$24,2,FALSE))</f>
        <v/>
      </c>
      <c r="G24" s="123" t="str">
        <f t="shared" si="1"/>
        <v/>
      </c>
      <c r="H24" s="124" t="str">
        <f t="shared" si="2"/>
        <v/>
      </c>
      <c r="I24" s="30"/>
      <c r="J24" s="30"/>
      <c r="K24" s="30"/>
      <c r="L24" s="54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34.5" customHeight="1">
      <c r="A25" s="30"/>
      <c r="B25" s="30"/>
      <c r="C25" s="125"/>
      <c r="D25" s="123" t="str">
        <f>IF(ISERROR(VLOOKUP(C25,'Matriz SWOT'!$J$5:$K$14,2,FALSE)),"",VLOOKUP(C25,'Matriz SWOT'!$J$5:$K$14,2,FALSE))</f>
        <v/>
      </c>
      <c r="E25" s="125"/>
      <c r="F25" s="123" t="str">
        <f>IF(ISERROR(VLOOKUP(E25,'Matriz SWOT'!$J$5:$K$24,2,FALSE)),"",VLOOKUP(E25,'Matriz SWOT'!$J$5:$K$24,2,FALSE))</f>
        <v/>
      </c>
      <c r="G25" s="123" t="str">
        <f t="shared" si="1"/>
        <v/>
      </c>
      <c r="H25" s="124" t="str">
        <f t="shared" si="2"/>
        <v/>
      </c>
      <c r="I25" s="30"/>
      <c r="J25" s="30"/>
      <c r="K25" s="30"/>
      <c r="L25" s="54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34.5" customHeight="1">
      <c r="A26" s="30"/>
      <c r="B26" s="30"/>
      <c r="C26" s="125"/>
      <c r="D26" s="123" t="str">
        <f>IF(ISERROR(VLOOKUP(C26,'Matriz SWOT'!$J$5:$K$14,2,FALSE)),"",VLOOKUP(C26,'Matriz SWOT'!$J$5:$K$14,2,FALSE))</f>
        <v/>
      </c>
      <c r="E26" s="125"/>
      <c r="F26" s="123" t="str">
        <f>IF(ISERROR(VLOOKUP(E26,'Matriz SWOT'!$J$5:$K$24,2,FALSE)),"",VLOOKUP(E26,'Matriz SWOT'!$J$5:$K$24,2,FALSE))</f>
        <v/>
      </c>
      <c r="G26" s="123" t="str">
        <f t="shared" si="1"/>
        <v/>
      </c>
      <c r="H26" s="124" t="str">
        <f t="shared" si="2"/>
        <v/>
      </c>
      <c r="I26" s="30"/>
      <c r="J26" s="30"/>
      <c r="K26" s="30"/>
      <c r="L26" s="54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34.5" customHeight="1">
      <c r="A27" s="30"/>
      <c r="B27" s="30"/>
      <c r="C27" s="125"/>
      <c r="D27" s="123" t="str">
        <f>IF(ISERROR(VLOOKUP(C27,'Matriz SWOT'!$J$5:$K$14,2,FALSE)),"",VLOOKUP(C27,'Matriz SWOT'!$J$5:$K$14,2,FALSE))</f>
        <v/>
      </c>
      <c r="E27" s="125"/>
      <c r="F27" s="123" t="str">
        <f>IF(ISERROR(VLOOKUP(E27,'Matriz SWOT'!$J$5:$K$24,2,FALSE)),"",VLOOKUP(E27,'Matriz SWOT'!$J$5:$K$24,2,FALSE))</f>
        <v/>
      </c>
      <c r="G27" s="123" t="str">
        <f t="shared" si="1"/>
        <v/>
      </c>
      <c r="H27" s="124" t="str">
        <f t="shared" si="2"/>
        <v/>
      </c>
      <c r="I27" s="30"/>
      <c r="J27" s="30"/>
      <c r="K27" s="30"/>
      <c r="L27" s="54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34.5" customHeight="1">
      <c r="A28" s="30"/>
      <c r="B28" s="30"/>
      <c r="C28" s="125"/>
      <c r="D28" s="123" t="str">
        <f>IF(ISERROR(VLOOKUP(C28,'Matriz SWOT'!$J$5:$K$14,2,FALSE)),"",VLOOKUP(C28,'Matriz SWOT'!$J$5:$K$14,2,FALSE))</f>
        <v/>
      </c>
      <c r="E28" s="125"/>
      <c r="F28" s="123" t="str">
        <f>IF(ISERROR(VLOOKUP(E28,'Matriz SWOT'!$J$5:$K$24,2,FALSE)),"",VLOOKUP(E28,'Matriz SWOT'!$J$5:$K$24,2,FALSE))</f>
        <v/>
      </c>
      <c r="G28" s="123" t="str">
        <f t="shared" si="1"/>
        <v/>
      </c>
      <c r="H28" s="124" t="str">
        <f t="shared" si="2"/>
        <v/>
      </c>
      <c r="I28" s="30"/>
      <c r="J28" s="30"/>
      <c r="K28" s="30"/>
      <c r="L28" s="54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34.5" customHeight="1">
      <c r="A29" s="30"/>
      <c r="B29" s="30"/>
      <c r="C29" s="125"/>
      <c r="D29" s="123" t="str">
        <f>IF(ISERROR(VLOOKUP(C29,'Matriz SWOT'!$J$5:$K$14,2,FALSE)),"",VLOOKUP(C29,'Matriz SWOT'!$J$5:$K$14,2,FALSE))</f>
        <v/>
      </c>
      <c r="E29" s="125"/>
      <c r="F29" s="123" t="str">
        <f>IF(ISERROR(VLOOKUP(E29,'Matriz SWOT'!$J$5:$K$24,2,FALSE)),"",VLOOKUP(E29,'Matriz SWOT'!$J$5:$K$24,2,FALSE))</f>
        <v/>
      </c>
      <c r="G29" s="123" t="str">
        <f t="shared" si="1"/>
        <v/>
      </c>
      <c r="H29" s="124" t="str">
        <f t="shared" si="2"/>
        <v/>
      </c>
      <c r="I29" s="30"/>
      <c r="J29" s="30"/>
      <c r="K29" s="30"/>
      <c r="L29" s="54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34.5" customHeight="1">
      <c r="A30" s="30"/>
      <c r="B30" s="30"/>
      <c r="C30" s="125"/>
      <c r="D30" s="123" t="str">
        <f>IF(ISERROR(VLOOKUP(C30,'Matriz SWOT'!$J$5:$K$14,2,FALSE)),"",VLOOKUP(C30,'Matriz SWOT'!$J$5:$K$14,2,FALSE))</f>
        <v/>
      </c>
      <c r="E30" s="125"/>
      <c r="F30" s="123" t="str">
        <f>IF(ISERROR(VLOOKUP(E30,'Matriz SWOT'!$J$5:$K$24,2,FALSE)),"",VLOOKUP(E30,'Matriz SWOT'!$J$5:$K$24,2,FALSE))</f>
        <v/>
      </c>
      <c r="G30" s="123" t="str">
        <f t="shared" si="1"/>
        <v/>
      </c>
      <c r="H30" s="124" t="str">
        <f t="shared" si="2"/>
        <v/>
      </c>
      <c r="I30" s="30"/>
      <c r="J30" s="30"/>
      <c r="K30" s="30"/>
      <c r="L30" s="54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34.5" customHeight="1">
      <c r="A31" s="30"/>
      <c r="B31" s="30"/>
      <c r="C31" s="125"/>
      <c r="D31" s="123" t="str">
        <f>IF(ISERROR(VLOOKUP(C31,'Matriz SWOT'!$J$5:$K$14,2,FALSE)),"",VLOOKUP(C31,'Matriz SWOT'!$J$5:$K$14,2,FALSE))</f>
        <v/>
      </c>
      <c r="E31" s="125"/>
      <c r="F31" s="123" t="str">
        <f>IF(ISERROR(VLOOKUP(E31,'Matriz SWOT'!$J$5:$K$24,2,FALSE)),"",VLOOKUP(E31,'Matriz SWOT'!$J$5:$K$24,2,FALSE))</f>
        <v/>
      </c>
      <c r="G31" s="123" t="str">
        <f t="shared" si="1"/>
        <v/>
      </c>
      <c r="H31" s="124" t="str">
        <f t="shared" si="2"/>
        <v/>
      </c>
      <c r="I31" s="30"/>
      <c r="J31" s="30"/>
      <c r="K31" s="30"/>
      <c r="L31" s="54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34.5" customHeight="1">
      <c r="A32" s="30"/>
      <c r="B32" s="30"/>
      <c r="C32" s="125"/>
      <c r="D32" s="123" t="str">
        <f>IF(ISERROR(VLOOKUP(C32,'Matriz SWOT'!$J$5:$K$14,2,FALSE)),"",VLOOKUP(C32,'Matriz SWOT'!$J$5:$K$14,2,FALSE))</f>
        <v/>
      </c>
      <c r="E32" s="125"/>
      <c r="F32" s="123" t="str">
        <f>IF(ISERROR(VLOOKUP(E32,'Matriz SWOT'!$J$5:$K$24,2,FALSE)),"",VLOOKUP(E32,'Matriz SWOT'!$J$5:$K$24,2,FALSE))</f>
        <v/>
      </c>
      <c r="G32" s="123" t="str">
        <f t="shared" si="1"/>
        <v/>
      </c>
      <c r="H32" s="124" t="str">
        <f t="shared" si="2"/>
        <v/>
      </c>
      <c r="I32" s="30"/>
      <c r="J32" s="30"/>
      <c r="K32" s="30"/>
      <c r="L32" s="54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34.5" customHeight="1">
      <c r="A33" s="30"/>
      <c r="B33" s="30"/>
      <c r="C33" s="125"/>
      <c r="D33" s="123" t="str">
        <f>IF(ISERROR(VLOOKUP(C33,'Matriz SWOT'!$J$5:$K$14,2,FALSE)),"",VLOOKUP(C33,'Matriz SWOT'!$J$5:$K$14,2,FALSE))</f>
        <v/>
      </c>
      <c r="E33" s="125"/>
      <c r="F33" s="123" t="str">
        <f>IF(ISERROR(VLOOKUP(E33,'Matriz SWOT'!$J$5:$K$24,2,FALSE)),"",VLOOKUP(E33,'Matriz SWOT'!$J$5:$K$24,2,FALSE))</f>
        <v/>
      </c>
      <c r="G33" s="123" t="str">
        <f t="shared" si="1"/>
        <v/>
      </c>
      <c r="H33" s="124" t="str">
        <f t="shared" si="2"/>
        <v/>
      </c>
      <c r="I33" s="30"/>
      <c r="J33" s="30"/>
      <c r="K33" s="30"/>
      <c r="L33" s="54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34.5" customHeight="1">
      <c r="A34" s="30"/>
      <c r="B34" s="30"/>
      <c r="C34" s="125"/>
      <c r="D34" s="123" t="str">
        <f>IF(ISERROR(VLOOKUP(C34,'Matriz SWOT'!$J$5:$K$14,2,FALSE)),"",VLOOKUP(C34,'Matriz SWOT'!$J$5:$K$14,2,FALSE))</f>
        <v/>
      </c>
      <c r="E34" s="125"/>
      <c r="F34" s="123" t="str">
        <f>IF(ISERROR(VLOOKUP(E34,'Matriz SWOT'!$J$5:$K$24,2,FALSE)),"",VLOOKUP(E34,'Matriz SWOT'!$J$5:$K$24,2,FALSE))</f>
        <v/>
      </c>
      <c r="G34" s="123" t="str">
        <f t="shared" si="1"/>
        <v/>
      </c>
      <c r="H34" s="124" t="str">
        <f t="shared" si="2"/>
        <v/>
      </c>
      <c r="I34" s="30"/>
      <c r="J34" s="30"/>
      <c r="K34" s="30"/>
      <c r="L34" s="54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34.5" customHeight="1">
      <c r="A35" s="30"/>
      <c r="B35" s="30"/>
      <c r="C35" s="125"/>
      <c r="D35" s="123" t="str">
        <f>IF(ISERROR(VLOOKUP(C35,'Matriz SWOT'!$J$5:$K$14,2,FALSE)),"",VLOOKUP(C35,'Matriz SWOT'!$J$5:$K$14,2,FALSE))</f>
        <v/>
      </c>
      <c r="E35" s="125"/>
      <c r="F35" s="123" t="str">
        <f>IF(ISERROR(VLOOKUP(E35,'Matriz SWOT'!$J$5:$K$24,2,FALSE)),"",VLOOKUP(E35,'Matriz SWOT'!$J$5:$K$24,2,FALSE))</f>
        <v/>
      </c>
      <c r="G35" s="123" t="str">
        <f t="shared" si="1"/>
        <v/>
      </c>
      <c r="H35" s="124" t="str">
        <f t="shared" si="2"/>
        <v/>
      </c>
      <c r="I35" s="30"/>
      <c r="J35" s="30"/>
      <c r="K35" s="30"/>
      <c r="L35" s="54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34.5" customHeight="1">
      <c r="A36" s="30"/>
      <c r="B36" s="30"/>
      <c r="C36" s="125"/>
      <c r="D36" s="123" t="str">
        <f>IF(ISERROR(VLOOKUP(C36,'Matriz SWOT'!$J$5:$K$14,2,FALSE)),"",VLOOKUP(C36,'Matriz SWOT'!$J$5:$K$14,2,FALSE))</f>
        <v/>
      </c>
      <c r="E36" s="125"/>
      <c r="F36" s="123" t="str">
        <f>IF(ISERROR(VLOOKUP(E36,'Matriz SWOT'!$J$5:$K$24,2,FALSE)),"",VLOOKUP(E36,'Matriz SWOT'!$J$5:$K$24,2,FALSE))</f>
        <v/>
      </c>
      <c r="G36" s="123" t="str">
        <f t="shared" si="1"/>
        <v/>
      </c>
      <c r="H36" s="124" t="str">
        <f t="shared" si="2"/>
        <v/>
      </c>
      <c r="I36" s="30"/>
      <c r="J36" s="30"/>
      <c r="K36" s="30"/>
      <c r="L36" s="54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34.5" customHeight="1">
      <c r="A37" s="30"/>
      <c r="B37" s="30"/>
      <c r="C37" s="125"/>
      <c r="D37" s="123" t="str">
        <f>IF(ISERROR(VLOOKUP(C37,'Matriz SWOT'!$J$5:$K$14,2,FALSE)),"",VLOOKUP(C37,'Matriz SWOT'!$J$5:$K$14,2,FALSE))</f>
        <v/>
      </c>
      <c r="E37" s="125"/>
      <c r="F37" s="123" t="str">
        <f>IF(ISERROR(VLOOKUP(E37,'Matriz SWOT'!$J$5:$K$24,2,FALSE)),"",VLOOKUP(E37,'Matriz SWOT'!$J$5:$K$24,2,FALSE))</f>
        <v/>
      </c>
      <c r="G37" s="123" t="str">
        <f t="shared" si="1"/>
        <v/>
      </c>
      <c r="H37" s="124" t="str">
        <f t="shared" si="2"/>
        <v/>
      </c>
      <c r="I37" s="30"/>
      <c r="J37" s="30"/>
      <c r="K37" s="30"/>
      <c r="L37" s="54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34.5" customHeight="1">
      <c r="A38" s="30"/>
      <c r="B38" s="30"/>
      <c r="C38" s="125"/>
      <c r="D38" s="123" t="str">
        <f>IF(ISERROR(VLOOKUP(C38,'Matriz SWOT'!$J$5:$K$14,2,FALSE)),"",VLOOKUP(C38,'Matriz SWOT'!$J$5:$K$14,2,FALSE))</f>
        <v/>
      </c>
      <c r="E38" s="125"/>
      <c r="F38" s="123" t="str">
        <f>IF(ISERROR(VLOOKUP(E38,'Matriz SWOT'!$J$5:$K$24,2,FALSE)),"",VLOOKUP(E38,'Matriz SWOT'!$J$5:$K$24,2,FALSE))</f>
        <v/>
      </c>
      <c r="G38" s="123" t="str">
        <f t="shared" si="1"/>
        <v/>
      </c>
      <c r="H38" s="124" t="str">
        <f t="shared" si="2"/>
        <v/>
      </c>
      <c r="I38" s="30"/>
      <c r="J38" s="30"/>
      <c r="K38" s="30"/>
      <c r="L38" s="54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34.5" customHeight="1">
      <c r="A39" s="30"/>
      <c r="B39" s="30"/>
      <c r="C39" s="125"/>
      <c r="D39" s="123" t="str">
        <f>IF(ISERROR(VLOOKUP(C39,'Matriz SWOT'!$J$5:$K$14,2,FALSE)),"",VLOOKUP(C39,'Matriz SWOT'!$J$5:$K$14,2,FALSE))</f>
        <v/>
      </c>
      <c r="E39" s="125"/>
      <c r="F39" s="123" t="str">
        <f>IF(ISERROR(VLOOKUP(E39,'Matriz SWOT'!$J$5:$K$24,2,FALSE)),"",VLOOKUP(E39,'Matriz SWOT'!$J$5:$K$24,2,FALSE))</f>
        <v/>
      </c>
      <c r="G39" s="123" t="str">
        <f t="shared" si="1"/>
        <v/>
      </c>
      <c r="H39" s="124" t="str">
        <f t="shared" si="2"/>
        <v/>
      </c>
      <c r="I39" s="30"/>
      <c r="J39" s="30"/>
      <c r="K39" s="30"/>
      <c r="L39" s="54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34.5" customHeight="1">
      <c r="A40" s="30"/>
      <c r="B40" s="30"/>
      <c r="C40" s="125"/>
      <c r="D40" s="123" t="str">
        <f>IF(ISERROR(VLOOKUP(C40,'Matriz SWOT'!$J$5:$K$14,2,FALSE)),"",VLOOKUP(C40,'Matriz SWOT'!$J$5:$K$14,2,FALSE))</f>
        <v/>
      </c>
      <c r="E40" s="125"/>
      <c r="F40" s="123" t="str">
        <f>IF(ISERROR(VLOOKUP(E40,'Matriz SWOT'!$J$5:$K$24,2,FALSE)),"",VLOOKUP(E40,'Matriz SWOT'!$J$5:$K$24,2,FALSE))</f>
        <v/>
      </c>
      <c r="G40" s="123" t="str">
        <f t="shared" si="1"/>
        <v/>
      </c>
      <c r="H40" s="124" t="str">
        <f t="shared" si="2"/>
        <v/>
      </c>
      <c r="I40" s="30"/>
      <c r="J40" s="30"/>
      <c r="K40" s="30"/>
      <c r="L40" s="54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34.5" customHeight="1">
      <c r="A41" s="30"/>
      <c r="B41" s="30"/>
      <c r="C41" s="125"/>
      <c r="D41" s="123" t="str">
        <f>IF(ISERROR(VLOOKUP(C41,'Matriz SWOT'!$J$5:$K$14,2,FALSE)),"",VLOOKUP(C41,'Matriz SWOT'!$J$5:$K$14,2,FALSE))</f>
        <v/>
      </c>
      <c r="E41" s="125"/>
      <c r="F41" s="123" t="str">
        <f>IF(ISERROR(VLOOKUP(E41,'Matriz SWOT'!$J$5:$K$24,2,FALSE)),"",VLOOKUP(E41,'Matriz SWOT'!$J$5:$K$24,2,FALSE))</f>
        <v/>
      </c>
      <c r="G41" s="123" t="str">
        <f t="shared" si="1"/>
        <v/>
      </c>
      <c r="H41" s="124" t="str">
        <f t="shared" si="2"/>
        <v/>
      </c>
      <c r="I41" s="30"/>
      <c r="J41" s="30"/>
      <c r="K41" s="30"/>
      <c r="L41" s="54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34.5" customHeight="1">
      <c r="A42" s="30"/>
      <c r="B42" s="30"/>
      <c r="C42" s="125"/>
      <c r="D42" s="123" t="str">
        <f>IF(ISERROR(VLOOKUP(C42,'Matriz SWOT'!$J$5:$K$14,2,FALSE)),"",VLOOKUP(C42,'Matriz SWOT'!$J$5:$K$14,2,FALSE))</f>
        <v/>
      </c>
      <c r="E42" s="125"/>
      <c r="F42" s="123" t="str">
        <f>IF(ISERROR(VLOOKUP(E42,'Matriz SWOT'!$J$5:$K$24,2,FALSE)),"",VLOOKUP(E42,'Matriz SWOT'!$J$5:$K$24,2,FALSE))</f>
        <v/>
      </c>
      <c r="G42" s="123" t="str">
        <f t="shared" si="1"/>
        <v/>
      </c>
      <c r="H42" s="124" t="str">
        <f t="shared" si="2"/>
        <v/>
      </c>
      <c r="I42" s="30"/>
      <c r="J42" s="30"/>
      <c r="K42" s="30"/>
      <c r="L42" s="54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34.5" customHeight="1">
      <c r="A43" s="30"/>
      <c r="B43" s="30"/>
      <c r="C43" s="125"/>
      <c r="D43" s="123" t="str">
        <f>IF(ISERROR(VLOOKUP(C43,'Matriz SWOT'!$J$5:$K$14,2,FALSE)),"",VLOOKUP(C43,'Matriz SWOT'!$J$5:$K$14,2,FALSE))</f>
        <v/>
      </c>
      <c r="E43" s="125"/>
      <c r="F43" s="123" t="str">
        <f>IF(ISERROR(VLOOKUP(E43,'Matriz SWOT'!$J$5:$K$24,2,FALSE)),"",VLOOKUP(E43,'Matriz SWOT'!$J$5:$K$24,2,FALSE))</f>
        <v/>
      </c>
      <c r="G43" s="123" t="str">
        <f t="shared" si="1"/>
        <v/>
      </c>
      <c r="H43" s="124" t="str">
        <f t="shared" si="2"/>
        <v/>
      </c>
      <c r="I43" s="30"/>
      <c r="J43" s="30"/>
      <c r="K43" s="30"/>
      <c r="L43" s="54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34.5" customHeight="1">
      <c r="A44" s="30"/>
      <c r="B44" s="30"/>
      <c r="C44" s="125"/>
      <c r="D44" s="123" t="str">
        <f>IF(ISERROR(VLOOKUP(C44,'Matriz SWOT'!$J$5:$K$14,2,FALSE)),"",VLOOKUP(C44,'Matriz SWOT'!$J$5:$K$14,2,FALSE))</f>
        <v/>
      </c>
      <c r="E44" s="125"/>
      <c r="F44" s="123" t="str">
        <f>IF(ISERROR(VLOOKUP(E44,'Matriz SWOT'!$J$5:$K$24,2,FALSE)),"",VLOOKUP(E44,'Matriz SWOT'!$J$5:$K$24,2,FALSE))</f>
        <v/>
      </c>
      <c r="G44" s="123" t="str">
        <f t="shared" si="1"/>
        <v/>
      </c>
      <c r="H44" s="124" t="str">
        <f t="shared" si="2"/>
        <v/>
      </c>
      <c r="I44" s="30"/>
      <c r="J44" s="30"/>
      <c r="K44" s="30"/>
      <c r="L44" s="54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34.5" customHeight="1">
      <c r="A45" s="30"/>
      <c r="B45" s="30"/>
      <c r="C45" s="125"/>
      <c r="D45" s="123" t="str">
        <f>IF(ISERROR(VLOOKUP(C45,'Matriz SWOT'!$J$5:$K$14,2,FALSE)),"",VLOOKUP(C45,'Matriz SWOT'!$J$5:$K$14,2,FALSE))</f>
        <v/>
      </c>
      <c r="E45" s="125"/>
      <c r="F45" s="123" t="str">
        <f>IF(ISERROR(VLOOKUP(E45,'Matriz SWOT'!$J$5:$K$24,2,FALSE)),"",VLOOKUP(E45,'Matriz SWOT'!$J$5:$K$24,2,FALSE))</f>
        <v/>
      </c>
      <c r="G45" s="123" t="str">
        <f t="shared" si="1"/>
        <v/>
      </c>
      <c r="H45" s="124" t="str">
        <f t="shared" si="2"/>
        <v/>
      </c>
      <c r="I45" s="30"/>
      <c r="J45" s="30"/>
      <c r="K45" s="30"/>
      <c r="L45" s="54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34.5" customHeight="1">
      <c r="A46" s="30"/>
      <c r="B46" s="30"/>
      <c r="C46" s="125"/>
      <c r="D46" s="123" t="str">
        <f>IF(ISERROR(VLOOKUP(C46,'Matriz SWOT'!$J$5:$K$14,2,FALSE)),"",VLOOKUP(C46,'Matriz SWOT'!$J$5:$K$14,2,FALSE))</f>
        <v/>
      </c>
      <c r="E46" s="125"/>
      <c r="F46" s="123" t="str">
        <f>IF(ISERROR(VLOOKUP(E46,'Matriz SWOT'!$J$5:$K$24,2,FALSE)),"",VLOOKUP(E46,'Matriz SWOT'!$J$5:$K$24,2,FALSE))</f>
        <v/>
      </c>
      <c r="G46" s="123" t="str">
        <f t="shared" si="1"/>
        <v/>
      </c>
      <c r="H46" s="124" t="str">
        <f t="shared" si="2"/>
        <v/>
      </c>
      <c r="I46" s="30"/>
      <c r="J46" s="30"/>
      <c r="K46" s="30"/>
      <c r="L46" s="54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34.5" customHeight="1">
      <c r="A47" s="30"/>
      <c r="B47" s="30"/>
      <c r="C47" s="125"/>
      <c r="D47" s="123" t="str">
        <f>IF(ISERROR(VLOOKUP(C47,'Matriz SWOT'!$J$5:$K$14,2,FALSE)),"",VLOOKUP(C47,'Matriz SWOT'!$J$5:$K$14,2,FALSE))</f>
        <v/>
      </c>
      <c r="E47" s="125"/>
      <c r="F47" s="123" t="str">
        <f>IF(ISERROR(VLOOKUP(E47,'Matriz SWOT'!$J$5:$K$24,2,FALSE)),"",VLOOKUP(E47,'Matriz SWOT'!$J$5:$K$24,2,FALSE))</f>
        <v/>
      </c>
      <c r="G47" s="123" t="str">
        <f t="shared" si="1"/>
        <v/>
      </c>
      <c r="H47" s="124" t="str">
        <f t="shared" si="2"/>
        <v/>
      </c>
      <c r="I47" s="30"/>
      <c r="J47" s="30"/>
      <c r="K47" s="30"/>
      <c r="L47" s="54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34.5" customHeight="1">
      <c r="A48" s="30"/>
      <c r="B48" s="30"/>
      <c r="C48" s="125"/>
      <c r="D48" s="123" t="str">
        <f>IF(ISERROR(VLOOKUP(C48,'Matriz SWOT'!$J$5:$K$14,2,FALSE)),"",VLOOKUP(C48,'Matriz SWOT'!$J$5:$K$14,2,FALSE))</f>
        <v/>
      </c>
      <c r="E48" s="125"/>
      <c r="F48" s="123" t="str">
        <f>IF(ISERROR(VLOOKUP(E48,'Matriz SWOT'!$J$5:$K$24,2,FALSE)),"",VLOOKUP(E48,'Matriz SWOT'!$J$5:$K$24,2,FALSE))</f>
        <v/>
      </c>
      <c r="G48" s="123" t="str">
        <f t="shared" si="1"/>
        <v/>
      </c>
      <c r="H48" s="124" t="str">
        <f t="shared" si="2"/>
        <v/>
      </c>
      <c r="I48" s="30"/>
      <c r="J48" s="30"/>
      <c r="K48" s="30"/>
      <c r="L48" s="54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34.5" customHeight="1">
      <c r="A49" s="30"/>
      <c r="B49" s="30"/>
      <c r="C49" s="125"/>
      <c r="D49" s="123" t="str">
        <f>IF(ISERROR(VLOOKUP(C49,'Matriz SWOT'!$J$5:$K$14,2,FALSE)),"",VLOOKUP(C49,'Matriz SWOT'!$J$5:$K$14,2,FALSE))</f>
        <v/>
      </c>
      <c r="E49" s="125"/>
      <c r="F49" s="123" t="str">
        <f>IF(ISERROR(VLOOKUP(E49,'Matriz SWOT'!$J$5:$K$24,2,FALSE)),"",VLOOKUP(E49,'Matriz SWOT'!$J$5:$K$24,2,FALSE))</f>
        <v/>
      </c>
      <c r="G49" s="123" t="str">
        <f t="shared" si="1"/>
        <v/>
      </c>
      <c r="H49" s="124" t="str">
        <f t="shared" si="2"/>
        <v/>
      </c>
      <c r="I49" s="30"/>
      <c r="J49" s="30"/>
      <c r="K49" s="30"/>
      <c r="L49" s="54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34.5" customHeight="1">
      <c r="A50" s="30"/>
      <c r="B50" s="30"/>
      <c r="C50" s="125"/>
      <c r="D50" s="123" t="str">
        <f>IF(ISERROR(VLOOKUP(C50,'Matriz SWOT'!$J$5:$K$14,2,FALSE)),"",VLOOKUP(C50,'Matriz SWOT'!$J$5:$K$14,2,FALSE))</f>
        <v/>
      </c>
      <c r="E50" s="125"/>
      <c r="F50" s="123" t="str">
        <f>IF(ISERROR(VLOOKUP(E50,'Matriz SWOT'!$J$5:$K$24,2,FALSE)),"",VLOOKUP(E50,'Matriz SWOT'!$J$5:$K$24,2,FALSE))</f>
        <v/>
      </c>
      <c r="G50" s="123" t="str">
        <f t="shared" si="1"/>
        <v/>
      </c>
      <c r="H50" s="124" t="str">
        <f t="shared" si="2"/>
        <v/>
      </c>
      <c r="I50" s="30"/>
      <c r="J50" s="30"/>
      <c r="K50" s="30"/>
      <c r="L50" s="54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34.5" customHeight="1">
      <c r="A51" s="30"/>
      <c r="B51" s="30"/>
      <c r="C51" s="125"/>
      <c r="D51" s="123" t="str">
        <f>IF(ISERROR(VLOOKUP(C51,'Matriz SWOT'!$J$5:$K$14,2,FALSE)),"",VLOOKUP(C51,'Matriz SWOT'!$J$5:$K$14,2,FALSE))</f>
        <v/>
      </c>
      <c r="E51" s="125"/>
      <c r="F51" s="123" t="str">
        <f>IF(ISERROR(VLOOKUP(E51,'Matriz SWOT'!$J$5:$K$24,2,FALSE)),"",VLOOKUP(E51,'Matriz SWOT'!$J$5:$K$24,2,FALSE))</f>
        <v/>
      </c>
      <c r="G51" s="123" t="str">
        <f t="shared" si="1"/>
        <v/>
      </c>
      <c r="H51" s="124" t="str">
        <f t="shared" si="2"/>
        <v/>
      </c>
      <c r="I51" s="30"/>
      <c r="J51" s="30"/>
      <c r="K51" s="30"/>
      <c r="L51" s="54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34.5" customHeight="1">
      <c r="A52" s="30"/>
      <c r="B52" s="30"/>
      <c r="C52" s="125"/>
      <c r="D52" s="123" t="str">
        <f>IF(ISERROR(VLOOKUP(C52,'Matriz SWOT'!$J$5:$K$14,2,FALSE)),"",VLOOKUP(C52,'Matriz SWOT'!$J$5:$K$14,2,FALSE))</f>
        <v/>
      </c>
      <c r="E52" s="125"/>
      <c r="F52" s="123" t="str">
        <f>IF(ISERROR(VLOOKUP(E52,'Matriz SWOT'!$J$5:$K$24,2,FALSE)),"",VLOOKUP(E52,'Matriz SWOT'!$J$5:$K$24,2,FALSE))</f>
        <v/>
      </c>
      <c r="G52" s="123" t="str">
        <f t="shared" si="1"/>
        <v/>
      </c>
      <c r="H52" s="124" t="str">
        <f t="shared" si="2"/>
        <v/>
      </c>
      <c r="I52" s="30"/>
      <c r="J52" s="30"/>
      <c r="K52" s="30"/>
      <c r="L52" s="54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34.5" customHeight="1">
      <c r="A53" s="30"/>
      <c r="B53" s="30"/>
      <c r="C53" s="125"/>
      <c r="D53" s="123" t="str">
        <f>IF(ISERROR(VLOOKUP(C53,'Matriz SWOT'!$J$5:$K$14,2,FALSE)),"",VLOOKUP(C53,'Matriz SWOT'!$J$5:$K$14,2,FALSE))</f>
        <v/>
      </c>
      <c r="E53" s="125"/>
      <c r="F53" s="123" t="str">
        <f>IF(ISERROR(VLOOKUP(E53,'Matriz SWOT'!$J$5:$K$24,2,FALSE)),"",VLOOKUP(E53,'Matriz SWOT'!$J$5:$K$24,2,FALSE))</f>
        <v/>
      </c>
      <c r="G53" s="123" t="str">
        <f t="shared" si="1"/>
        <v/>
      </c>
      <c r="H53" s="124" t="str">
        <f t="shared" si="2"/>
        <v/>
      </c>
      <c r="I53" s="30"/>
      <c r="J53" s="30"/>
      <c r="K53" s="30"/>
      <c r="L53" s="54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34.5" customHeight="1">
      <c r="A54" s="30"/>
      <c r="B54" s="30"/>
      <c r="C54" s="125"/>
      <c r="D54" s="123" t="str">
        <f>IF(ISERROR(VLOOKUP(C54,'Matriz SWOT'!$J$5:$K$14,2,FALSE)),"",VLOOKUP(C54,'Matriz SWOT'!$J$5:$K$14,2,FALSE))</f>
        <v/>
      </c>
      <c r="E54" s="125"/>
      <c r="F54" s="123" t="str">
        <f>IF(ISERROR(VLOOKUP(E54,'Matriz SWOT'!$J$5:$K$24,2,FALSE)),"",VLOOKUP(E54,'Matriz SWOT'!$J$5:$K$24,2,FALSE))</f>
        <v/>
      </c>
      <c r="G54" s="123" t="str">
        <f t="shared" si="1"/>
        <v/>
      </c>
      <c r="H54" s="124" t="str">
        <f t="shared" si="2"/>
        <v/>
      </c>
      <c r="I54" s="30"/>
      <c r="J54" s="30"/>
      <c r="K54" s="30"/>
      <c r="L54" s="54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34.5" customHeight="1">
      <c r="A55" s="60"/>
      <c r="B55" s="30"/>
      <c r="C55" s="125"/>
      <c r="D55" s="123" t="str">
        <f>IF(ISERROR(VLOOKUP(C55,'Matriz SWOT'!$J$5:$K$14,2,FALSE)),"",VLOOKUP(C55,'Matriz SWOT'!$J$5:$K$14,2,FALSE))</f>
        <v/>
      </c>
      <c r="E55" s="125"/>
      <c r="F55" s="123" t="str">
        <f>IF(ISERROR(VLOOKUP(E55,'Matriz SWOT'!$J$5:$K$24,2,FALSE)),"",VLOOKUP(E55,'Matriz SWOT'!$J$5:$K$24,2,FALSE))</f>
        <v/>
      </c>
      <c r="G55" s="123" t="str">
        <f t="shared" si="1"/>
        <v/>
      </c>
      <c r="H55" s="124" t="str">
        <f t="shared" si="2"/>
        <v/>
      </c>
      <c r="I55" s="30"/>
      <c r="J55" s="30"/>
      <c r="K55" s="30"/>
      <c r="L55" s="54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34.5" customHeight="1">
      <c r="A56" s="60"/>
      <c r="B56" s="30"/>
      <c r="C56" s="125"/>
      <c r="D56" s="123" t="str">
        <f>IF(ISERROR(VLOOKUP(C56,'Matriz SWOT'!$J$5:$K$14,2,FALSE)),"",VLOOKUP(C56,'Matriz SWOT'!$J$5:$K$14,2,FALSE))</f>
        <v/>
      </c>
      <c r="E56" s="125"/>
      <c r="F56" s="123" t="str">
        <f>IF(ISERROR(VLOOKUP(E56,'Matriz SWOT'!$J$5:$K$24,2,FALSE)),"",VLOOKUP(E56,'Matriz SWOT'!$J$5:$K$24,2,FALSE))</f>
        <v/>
      </c>
      <c r="G56" s="123" t="str">
        <f t="shared" si="1"/>
        <v/>
      </c>
      <c r="H56" s="124" t="str">
        <f t="shared" si="2"/>
        <v/>
      </c>
      <c r="I56" s="30"/>
      <c r="J56" s="30"/>
      <c r="K56" s="30"/>
      <c r="L56" s="54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34.5" customHeight="1">
      <c r="A57" s="60"/>
      <c r="B57" s="30"/>
      <c r="C57" s="125"/>
      <c r="D57" s="123" t="str">
        <f>IF(ISERROR(VLOOKUP(C57,'Matriz SWOT'!$J$5:$K$14,2,FALSE)),"",VLOOKUP(C57,'Matriz SWOT'!$J$5:$K$14,2,FALSE))</f>
        <v/>
      </c>
      <c r="E57" s="125"/>
      <c r="F57" s="123" t="str">
        <f>IF(ISERROR(VLOOKUP(E57,'Matriz SWOT'!$J$5:$K$24,2,FALSE)),"",VLOOKUP(E57,'Matriz SWOT'!$J$5:$K$24,2,FALSE))</f>
        <v/>
      </c>
      <c r="G57" s="123" t="str">
        <f t="shared" si="1"/>
        <v/>
      </c>
      <c r="H57" s="124" t="str">
        <f t="shared" si="2"/>
        <v/>
      </c>
      <c r="I57" s="30"/>
      <c r="J57" s="30"/>
      <c r="K57" s="30"/>
      <c r="L57" s="54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34.5" customHeight="1">
      <c r="A58" s="30"/>
      <c r="B58" s="30"/>
      <c r="C58" s="125"/>
      <c r="D58" s="123" t="str">
        <f>IF(ISERROR(VLOOKUP(C58,'Matriz SWOT'!$J$5:$K$14,2,FALSE)),"",VLOOKUP(C58,'Matriz SWOT'!$J$5:$K$14,2,FALSE))</f>
        <v/>
      </c>
      <c r="E58" s="125"/>
      <c r="F58" s="123" t="str">
        <f>IF(ISERROR(VLOOKUP(E58,'Matriz SWOT'!$J$5:$K$24,2,FALSE)),"",VLOOKUP(E58,'Matriz SWOT'!$J$5:$K$24,2,FALSE))</f>
        <v/>
      </c>
      <c r="G58" s="123" t="str">
        <f t="shared" si="1"/>
        <v/>
      </c>
      <c r="H58" s="124" t="str">
        <f t="shared" si="2"/>
        <v/>
      </c>
      <c r="I58" s="30"/>
      <c r="J58" s="30"/>
      <c r="K58" s="30"/>
      <c r="L58" s="54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34.5" customHeight="1">
      <c r="A59" s="30"/>
      <c r="B59" s="30"/>
      <c r="C59" s="125"/>
      <c r="D59" s="123" t="str">
        <f>IF(ISERROR(VLOOKUP(C59,'Matriz SWOT'!$J$5:$K$14,2,FALSE)),"",VLOOKUP(C59,'Matriz SWOT'!$J$5:$K$14,2,FALSE))</f>
        <v/>
      </c>
      <c r="E59" s="125"/>
      <c r="F59" s="123" t="str">
        <f>IF(ISERROR(VLOOKUP(E59,'Matriz SWOT'!$J$5:$K$24,2,FALSE)),"",VLOOKUP(E59,'Matriz SWOT'!$J$5:$K$24,2,FALSE))</f>
        <v/>
      </c>
      <c r="G59" s="123" t="str">
        <f t="shared" si="1"/>
        <v/>
      </c>
      <c r="H59" s="124" t="str">
        <f t="shared" si="2"/>
        <v/>
      </c>
      <c r="I59" s="30"/>
      <c r="J59" s="30"/>
      <c r="K59" s="30"/>
      <c r="L59" s="54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34.5" customHeight="1">
      <c r="A60" s="30"/>
      <c r="B60" s="30"/>
      <c r="C60" s="125"/>
      <c r="D60" s="123" t="str">
        <f>IF(ISERROR(VLOOKUP(C60,'Matriz SWOT'!$J$5:$K$14,2,FALSE)),"",VLOOKUP(C60,'Matriz SWOT'!$J$5:$K$14,2,FALSE))</f>
        <v/>
      </c>
      <c r="E60" s="125"/>
      <c r="F60" s="123" t="str">
        <f>IF(ISERROR(VLOOKUP(E60,'Matriz SWOT'!$J$5:$K$24,2,FALSE)),"",VLOOKUP(E60,'Matriz SWOT'!$J$5:$K$24,2,FALSE))</f>
        <v/>
      </c>
      <c r="G60" s="123" t="str">
        <f t="shared" si="1"/>
        <v/>
      </c>
      <c r="H60" s="124" t="str">
        <f t="shared" si="2"/>
        <v/>
      </c>
      <c r="I60" s="30"/>
      <c r="J60" s="30"/>
      <c r="K60" s="30"/>
      <c r="L60" s="54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34.5" customHeight="1">
      <c r="A61" s="30"/>
      <c r="B61" s="30"/>
      <c r="C61" s="125"/>
      <c r="D61" s="123" t="str">
        <f>IF(ISERROR(VLOOKUP(C61,'Matriz SWOT'!$J$5:$K$14,2,FALSE)),"",VLOOKUP(C61,'Matriz SWOT'!$J$5:$K$14,2,FALSE))</f>
        <v/>
      </c>
      <c r="E61" s="125"/>
      <c r="F61" s="123" t="str">
        <f>IF(ISERROR(VLOOKUP(E61,'Matriz SWOT'!$J$5:$K$24,2,FALSE)),"",VLOOKUP(E61,'Matriz SWOT'!$J$5:$K$24,2,FALSE))</f>
        <v/>
      </c>
      <c r="G61" s="123" t="str">
        <f t="shared" si="1"/>
        <v/>
      </c>
      <c r="H61" s="124" t="str">
        <f t="shared" si="2"/>
        <v/>
      </c>
      <c r="I61" s="30"/>
      <c r="J61" s="30"/>
      <c r="K61" s="30"/>
      <c r="L61" s="54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34.5" customHeight="1">
      <c r="A62" s="30"/>
      <c r="B62" s="30"/>
      <c r="C62" s="125"/>
      <c r="D62" s="123" t="str">
        <f>IF(ISERROR(VLOOKUP(C62,'Matriz SWOT'!$J$5:$K$14,2,FALSE)),"",VLOOKUP(C62,'Matriz SWOT'!$J$5:$K$14,2,FALSE))</f>
        <v/>
      </c>
      <c r="E62" s="125"/>
      <c r="F62" s="123" t="str">
        <f>IF(ISERROR(VLOOKUP(E62,'Matriz SWOT'!$J$5:$K$24,2,FALSE)),"",VLOOKUP(E62,'Matriz SWOT'!$J$5:$K$24,2,FALSE))</f>
        <v/>
      </c>
      <c r="G62" s="123" t="str">
        <f t="shared" si="1"/>
        <v/>
      </c>
      <c r="H62" s="124" t="str">
        <f t="shared" si="2"/>
        <v/>
      </c>
      <c r="I62" s="30"/>
      <c r="J62" s="30"/>
      <c r="K62" s="30"/>
      <c r="L62" s="54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34.5" customHeight="1">
      <c r="A63" s="30"/>
      <c r="B63" s="30"/>
      <c r="C63" s="125"/>
      <c r="D63" s="123" t="str">
        <f>IF(ISERROR(VLOOKUP(C63,'Matriz SWOT'!$J$5:$K$14,2,FALSE)),"",VLOOKUP(C63,'Matriz SWOT'!$J$5:$K$14,2,FALSE))</f>
        <v/>
      </c>
      <c r="E63" s="125"/>
      <c r="F63" s="123" t="str">
        <f>IF(ISERROR(VLOOKUP(E63,'Matriz SWOT'!$J$5:$K$24,2,FALSE)),"",VLOOKUP(E63,'Matriz SWOT'!$J$5:$K$24,2,FALSE))</f>
        <v/>
      </c>
      <c r="G63" s="123" t="str">
        <f t="shared" si="1"/>
        <v/>
      </c>
      <c r="H63" s="124" t="str">
        <f t="shared" si="2"/>
        <v/>
      </c>
      <c r="I63" s="30"/>
      <c r="J63" s="30"/>
      <c r="K63" s="30"/>
      <c r="L63" s="54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34.5" customHeight="1">
      <c r="A64" s="30"/>
      <c r="B64" s="30"/>
      <c r="C64" s="125"/>
      <c r="D64" s="123" t="str">
        <f>IF(ISERROR(VLOOKUP(C64,'Matriz SWOT'!$J$5:$K$14,2,FALSE)),"",VLOOKUP(C64,'Matriz SWOT'!$J$5:$K$14,2,FALSE))</f>
        <v/>
      </c>
      <c r="E64" s="125"/>
      <c r="F64" s="123" t="str">
        <f>IF(ISERROR(VLOOKUP(E64,'Matriz SWOT'!$J$5:$K$24,2,FALSE)),"",VLOOKUP(E64,'Matriz SWOT'!$J$5:$K$24,2,FALSE))</f>
        <v/>
      </c>
      <c r="G64" s="123" t="str">
        <f t="shared" si="1"/>
        <v/>
      </c>
      <c r="H64" s="124" t="str">
        <f t="shared" si="2"/>
        <v/>
      </c>
      <c r="I64" s="30"/>
      <c r="J64" s="30"/>
      <c r="K64" s="30"/>
      <c r="L64" s="54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34.5" customHeight="1">
      <c r="A65" s="30"/>
      <c r="B65" s="30"/>
      <c r="C65" s="125"/>
      <c r="D65" s="123" t="str">
        <f>IF(ISERROR(VLOOKUP(C65,'Matriz SWOT'!$J$5:$K$14,2,FALSE)),"",VLOOKUP(C65,'Matriz SWOT'!$J$5:$K$14,2,FALSE))</f>
        <v/>
      </c>
      <c r="E65" s="125"/>
      <c r="F65" s="123" t="str">
        <f>IF(ISERROR(VLOOKUP(E65,'Matriz SWOT'!$J$5:$K$24,2,FALSE)),"",VLOOKUP(E65,'Matriz SWOT'!$J$5:$K$24,2,FALSE))</f>
        <v/>
      </c>
      <c r="G65" s="123" t="str">
        <f t="shared" si="1"/>
        <v/>
      </c>
      <c r="H65" s="124" t="str">
        <f t="shared" si="2"/>
        <v/>
      </c>
      <c r="I65" s="30"/>
      <c r="J65" s="30"/>
      <c r="K65" s="30"/>
      <c r="L65" s="54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34.5" customHeight="1">
      <c r="A66" s="30"/>
      <c r="B66" s="30"/>
      <c r="C66" s="125"/>
      <c r="D66" s="123" t="str">
        <f>IF(ISERROR(VLOOKUP(C66,'Matriz SWOT'!$J$5:$K$14,2,FALSE)),"",VLOOKUP(C66,'Matriz SWOT'!$J$5:$K$14,2,FALSE))</f>
        <v/>
      </c>
      <c r="E66" s="125"/>
      <c r="F66" s="123" t="str">
        <f>IF(ISERROR(VLOOKUP(E66,'Matriz SWOT'!$J$5:$K$24,2,FALSE)),"",VLOOKUP(E66,'Matriz SWOT'!$J$5:$K$24,2,FALSE))</f>
        <v/>
      </c>
      <c r="G66" s="123" t="str">
        <f t="shared" si="1"/>
        <v/>
      </c>
      <c r="H66" s="124" t="str">
        <f t="shared" si="2"/>
        <v/>
      </c>
      <c r="I66" s="30"/>
      <c r="J66" s="30"/>
      <c r="K66" s="30"/>
      <c r="L66" s="54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34.5" customHeight="1">
      <c r="A67" s="30"/>
      <c r="B67" s="30"/>
      <c r="C67" s="125"/>
      <c r="D67" s="123" t="str">
        <f>IF(ISERROR(VLOOKUP(C67,'Matriz SWOT'!$J$5:$K$14,2,FALSE)),"",VLOOKUP(C67,'Matriz SWOT'!$J$5:$K$14,2,FALSE))</f>
        <v/>
      </c>
      <c r="E67" s="125"/>
      <c r="F67" s="123" t="str">
        <f>IF(ISERROR(VLOOKUP(E67,'Matriz SWOT'!$J$5:$K$24,2,FALSE)),"",VLOOKUP(E67,'Matriz SWOT'!$J$5:$K$24,2,FALSE))</f>
        <v/>
      </c>
      <c r="G67" s="123" t="str">
        <f t="shared" si="1"/>
        <v/>
      </c>
      <c r="H67" s="124" t="str">
        <f t="shared" si="2"/>
        <v/>
      </c>
      <c r="I67" s="30"/>
      <c r="J67" s="30"/>
      <c r="K67" s="30"/>
      <c r="L67" s="54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34.5" customHeight="1">
      <c r="A68" s="30"/>
      <c r="B68" s="30"/>
      <c r="C68" s="125"/>
      <c r="D68" s="123" t="str">
        <f>IF(ISERROR(VLOOKUP(C68,'Matriz SWOT'!$J$5:$K$14,2,FALSE)),"",VLOOKUP(C68,'Matriz SWOT'!$J$5:$K$14,2,FALSE))</f>
        <v/>
      </c>
      <c r="E68" s="125"/>
      <c r="F68" s="123" t="str">
        <f>IF(ISERROR(VLOOKUP(E68,'Matriz SWOT'!$J$5:$K$24,2,FALSE)),"",VLOOKUP(E68,'Matriz SWOT'!$J$5:$K$24,2,FALSE))</f>
        <v/>
      </c>
      <c r="G68" s="123" t="str">
        <f t="shared" si="1"/>
        <v/>
      </c>
      <c r="H68" s="124" t="str">
        <f t="shared" si="2"/>
        <v/>
      </c>
      <c r="I68" s="30"/>
      <c r="J68" s="30"/>
      <c r="K68" s="30"/>
      <c r="L68" s="54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34.5" customHeight="1">
      <c r="A69" s="30"/>
      <c r="B69" s="30"/>
      <c r="C69" s="125"/>
      <c r="D69" s="123" t="str">
        <f>IF(ISERROR(VLOOKUP(C69,'Matriz SWOT'!$J$5:$K$14,2,FALSE)),"",VLOOKUP(C69,'Matriz SWOT'!$J$5:$K$14,2,FALSE))</f>
        <v/>
      </c>
      <c r="E69" s="125"/>
      <c r="F69" s="123" t="str">
        <f>IF(ISERROR(VLOOKUP(E69,'Matriz SWOT'!$J$5:$K$24,2,FALSE)),"",VLOOKUP(E69,'Matriz SWOT'!$J$5:$K$24,2,FALSE))</f>
        <v/>
      </c>
      <c r="G69" s="123" t="str">
        <f t="shared" si="1"/>
        <v/>
      </c>
      <c r="H69" s="124" t="str">
        <f t="shared" si="2"/>
        <v/>
      </c>
      <c r="I69" s="30"/>
      <c r="J69" s="30"/>
      <c r="K69" s="30"/>
      <c r="L69" s="54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34.5" customHeight="1">
      <c r="A70" s="30"/>
      <c r="B70" s="30"/>
      <c r="C70" s="125"/>
      <c r="D70" s="123" t="str">
        <f>IF(ISERROR(VLOOKUP(C70,'Matriz SWOT'!$J$5:$K$14,2,FALSE)),"",VLOOKUP(C70,'Matriz SWOT'!$J$5:$K$14,2,FALSE))</f>
        <v/>
      </c>
      <c r="E70" s="125"/>
      <c r="F70" s="123" t="str">
        <f>IF(ISERROR(VLOOKUP(E70,'Matriz SWOT'!$J$5:$K$24,2,FALSE)),"",VLOOKUP(E70,'Matriz SWOT'!$J$5:$K$24,2,FALSE))</f>
        <v/>
      </c>
      <c r="G70" s="123" t="str">
        <f t="shared" si="1"/>
        <v/>
      </c>
      <c r="H70" s="124" t="str">
        <f t="shared" si="2"/>
        <v/>
      </c>
      <c r="I70" s="30"/>
      <c r="J70" s="30"/>
      <c r="K70" s="30"/>
      <c r="L70" s="54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34.5" customHeight="1">
      <c r="A71" s="30"/>
      <c r="B71" s="30"/>
      <c r="C71" s="125"/>
      <c r="D71" s="123" t="str">
        <f>IF(ISERROR(VLOOKUP(C71,'Matriz SWOT'!$J$5:$K$14,2,FALSE)),"",VLOOKUP(C71,'Matriz SWOT'!$J$5:$K$14,2,FALSE))</f>
        <v/>
      </c>
      <c r="E71" s="125"/>
      <c r="F71" s="123" t="str">
        <f>IF(ISERROR(VLOOKUP(E71,'Matriz SWOT'!$J$5:$K$24,2,FALSE)),"",VLOOKUP(E71,'Matriz SWOT'!$J$5:$K$24,2,FALSE))</f>
        <v/>
      </c>
      <c r="G71" s="123" t="str">
        <f t="shared" si="1"/>
        <v/>
      </c>
      <c r="H71" s="124" t="str">
        <f t="shared" si="2"/>
        <v/>
      </c>
      <c r="I71" s="30"/>
      <c r="J71" s="30"/>
      <c r="K71" s="30"/>
      <c r="L71" s="54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34.5" customHeight="1">
      <c r="A72" s="30"/>
      <c r="B72" s="30"/>
      <c r="C72" s="125"/>
      <c r="D72" s="123" t="str">
        <f>IF(ISERROR(VLOOKUP(C72,'Matriz SWOT'!$J$5:$K$14,2,FALSE)),"",VLOOKUP(C72,'Matriz SWOT'!$J$5:$K$14,2,FALSE))</f>
        <v/>
      </c>
      <c r="E72" s="125"/>
      <c r="F72" s="123" t="str">
        <f>IF(ISERROR(VLOOKUP(E72,'Matriz SWOT'!$J$5:$K$24,2,FALSE)),"",VLOOKUP(E72,'Matriz SWOT'!$J$5:$K$24,2,FALSE))</f>
        <v/>
      </c>
      <c r="G72" s="123" t="str">
        <f t="shared" si="1"/>
        <v/>
      </c>
      <c r="H72" s="124" t="str">
        <f t="shared" si="2"/>
        <v/>
      </c>
      <c r="I72" s="30"/>
      <c r="J72" s="30"/>
      <c r="K72" s="30"/>
      <c r="L72" s="54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34.5" customHeight="1">
      <c r="A73" s="30"/>
      <c r="B73" s="30"/>
      <c r="C73" s="125"/>
      <c r="D73" s="123" t="str">
        <f>IF(ISERROR(VLOOKUP(C73,'Matriz SWOT'!$J$5:$K$14,2,FALSE)),"",VLOOKUP(C73,'Matriz SWOT'!$J$5:$K$14,2,FALSE))</f>
        <v/>
      </c>
      <c r="E73" s="125"/>
      <c r="F73" s="123" t="str">
        <f>IF(ISERROR(VLOOKUP(E73,'Matriz SWOT'!$J$5:$K$24,2,FALSE)),"",VLOOKUP(E73,'Matriz SWOT'!$J$5:$K$24,2,FALSE))</f>
        <v/>
      </c>
      <c r="G73" s="123" t="str">
        <f t="shared" si="1"/>
        <v/>
      </c>
      <c r="H73" s="124" t="str">
        <f t="shared" si="2"/>
        <v/>
      </c>
      <c r="I73" s="30"/>
      <c r="J73" s="30"/>
      <c r="K73" s="30"/>
      <c r="L73" s="54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34.5" customHeight="1">
      <c r="A74" s="30"/>
      <c r="B74" s="30"/>
      <c r="C74" s="125"/>
      <c r="D74" s="123" t="str">
        <f>IF(ISERROR(VLOOKUP(C74,'Matriz SWOT'!$J$5:$K$14,2,FALSE)),"",VLOOKUP(C74,'Matriz SWOT'!$J$5:$K$14,2,FALSE))</f>
        <v/>
      </c>
      <c r="E74" s="125"/>
      <c r="F74" s="123" t="str">
        <f>IF(ISERROR(VLOOKUP(E74,'Matriz SWOT'!$J$5:$K$24,2,FALSE)),"",VLOOKUP(E74,'Matriz SWOT'!$J$5:$K$24,2,FALSE))</f>
        <v/>
      </c>
      <c r="G74" s="123" t="str">
        <f t="shared" si="1"/>
        <v/>
      </c>
      <c r="H74" s="124" t="str">
        <f t="shared" si="2"/>
        <v/>
      </c>
      <c r="I74" s="30"/>
      <c r="J74" s="30"/>
      <c r="K74" s="30"/>
      <c r="L74" s="54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34.5" customHeight="1">
      <c r="A75" s="30"/>
      <c r="B75" s="30"/>
      <c r="C75" s="125"/>
      <c r="D75" s="123" t="str">
        <f>IF(ISERROR(VLOOKUP(C75,'Matriz SWOT'!$J$5:$K$14,2,FALSE)),"",VLOOKUP(C75,'Matriz SWOT'!$J$5:$K$14,2,FALSE))</f>
        <v/>
      </c>
      <c r="E75" s="125"/>
      <c r="F75" s="123" t="str">
        <f>IF(ISERROR(VLOOKUP(E75,'Matriz SWOT'!$J$5:$K$24,2,FALSE)),"",VLOOKUP(E75,'Matriz SWOT'!$J$5:$K$24,2,FALSE))</f>
        <v/>
      </c>
      <c r="G75" s="123" t="str">
        <f t="shared" si="1"/>
        <v/>
      </c>
      <c r="H75" s="124" t="str">
        <f t="shared" si="2"/>
        <v/>
      </c>
      <c r="I75" s="30"/>
      <c r="J75" s="30"/>
      <c r="K75" s="30"/>
      <c r="L75" s="54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34.5" customHeight="1">
      <c r="A76" s="30"/>
      <c r="B76" s="30"/>
      <c r="C76" s="125"/>
      <c r="D76" s="123" t="str">
        <f>IF(ISERROR(VLOOKUP(C76,'Matriz SWOT'!$J$5:$K$14,2,FALSE)),"",VLOOKUP(C76,'Matriz SWOT'!$J$5:$K$14,2,FALSE))</f>
        <v/>
      </c>
      <c r="E76" s="125"/>
      <c r="F76" s="123" t="str">
        <f>IF(ISERROR(VLOOKUP(E76,'Matriz SWOT'!$J$5:$K$24,2,FALSE)),"",VLOOKUP(E76,'Matriz SWOT'!$J$5:$K$24,2,FALSE))</f>
        <v/>
      </c>
      <c r="G76" s="123" t="str">
        <f t="shared" si="1"/>
        <v/>
      </c>
      <c r="H76" s="124" t="str">
        <f t="shared" si="2"/>
        <v/>
      </c>
      <c r="I76" s="30"/>
      <c r="J76" s="30"/>
      <c r="K76" s="30"/>
      <c r="L76" s="54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34.5" customHeight="1">
      <c r="A77" s="30"/>
      <c r="B77" s="30"/>
      <c r="C77" s="125"/>
      <c r="D77" s="123" t="str">
        <f>IF(ISERROR(VLOOKUP(C77,'Matriz SWOT'!$J$5:$K$14,2,FALSE)),"",VLOOKUP(C77,'Matriz SWOT'!$J$5:$K$14,2,FALSE))</f>
        <v/>
      </c>
      <c r="E77" s="125"/>
      <c r="F77" s="123" t="str">
        <f>IF(ISERROR(VLOOKUP(E77,'Matriz SWOT'!$J$5:$K$24,2,FALSE)),"",VLOOKUP(E77,'Matriz SWOT'!$J$5:$K$24,2,FALSE))</f>
        <v/>
      </c>
      <c r="G77" s="123" t="str">
        <f t="shared" si="1"/>
        <v/>
      </c>
      <c r="H77" s="124" t="str">
        <f t="shared" si="2"/>
        <v/>
      </c>
      <c r="I77" s="30"/>
      <c r="J77" s="30"/>
      <c r="K77" s="30"/>
      <c r="L77" s="54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34.5" customHeight="1">
      <c r="A78" s="30"/>
      <c r="B78" s="30"/>
      <c r="C78" s="125"/>
      <c r="D78" s="123" t="str">
        <f>IF(ISERROR(VLOOKUP(C78,'Matriz SWOT'!$J$5:$K$14,2,FALSE)),"",VLOOKUP(C78,'Matriz SWOT'!$J$5:$K$14,2,FALSE))</f>
        <v/>
      </c>
      <c r="E78" s="125"/>
      <c r="F78" s="123" t="str">
        <f>IF(ISERROR(VLOOKUP(E78,'Matriz SWOT'!$J$5:$K$24,2,FALSE)),"",VLOOKUP(E78,'Matriz SWOT'!$J$5:$K$24,2,FALSE))</f>
        <v/>
      </c>
      <c r="G78" s="123" t="str">
        <f t="shared" si="1"/>
        <v/>
      </c>
      <c r="H78" s="124" t="str">
        <f t="shared" si="2"/>
        <v/>
      </c>
      <c r="I78" s="30"/>
      <c r="J78" s="30"/>
      <c r="K78" s="30"/>
      <c r="L78" s="54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34.5" customHeight="1">
      <c r="A79" s="30"/>
      <c r="B79" s="30"/>
      <c r="C79" s="125"/>
      <c r="D79" s="123" t="str">
        <f>IF(ISERROR(VLOOKUP(C79,'Matriz SWOT'!$J$5:$K$14,2,FALSE)),"",VLOOKUP(C79,'Matriz SWOT'!$J$5:$K$14,2,FALSE))</f>
        <v/>
      </c>
      <c r="E79" s="125"/>
      <c r="F79" s="123" t="str">
        <f>IF(ISERROR(VLOOKUP(E79,'Matriz SWOT'!$J$5:$K$24,2,FALSE)),"",VLOOKUP(E79,'Matriz SWOT'!$J$5:$K$24,2,FALSE))</f>
        <v/>
      </c>
      <c r="G79" s="123" t="str">
        <f t="shared" si="1"/>
        <v/>
      </c>
      <c r="H79" s="124" t="str">
        <f t="shared" si="2"/>
        <v/>
      </c>
      <c r="I79" s="30"/>
      <c r="J79" s="30"/>
      <c r="K79" s="30"/>
      <c r="L79" s="54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34.5" customHeight="1">
      <c r="A80" s="30"/>
      <c r="B80" s="30"/>
      <c r="C80" s="125"/>
      <c r="D80" s="123" t="str">
        <f>IF(ISERROR(VLOOKUP(C80,'Matriz SWOT'!$J$5:$K$14,2,FALSE)),"",VLOOKUP(C80,'Matriz SWOT'!$J$5:$K$14,2,FALSE))</f>
        <v/>
      </c>
      <c r="E80" s="125"/>
      <c r="F80" s="123" t="str">
        <f>IF(ISERROR(VLOOKUP(E80,'Matriz SWOT'!$J$5:$K$24,2,FALSE)),"",VLOOKUP(E80,'Matriz SWOT'!$J$5:$K$24,2,FALSE))</f>
        <v/>
      </c>
      <c r="G80" s="123" t="str">
        <f t="shared" si="1"/>
        <v/>
      </c>
      <c r="H80" s="124" t="str">
        <f t="shared" si="2"/>
        <v/>
      </c>
      <c r="I80" s="30"/>
      <c r="J80" s="30"/>
      <c r="K80" s="30"/>
      <c r="L80" s="54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34.5" customHeight="1">
      <c r="A81" s="30"/>
      <c r="B81" s="30"/>
      <c r="C81" s="125"/>
      <c r="D81" s="123" t="str">
        <f>IF(ISERROR(VLOOKUP(C81,'Matriz SWOT'!$J$5:$K$14,2,FALSE)),"",VLOOKUP(C81,'Matriz SWOT'!$J$5:$K$14,2,FALSE))</f>
        <v/>
      </c>
      <c r="E81" s="125"/>
      <c r="F81" s="123" t="str">
        <f>IF(ISERROR(VLOOKUP(E81,'Matriz SWOT'!$J$5:$K$24,2,FALSE)),"",VLOOKUP(E81,'Matriz SWOT'!$J$5:$K$24,2,FALSE))</f>
        <v/>
      </c>
      <c r="G81" s="123" t="str">
        <f t="shared" si="1"/>
        <v/>
      </c>
      <c r="H81" s="124" t="str">
        <f t="shared" si="2"/>
        <v/>
      </c>
      <c r="I81" s="30"/>
      <c r="J81" s="30"/>
      <c r="K81" s="30"/>
      <c r="L81" s="54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34.5" customHeight="1">
      <c r="A82" s="30"/>
      <c r="B82" s="30"/>
      <c r="C82" s="125"/>
      <c r="D82" s="123" t="str">
        <f>IF(ISERROR(VLOOKUP(C82,'Matriz SWOT'!$J$5:$K$14,2,FALSE)),"",VLOOKUP(C82,'Matriz SWOT'!$J$5:$K$14,2,FALSE))</f>
        <v/>
      </c>
      <c r="E82" s="125"/>
      <c r="F82" s="123" t="str">
        <f>IF(ISERROR(VLOOKUP(E82,'Matriz SWOT'!$J$5:$K$24,2,FALSE)),"",VLOOKUP(E82,'Matriz SWOT'!$J$5:$K$24,2,FALSE))</f>
        <v/>
      </c>
      <c r="G82" s="123" t="str">
        <f t="shared" si="1"/>
        <v/>
      </c>
      <c r="H82" s="124" t="str">
        <f t="shared" si="2"/>
        <v/>
      </c>
      <c r="I82" s="30"/>
      <c r="J82" s="30"/>
      <c r="K82" s="30"/>
      <c r="L82" s="54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34.5" customHeight="1">
      <c r="A83" s="30"/>
      <c r="B83" s="30"/>
      <c r="C83" s="125"/>
      <c r="D83" s="123" t="str">
        <f>IF(ISERROR(VLOOKUP(C83,'Matriz SWOT'!$J$5:$K$14,2,FALSE)),"",VLOOKUP(C83,'Matriz SWOT'!$J$5:$K$14,2,FALSE))</f>
        <v/>
      </c>
      <c r="E83" s="125"/>
      <c r="F83" s="123" t="str">
        <f>IF(ISERROR(VLOOKUP(E83,'Matriz SWOT'!$J$5:$K$24,2,FALSE)),"",VLOOKUP(E83,'Matriz SWOT'!$J$5:$K$24,2,FALSE))</f>
        <v/>
      </c>
      <c r="G83" s="123" t="str">
        <f t="shared" si="1"/>
        <v/>
      </c>
      <c r="H83" s="124" t="str">
        <f t="shared" si="2"/>
        <v/>
      </c>
      <c r="I83" s="30"/>
      <c r="J83" s="30"/>
      <c r="K83" s="30"/>
      <c r="L83" s="54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34.5" customHeight="1">
      <c r="A84" s="30"/>
      <c r="B84" s="30"/>
      <c r="C84" s="125"/>
      <c r="D84" s="123" t="str">
        <f>IF(ISERROR(VLOOKUP(C84,'Matriz SWOT'!$J$5:$K$14,2,FALSE)),"",VLOOKUP(C84,'Matriz SWOT'!$J$5:$K$14,2,FALSE))</f>
        <v/>
      </c>
      <c r="E84" s="125"/>
      <c r="F84" s="123" t="str">
        <f>IF(ISERROR(VLOOKUP(E84,'Matriz SWOT'!$J$5:$K$24,2,FALSE)),"",VLOOKUP(E84,'Matriz SWOT'!$J$5:$K$24,2,FALSE))</f>
        <v/>
      </c>
      <c r="G84" s="123" t="str">
        <f t="shared" si="1"/>
        <v/>
      </c>
      <c r="H84" s="124" t="str">
        <f t="shared" si="2"/>
        <v/>
      </c>
      <c r="I84" s="30"/>
      <c r="J84" s="30"/>
      <c r="K84" s="30"/>
      <c r="L84" s="54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34.5" customHeight="1">
      <c r="A85" s="30"/>
      <c r="B85" s="30"/>
      <c r="C85" s="125"/>
      <c r="D85" s="123" t="str">
        <f>IF(ISERROR(VLOOKUP(C85,'Matriz SWOT'!$J$5:$K$14,2,FALSE)),"",VLOOKUP(C85,'Matriz SWOT'!$J$5:$K$14,2,FALSE))</f>
        <v/>
      </c>
      <c r="E85" s="125"/>
      <c r="F85" s="123" t="str">
        <f>IF(ISERROR(VLOOKUP(E85,'Matriz SWOT'!$J$5:$K$24,2,FALSE)),"",VLOOKUP(E85,'Matriz SWOT'!$J$5:$K$24,2,FALSE))</f>
        <v/>
      </c>
      <c r="G85" s="123" t="str">
        <f t="shared" si="1"/>
        <v/>
      </c>
      <c r="H85" s="124" t="str">
        <f t="shared" si="2"/>
        <v/>
      </c>
      <c r="I85" s="30"/>
      <c r="J85" s="30"/>
      <c r="K85" s="30"/>
      <c r="L85" s="54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34.5" customHeight="1">
      <c r="A86" s="30"/>
      <c r="B86" s="30"/>
      <c r="C86" s="125"/>
      <c r="D86" s="123" t="str">
        <f>IF(ISERROR(VLOOKUP(C86,'Matriz SWOT'!$J$5:$K$14,2,FALSE)),"",VLOOKUP(C86,'Matriz SWOT'!$J$5:$K$14,2,FALSE))</f>
        <v/>
      </c>
      <c r="E86" s="125"/>
      <c r="F86" s="123" t="str">
        <f>IF(ISERROR(VLOOKUP(E86,'Matriz SWOT'!$J$5:$K$24,2,FALSE)),"",VLOOKUP(E86,'Matriz SWOT'!$J$5:$K$24,2,FALSE))</f>
        <v/>
      </c>
      <c r="G86" s="123" t="str">
        <f t="shared" si="1"/>
        <v/>
      </c>
      <c r="H86" s="124" t="str">
        <f t="shared" si="2"/>
        <v/>
      </c>
      <c r="I86" s="30"/>
      <c r="J86" s="30"/>
      <c r="K86" s="30"/>
      <c r="L86" s="54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34.5" customHeight="1">
      <c r="A87" s="30"/>
      <c r="B87" s="30"/>
      <c r="C87" s="125"/>
      <c r="D87" s="123" t="str">
        <f>IF(ISERROR(VLOOKUP(C87,'Matriz SWOT'!$J$5:$K$14,2,FALSE)),"",VLOOKUP(C87,'Matriz SWOT'!$J$5:$K$14,2,FALSE))</f>
        <v/>
      </c>
      <c r="E87" s="125"/>
      <c r="F87" s="123" t="str">
        <f>IF(ISERROR(VLOOKUP(E87,'Matriz SWOT'!$J$5:$K$24,2,FALSE)),"",VLOOKUP(E87,'Matriz SWOT'!$J$5:$K$24,2,FALSE))</f>
        <v/>
      </c>
      <c r="G87" s="123" t="str">
        <f t="shared" si="1"/>
        <v/>
      </c>
      <c r="H87" s="124" t="str">
        <f t="shared" si="2"/>
        <v/>
      </c>
      <c r="I87" s="30"/>
      <c r="J87" s="30"/>
      <c r="K87" s="30"/>
      <c r="L87" s="54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34.5" customHeight="1">
      <c r="A88" s="30"/>
      <c r="B88" s="30"/>
      <c r="C88" s="125"/>
      <c r="D88" s="123" t="str">
        <f>IF(ISERROR(VLOOKUP(C88,'Matriz SWOT'!$J$5:$K$14,2,FALSE)),"",VLOOKUP(C88,'Matriz SWOT'!$J$5:$K$14,2,FALSE))</f>
        <v/>
      </c>
      <c r="E88" s="125"/>
      <c r="F88" s="123" t="str">
        <f>IF(ISERROR(VLOOKUP(E88,'Matriz SWOT'!$J$5:$K$24,2,FALSE)),"",VLOOKUP(E88,'Matriz SWOT'!$J$5:$K$24,2,FALSE))</f>
        <v/>
      </c>
      <c r="G88" s="123" t="str">
        <f t="shared" si="1"/>
        <v/>
      </c>
      <c r="H88" s="124" t="str">
        <f t="shared" si="2"/>
        <v/>
      </c>
      <c r="I88" s="30"/>
      <c r="J88" s="30"/>
      <c r="K88" s="30"/>
      <c r="L88" s="54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34.5" customHeight="1">
      <c r="A89" s="30"/>
      <c r="B89" s="30"/>
      <c r="C89" s="125"/>
      <c r="D89" s="123" t="str">
        <f>IF(ISERROR(VLOOKUP(C89,'Matriz SWOT'!$J$5:$K$14,2,FALSE)),"",VLOOKUP(C89,'Matriz SWOT'!$J$5:$K$14,2,FALSE))</f>
        <v/>
      </c>
      <c r="E89" s="125"/>
      <c r="F89" s="123" t="str">
        <f>IF(ISERROR(VLOOKUP(E89,'Matriz SWOT'!$J$5:$K$24,2,FALSE)),"",VLOOKUP(E89,'Matriz SWOT'!$J$5:$K$24,2,FALSE))</f>
        <v/>
      </c>
      <c r="G89" s="123" t="str">
        <f t="shared" si="1"/>
        <v/>
      </c>
      <c r="H89" s="124" t="str">
        <f t="shared" si="2"/>
        <v/>
      </c>
      <c r="I89" s="30"/>
      <c r="J89" s="30"/>
      <c r="K89" s="30"/>
      <c r="L89" s="54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34.5" customHeight="1">
      <c r="A90" s="30"/>
      <c r="B90" s="30"/>
      <c r="C90" s="125"/>
      <c r="D90" s="123" t="str">
        <f>IF(ISERROR(VLOOKUP(C90,'Matriz SWOT'!$J$5:$K$14,2,FALSE)),"",VLOOKUP(C90,'Matriz SWOT'!$J$5:$K$14,2,FALSE))</f>
        <v/>
      </c>
      <c r="E90" s="125"/>
      <c r="F90" s="123" t="str">
        <f>IF(ISERROR(VLOOKUP(E90,'Matriz SWOT'!$J$5:$K$24,2,FALSE)),"",VLOOKUP(E90,'Matriz SWOT'!$J$5:$K$24,2,FALSE))</f>
        <v/>
      </c>
      <c r="G90" s="123" t="str">
        <f t="shared" si="1"/>
        <v/>
      </c>
      <c r="H90" s="124" t="str">
        <f t="shared" si="2"/>
        <v/>
      </c>
      <c r="I90" s="30"/>
      <c r="J90" s="30"/>
      <c r="K90" s="30"/>
      <c r="L90" s="54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34.5" customHeight="1">
      <c r="A91" s="30"/>
      <c r="B91" s="30"/>
      <c r="C91" s="125"/>
      <c r="D91" s="123" t="str">
        <f>IF(ISERROR(VLOOKUP(C91,'Matriz SWOT'!$J$5:$K$14,2,FALSE)),"",VLOOKUP(C91,'Matriz SWOT'!$J$5:$K$14,2,FALSE))</f>
        <v/>
      </c>
      <c r="E91" s="125"/>
      <c r="F91" s="123" t="str">
        <f>IF(ISERROR(VLOOKUP(E91,'Matriz SWOT'!$J$5:$K$24,2,FALSE)),"",VLOOKUP(E91,'Matriz SWOT'!$J$5:$K$24,2,FALSE))</f>
        <v/>
      </c>
      <c r="G91" s="123" t="str">
        <f t="shared" si="1"/>
        <v/>
      </c>
      <c r="H91" s="124" t="str">
        <f t="shared" si="2"/>
        <v/>
      </c>
      <c r="I91" s="30"/>
      <c r="J91" s="30"/>
      <c r="K91" s="30"/>
      <c r="L91" s="54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34.5" customHeight="1">
      <c r="A92" s="30"/>
      <c r="B92" s="30"/>
      <c r="C92" s="125"/>
      <c r="D92" s="123" t="str">
        <f>IF(ISERROR(VLOOKUP(C92,'Matriz SWOT'!$J$5:$K$14,2,FALSE)),"",VLOOKUP(C92,'Matriz SWOT'!$J$5:$K$14,2,FALSE))</f>
        <v/>
      </c>
      <c r="E92" s="125"/>
      <c r="F92" s="123" t="str">
        <f>IF(ISERROR(VLOOKUP(E92,'Matriz SWOT'!$J$5:$K$24,2,FALSE)),"",VLOOKUP(E92,'Matriz SWOT'!$J$5:$K$24,2,FALSE))</f>
        <v/>
      </c>
      <c r="G92" s="123" t="str">
        <f t="shared" si="1"/>
        <v/>
      </c>
      <c r="H92" s="124" t="str">
        <f t="shared" si="2"/>
        <v/>
      </c>
      <c r="I92" s="30"/>
      <c r="J92" s="30"/>
      <c r="K92" s="30"/>
      <c r="L92" s="54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34.5" customHeight="1">
      <c r="A93" s="30"/>
      <c r="B93" s="30"/>
      <c r="C93" s="125"/>
      <c r="D93" s="123" t="str">
        <f>IF(ISERROR(VLOOKUP(C93,'Matriz SWOT'!$J$5:$K$14,2,FALSE)),"",VLOOKUP(C93,'Matriz SWOT'!$J$5:$K$14,2,FALSE))</f>
        <v/>
      </c>
      <c r="E93" s="125"/>
      <c r="F93" s="123" t="str">
        <f>IF(ISERROR(VLOOKUP(E93,'Matriz SWOT'!$J$5:$K$24,2,FALSE)),"",VLOOKUP(E93,'Matriz SWOT'!$J$5:$K$24,2,FALSE))</f>
        <v/>
      </c>
      <c r="G93" s="123" t="str">
        <f t="shared" si="1"/>
        <v/>
      </c>
      <c r="H93" s="124" t="str">
        <f t="shared" si="2"/>
        <v/>
      </c>
      <c r="I93" s="30"/>
      <c r="J93" s="30"/>
      <c r="K93" s="30"/>
      <c r="L93" s="54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34.5" customHeight="1">
      <c r="A94" s="30"/>
      <c r="B94" s="30"/>
      <c r="C94" s="125"/>
      <c r="D94" s="123" t="str">
        <f>IF(ISERROR(VLOOKUP(C94,'Matriz SWOT'!$J$5:$K$14,2,FALSE)),"",VLOOKUP(C94,'Matriz SWOT'!$J$5:$K$14,2,FALSE))</f>
        <v/>
      </c>
      <c r="E94" s="125"/>
      <c r="F94" s="123" t="str">
        <f>IF(ISERROR(VLOOKUP(E94,'Matriz SWOT'!$J$5:$K$24,2,FALSE)),"",VLOOKUP(E94,'Matriz SWOT'!$J$5:$K$24,2,FALSE))</f>
        <v/>
      </c>
      <c r="G94" s="123" t="str">
        <f t="shared" si="1"/>
        <v/>
      </c>
      <c r="H94" s="124" t="str">
        <f t="shared" si="2"/>
        <v/>
      </c>
      <c r="I94" s="30"/>
      <c r="J94" s="30"/>
      <c r="K94" s="30"/>
      <c r="L94" s="54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34.5" customHeight="1">
      <c r="A95" s="30"/>
      <c r="B95" s="30"/>
      <c r="C95" s="125"/>
      <c r="D95" s="123" t="str">
        <f>IF(ISERROR(VLOOKUP(C95,'Matriz SWOT'!$J$5:$K$14,2,FALSE)),"",VLOOKUP(C95,'Matriz SWOT'!$J$5:$K$14,2,FALSE))</f>
        <v/>
      </c>
      <c r="E95" s="125"/>
      <c r="F95" s="123" t="str">
        <f>IF(ISERROR(VLOOKUP(E95,'Matriz SWOT'!$J$5:$K$24,2,FALSE)),"",VLOOKUP(E95,'Matriz SWOT'!$J$5:$K$24,2,FALSE))</f>
        <v/>
      </c>
      <c r="G95" s="123" t="str">
        <f t="shared" si="1"/>
        <v/>
      </c>
      <c r="H95" s="124" t="str">
        <f t="shared" si="2"/>
        <v/>
      </c>
      <c r="I95" s="30"/>
      <c r="J95" s="30"/>
      <c r="K95" s="30"/>
      <c r="L95" s="54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34.5" customHeight="1">
      <c r="A96" s="30"/>
      <c r="B96" s="30"/>
      <c r="C96" s="125"/>
      <c r="D96" s="123" t="str">
        <f>IF(ISERROR(VLOOKUP(C96,'Matriz SWOT'!$J$5:$K$14,2,FALSE)),"",VLOOKUP(C96,'Matriz SWOT'!$J$5:$K$14,2,FALSE))</f>
        <v/>
      </c>
      <c r="E96" s="125"/>
      <c r="F96" s="123" t="str">
        <f>IF(ISERROR(VLOOKUP(E96,'Matriz SWOT'!$J$5:$K$24,2,FALSE)),"",VLOOKUP(E96,'Matriz SWOT'!$J$5:$K$24,2,FALSE))</f>
        <v/>
      </c>
      <c r="G96" s="123" t="str">
        <f t="shared" si="1"/>
        <v/>
      </c>
      <c r="H96" s="124" t="str">
        <f t="shared" si="2"/>
        <v/>
      </c>
      <c r="I96" s="30"/>
      <c r="J96" s="30"/>
      <c r="K96" s="30"/>
      <c r="L96" s="54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34.5" customHeight="1">
      <c r="A97" s="30"/>
      <c r="B97" s="30"/>
      <c r="C97" s="125"/>
      <c r="D97" s="123" t="str">
        <f>IF(ISERROR(VLOOKUP(C97,'Matriz SWOT'!$J$5:$K$14,2,FALSE)),"",VLOOKUP(C97,'Matriz SWOT'!$J$5:$K$14,2,FALSE))</f>
        <v/>
      </c>
      <c r="E97" s="125"/>
      <c r="F97" s="123" t="str">
        <f>IF(ISERROR(VLOOKUP(E97,'Matriz SWOT'!$J$5:$K$24,2,FALSE)),"",VLOOKUP(E97,'Matriz SWOT'!$J$5:$K$24,2,FALSE))</f>
        <v/>
      </c>
      <c r="G97" s="123" t="str">
        <f t="shared" si="1"/>
        <v/>
      </c>
      <c r="H97" s="124" t="str">
        <f t="shared" si="2"/>
        <v/>
      </c>
      <c r="I97" s="30"/>
      <c r="J97" s="30"/>
      <c r="K97" s="30"/>
      <c r="L97" s="54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34.5" customHeight="1">
      <c r="A98" s="30"/>
      <c r="B98" s="30"/>
      <c r="C98" s="125"/>
      <c r="D98" s="123" t="str">
        <f>IF(ISERROR(VLOOKUP(C98,'Matriz SWOT'!$J$5:$K$14,2,FALSE)),"",VLOOKUP(C98,'Matriz SWOT'!$J$5:$K$14,2,FALSE))</f>
        <v/>
      </c>
      <c r="E98" s="125"/>
      <c r="F98" s="123" t="str">
        <f>IF(ISERROR(VLOOKUP(E98,'Matriz SWOT'!$J$5:$K$24,2,FALSE)),"",VLOOKUP(E98,'Matriz SWOT'!$J$5:$K$24,2,FALSE))</f>
        <v/>
      </c>
      <c r="G98" s="123" t="str">
        <f t="shared" si="1"/>
        <v/>
      </c>
      <c r="H98" s="124" t="str">
        <f t="shared" si="2"/>
        <v/>
      </c>
      <c r="I98" s="30"/>
      <c r="J98" s="30"/>
      <c r="K98" s="30"/>
      <c r="L98" s="54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34.5" customHeight="1">
      <c r="A99" s="30"/>
      <c r="B99" s="30"/>
      <c r="C99" s="125"/>
      <c r="D99" s="123" t="str">
        <f>IF(ISERROR(VLOOKUP(C99,'Matriz SWOT'!$J$5:$K$14,2,FALSE)),"",VLOOKUP(C99,'Matriz SWOT'!$J$5:$K$14,2,FALSE))</f>
        <v/>
      </c>
      <c r="E99" s="125"/>
      <c r="F99" s="123" t="str">
        <f>IF(ISERROR(VLOOKUP(E99,'Matriz SWOT'!$J$5:$K$24,2,FALSE)),"",VLOOKUP(E99,'Matriz SWOT'!$J$5:$K$24,2,FALSE))</f>
        <v/>
      </c>
      <c r="G99" s="123" t="str">
        <f t="shared" si="1"/>
        <v/>
      </c>
      <c r="H99" s="124" t="str">
        <f t="shared" si="2"/>
        <v/>
      </c>
      <c r="I99" s="30"/>
      <c r="J99" s="30"/>
      <c r="K99" s="30"/>
      <c r="L99" s="54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34.5" customHeight="1">
      <c r="A100" s="30"/>
      <c r="B100" s="30"/>
      <c r="C100" s="125"/>
      <c r="D100" s="123" t="str">
        <f>IF(ISERROR(VLOOKUP(C100,'Matriz SWOT'!$J$5:$K$14,2,FALSE)),"",VLOOKUP(C100,'Matriz SWOT'!$J$5:$K$14,2,FALSE))</f>
        <v/>
      </c>
      <c r="E100" s="125"/>
      <c r="F100" s="123" t="str">
        <f>IF(ISERROR(VLOOKUP(E100,'Matriz SWOT'!$J$5:$K$24,2,FALSE)),"",VLOOKUP(E100,'Matriz SWOT'!$J$5:$K$24,2,FALSE))</f>
        <v/>
      </c>
      <c r="G100" s="123" t="str">
        <f t="shared" si="1"/>
        <v/>
      </c>
      <c r="H100" s="124" t="str">
        <f t="shared" si="2"/>
        <v/>
      </c>
      <c r="I100" s="30"/>
      <c r="J100" s="30"/>
      <c r="K100" s="30"/>
      <c r="L100" s="54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34.5" customHeight="1">
      <c r="A101" s="30"/>
      <c r="B101" s="30"/>
      <c r="C101" s="125"/>
      <c r="D101" s="123" t="str">
        <f>IF(ISERROR(VLOOKUP(C101,'Matriz SWOT'!$J$5:$K$14,2,FALSE)),"",VLOOKUP(C101,'Matriz SWOT'!$J$5:$K$14,2,FALSE))</f>
        <v/>
      </c>
      <c r="E101" s="125"/>
      <c r="F101" s="123" t="str">
        <f>IF(ISERROR(VLOOKUP(E101,'Matriz SWOT'!$J$5:$K$24,2,FALSE)),"",VLOOKUP(E101,'Matriz SWOT'!$J$5:$K$24,2,FALSE))</f>
        <v/>
      </c>
      <c r="G101" s="123" t="str">
        <f t="shared" si="1"/>
        <v/>
      </c>
      <c r="H101" s="124" t="str">
        <f t="shared" si="2"/>
        <v/>
      </c>
      <c r="I101" s="30"/>
      <c r="J101" s="30"/>
      <c r="K101" s="30"/>
      <c r="L101" s="54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34.5" customHeight="1">
      <c r="A102" s="30"/>
      <c r="B102" s="30"/>
      <c r="C102" s="125"/>
      <c r="D102" s="123" t="str">
        <f>IF(ISERROR(VLOOKUP(C102,'Matriz SWOT'!$J$5:$K$14,2,FALSE)),"",VLOOKUP(C102,'Matriz SWOT'!$J$5:$K$14,2,FALSE))</f>
        <v/>
      </c>
      <c r="E102" s="125"/>
      <c r="F102" s="123" t="str">
        <f>IF(ISERROR(VLOOKUP(E102,'Matriz SWOT'!$J$5:$K$24,2,FALSE)),"",VLOOKUP(E102,'Matriz SWOT'!$J$5:$K$24,2,FALSE))</f>
        <v/>
      </c>
      <c r="G102" s="123" t="str">
        <f t="shared" si="1"/>
        <v/>
      </c>
      <c r="H102" s="124" t="str">
        <f t="shared" si="2"/>
        <v/>
      </c>
      <c r="I102" s="30"/>
      <c r="J102" s="30"/>
      <c r="K102" s="30"/>
      <c r="L102" s="54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34.5" customHeight="1">
      <c r="A103" s="30"/>
      <c r="B103" s="30"/>
      <c r="C103" s="125"/>
      <c r="D103" s="123" t="str">
        <f>IF(ISERROR(VLOOKUP(C103,'Matriz SWOT'!$J$5:$K$14,2,FALSE)),"",VLOOKUP(C103,'Matriz SWOT'!$J$5:$K$14,2,FALSE))</f>
        <v/>
      </c>
      <c r="E103" s="125"/>
      <c r="F103" s="123" t="str">
        <f>IF(ISERROR(VLOOKUP(E103,'Matriz SWOT'!$J$5:$K$24,2,FALSE)),"",VLOOKUP(E103,'Matriz SWOT'!$J$5:$K$24,2,FALSE))</f>
        <v/>
      </c>
      <c r="G103" s="123" t="str">
        <f t="shared" si="1"/>
        <v/>
      </c>
      <c r="H103" s="124" t="str">
        <f t="shared" si="2"/>
        <v/>
      </c>
      <c r="I103" s="30"/>
      <c r="J103" s="30"/>
      <c r="K103" s="30"/>
      <c r="L103" s="54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34.5" customHeight="1">
      <c r="A104" s="30"/>
      <c r="B104" s="30"/>
      <c r="C104" s="125"/>
      <c r="D104" s="123" t="str">
        <f>IF(ISERROR(VLOOKUP(C104,'Matriz SWOT'!$J$5:$K$14,2,FALSE)),"",VLOOKUP(C104,'Matriz SWOT'!$J$5:$K$14,2,FALSE))</f>
        <v/>
      </c>
      <c r="E104" s="125"/>
      <c r="F104" s="123" t="str">
        <f>IF(ISERROR(VLOOKUP(E104,'Matriz SWOT'!$J$5:$K$24,2,FALSE)),"",VLOOKUP(E104,'Matriz SWOT'!$J$5:$K$24,2,FALSE))</f>
        <v/>
      </c>
      <c r="G104" s="123" t="str">
        <f t="shared" si="1"/>
        <v/>
      </c>
      <c r="H104" s="124" t="str">
        <f t="shared" si="2"/>
        <v/>
      </c>
      <c r="I104" s="30"/>
      <c r="J104" s="30"/>
      <c r="K104" s="30"/>
      <c r="L104" s="54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34.5" customHeight="1">
      <c r="A105" s="30"/>
      <c r="B105" s="30"/>
      <c r="C105" s="125"/>
      <c r="D105" s="123" t="str">
        <f>IF(ISERROR(VLOOKUP(C105,'Matriz SWOT'!$J$5:$K$14,2,FALSE)),"",VLOOKUP(C105,'Matriz SWOT'!$J$5:$K$14,2,FALSE))</f>
        <v/>
      </c>
      <c r="E105" s="125"/>
      <c r="F105" s="123" t="str">
        <f>IF(ISERROR(VLOOKUP(E105,'Matriz SWOT'!$J$5:$K$24,2,FALSE)),"",VLOOKUP(E105,'Matriz SWOT'!$J$5:$K$24,2,FALSE))</f>
        <v/>
      </c>
      <c r="G105" s="123" t="str">
        <f t="shared" si="1"/>
        <v/>
      </c>
      <c r="H105" s="124" t="str">
        <f t="shared" si="2"/>
        <v/>
      </c>
      <c r="I105" s="30"/>
      <c r="J105" s="30"/>
      <c r="K105" s="30"/>
      <c r="L105" s="54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34.5" customHeight="1">
      <c r="A106" s="30"/>
      <c r="B106" s="30"/>
      <c r="C106" s="125"/>
      <c r="D106" s="123" t="str">
        <f>IF(ISERROR(VLOOKUP(C106,'Matriz SWOT'!$J$5:$K$14,2,FALSE)),"",VLOOKUP(C106,'Matriz SWOT'!$J$5:$K$14,2,FALSE))</f>
        <v/>
      </c>
      <c r="E106" s="125"/>
      <c r="F106" s="123" t="str">
        <f>IF(ISERROR(VLOOKUP(E106,'Matriz SWOT'!$J$5:$K$24,2,FALSE)),"",VLOOKUP(E106,'Matriz SWOT'!$J$5:$K$24,2,FALSE))</f>
        <v/>
      </c>
      <c r="G106" s="123" t="str">
        <f t="shared" si="1"/>
        <v/>
      </c>
      <c r="H106" s="124" t="str">
        <f t="shared" si="2"/>
        <v/>
      </c>
      <c r="I106" s="30"/>
      <c r="J106" s="30"/>
      <c r="K106" s="30"/>
      <c r="L106" s="54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34.5" customHeight="1">
      <c r="A107" s="30"/>
      <c r="B107" s="30"/>
      <c r="C107" s="125"/>
      <c r="D107" s="123" t="str">
        <f>IF(ISERROR(VLOOKUP(C107,'Matriz SWOT'!$J$5:$K$14,2,FALSE)),"",VLOOKUP(C107,'Matriz SWOT'!$J$5:$K$14,2,FALSE))</f>
        <v/>
      </c>
      <c r="E107" s="125"/>
      <c r="F107" s="123" t="str">
        <f>IF(ISERROR(VLOOKUP(E107,'Matriz SWOT'!$J$5:$K$24,2,FALSE)),"",VLOOKUP(E107,'Matriz SWOT'!$J$5:$K$24,2,FALSE))</f>
        <v/>
      </c>
      <c r="G107" s="123" t="str">
        <f t="shared" si="1"/>
        <v/>
      </c>
      <c r="H107" s="124" t="str">
        <f t="shared" si="2"/>
        <v/>
      </c>
      <c r="I107" s="30"/>
      <c r="J107" s="30"/>
      <c r="K107" s="30"/>
      <c r="L107" s="54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34.5" customHeight="1">
      <c r="A108" s="30"/>
      <c r="B108" s="30"/>
      <c r="C108" s="125"/>
      <c r="D108" s="123" t="str">
        <f>IF(ISERROR(VLOOKUP(C108,'Matriz SWOT'!$J$5:$K$14,2,FALSE)),"",VLOOKUP(C108,'Matriz SWOT'!$J$5:$K$14,2,FALSE))</f>
        <v/>
      </c>
      <c r="E108" s="125"/>
      <c r="F108" s="123" t="str">
        <f>IF(ISERROR(VLOOKUP(E108,'Matriz SWOT'!$J$5:$K$24,2,FALSE)),"",VLOOKUP(E108,'Matriz SWOT'!$J$5:$K$24,2,FALSE))</f>
        <v/>
      </c>
      <c r="G108" s="123" t="str">
        <f t="shared" si="1"/>
        <v/>
      </c>
      <c r="H108" s="124" t="str">
        <f t="shared" si="2"/>
        <v/>
      </c>
      <c r="I108" s="30"/>
      <c r="J108" s="30"/>
      <c r="K108" s="30"/>
      <c r="L108" s="54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30.0" customHeight="1">
      <c r="A109" s="30"/>
      <c r="B109" s="30"/>
      <c r="C109" s="68"/>
      <c r="E109" s="68"/>
      <c r="H109" s="119"/>
      <c r="I109" s="30"/>
      <c r="J109" s="30"/>
      <c r="K109" s="30"/>
      <c r="L109" s="54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30.0" customHeight="1">
      <c r="A110" s="30"/>
      <c r="B110" s="30"/>
      <c r="C110" s="68"/>
      <c r="E110" s="68"/>
      <c r="H110" s="119"/>
      <c r="I110" s="30"/>
      <c r="J110" s="30"/>
      <c r="K110" s="30"/>
      <c r="L110" s="54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30.0" customHeight="1">
      <c r="A111" s="30"/>
      <c r="B111" s="30"/>
      <c r="C111" s="68"/>
      <c r="E111" s="68"/>
      <c r="H111" s="119"/>
      <c r="I111" s="30"/>
      <c r="J111" s="30"/>
      <c r="K111" s="30"/>
      <c r="L111" s="54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30.0" customHeight="1">
      <c r="A112" s="30"/>
      <c r="B112" s="30"/>
      <c r="C112" s="68"/>
      <c r="E112" s="68"/>
      <c r="H112" s="119"/>
      <c r="I112" s="30"/>
      <c r="J112" s="30"/>
      <c r="K112" s="30"/>
      <c r="L112" s="54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30.0" customHeight="1">
      <c r="A113" s="30"/>
      <c r="B113" s="30"/>
      <c r="C113" s="68"/>
      <c r="E113" s="68"/>
      <c r="H113" s="119"/>
      <c r="I113" s="30"/>
      <c r="J113" s="30"/>
      <c r="K113" s="30"/>
      <c r="L113" s="54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30.0" customHeight="1">
      <c r="A114" s="30"/>
      <c r="B114" s="30"/>
      <c r="H114" s="119"/>
      <c r="I114" s="30"/>
      <c r="J114" s="30"/>
      <c r="K114" s="30"/>
      <c r="L114" s="54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30.0" customHeight="1">
      <c r="A115" s="30"/>
      <c r="B115" s="30"/>
      <c r="H115" s="119"/>
      <c r="I115" s="30"/>
      <c r="J115" s="30"/>
      <c r="K115" s="30"/>
      <c r="L115" s="54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30.0" customHeight="1">
      <c r="A116" s="30"/>
      <c r="B116" s="30"/>
      <c r="H116" s="119"/>
      <c r="I116" s="30"/>
      <c r="J116" s="30"/>
      <c r="K116" s="30"/>
      <c r="L116" s="54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30.0" customHeight="1">
      <c r="A117" s="30"/>
      <c r="B117" s="30"/>
      <c r="H117" s="119"/>
      <c r="I117" s="30"/>
      <c r="J117" s="30"/>
      <c r="K117" s="30"/>
      <c r="L117" s="54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30.0" customHeight="1">
      <c r="A118" s="30"/>
      <c r="B118" s="30"/>
      <c r="H118" s="119"/>
      <c r="I118" s="30"/>
      <c r="J118" s="30"/>
      <c r="K118" s="30"/>
      <c r="L118" s="54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30.0" customHeight="1">
      <c r="A119" s="30"/>
      <c r="B119" s="30"/>
      <c r="H119" s="119"/>
      <c r="I119" s="30"/>
      <c r="J119" s="30"/>
      <c r="K119" s="30"/>
      <c r="L119" s="54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30.0" customHeight="1">
      <c r="A120" s="30"/>
      <c r="B120" s="30"/>
      <c r="G120" s="66"/>
      <c r="H120" s="119"/>
      <c r="I120" s="30"/>
      <c r="J120" s="30"/>
      <c r="K120" s="30"/>
      <c r="L120" s="54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52.5" customHeight="1">
      <c r="A121" s="30"/>
      <c r="B121" s="30"/>
      <c r="G121" s="66"/>
      <c r="H121" s="119"/>
      <c r="I121" s="30"/>
      <c r="J121" s="30"/>
      <c r="K121" s="30"/>
      <c r="L121" s="30"/>
      <c r="M121" s="54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30.0" customHeight="1">
      <c r="A122" s="30"/>
      <c r="B122" s="30"/>
      <c r="G122" s="66"/>
      <c r="H122" s="119"/>
      <c r="I122" s="30"/>
      <c r="J122" s="30"/>
      <c r="K122" s="30"/>
      <c r="L122" s="30"/>
      <c r="M122" s="54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30.0" customHeight="1">
      <c r="A123" s="30"/>
      <c r="B123" s="30"/>
      <c r="G123" s="66"/>
      <c r="H123" s="119"/>
      <c r="I123" s="30"/>
      <c r="J123" s="30"/>
      <c r="K123" s="30"/>
      <c r="L123" s="30"/>
      <c r="M123" s="54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30.0" customHeight="1">
      <c r="A124" s="30"/>
      <c r="B124" s="30"/>
      <c r="G124" s="66"/>
      <c r="H124" s="119"/>
      <c r="I124" s="30"/>
      <c r="J124" s="30"/>
      <c r="K124" s="30"/>
      <c r="L124" s="30"/>
      <c r="M124" s="54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30.0" customHeight="1">
      <c r="A125" s="30"/>
      <c r="B125" s="30"/>
      <c r="G125" s="66"/>
      <c r="H125" s="119"/>
      <c r="I125" s="30"/>
      <c r="J125" s="30"/>
      <c r="K125" s="30"/>
      <c r="L125" s="30"/>
      <c r="M125" s="54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68"/>
      <c r="E126" s="68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68"/>
      <c r="E127" s="68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68"/>
      <c r="E128" s="68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68"/>
      <c r="E129" s="68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68"/>
      <c r="E130" s="68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68"/>
      <c r="E131" s="68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68"/>
      <c r="E132" s="68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68"/>
      <c r="E133" s="68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68"/>
      <c r="E134" s="68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68"/>
      <c r="E135" s="68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68"/>
      <c r="E136" s="68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68"/>
      <c r="E137" s="68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68"/>
      <c r="E138" s="68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68"/>
      <c r="E139" s="68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68"/>
      <c r="E140" s="68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68"/>
      <c r="E141" s="68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68"/>
      <c r="E142" s="68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68"/>
      <c r="E143" s="68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68"/>
      <c r="E144" s="68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68"/>
      <c r="E145" s="68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68"/>
      <c r="E146" s="68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68"/>
      <c r="E147" s="68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68"/>
      <c r="E148" s="68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68"/>
      <c r="E149" s="68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68"/>
      <c r="E150" s="68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68"/>
      <c r="E151" s="68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68"/>
      <c r="E152" s="68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68"/>
      <c r="E153" s="68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68"/>
      <c r="E154" s="68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68"/>
      <c r="E155" s="68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68"/>
      <c r="E156" s="68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68"/>
      <c r="E157" s="68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68"/>
      <c r="E158" s="68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68"/>
      <c r="E159" s="68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68"/>
      <c r="E160" s="68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68"/>
      <c r="E161" s="68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68"/>
      <c r="E162" s="68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68"/>
      <c r="E163" s="68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68"/>
      <c r="E164" s="68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68"/>
      <c r="E165" s="68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68"/>
      <c r="E166" s="68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68"/>
      <c r="E167" s="68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68"/>
      <c r="E168" s="68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68"/>
      <c r="E169" s="68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68"/>
      <c r="E170" s="68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68"/>
      <c r="E171" s="68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68"/>
      <c r="E172" s="68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68"/>
      <c r="E173" s="68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68"/>
      <c r="E174" s="68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68"/>
      <c r="E175" s="68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68"/>
      <c r="E176" s="68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68"/>
      <c r="E177" s="68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68"/>
      <c r="E178" s="68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68"/>
      <c r="E179" s="68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68"/>
      <c r="E180" s="68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68"/>
      <c r="E181" s="68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68"/>
      <c r="E182" s="68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68"/>
      <c r="E183" s="68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68"/>
      <c r="E184" s="68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68"/>
      <c r="E185" s="68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68"/>
      <c r="E186" s="68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>
      <c r="A187" s="30"/>
      <c r="B187" s="30"/>
      <c r="C187" s="68"/>
      <c r="E187" s="68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>
      <c r="A188" s="30"/>
      <c r="B188" s="30"/>
      <c r="C188" s="68"/>
      <c r="E188" s="68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>
      <c r="A189" s="30"/>
      <c r="B189" s="30"/>
      <c r="C189" s="68"/>
      <c r="E189" s="68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>
      <c r="A190" s="30"/>
      <c r="B190" s="30"/>
      <c r="C190" s="68"/>
      <c r="E190" s="68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>
      <c r="A191" s="30"/>
      <c r="B191" s="30"/>
      <c r="C191" s="68"/>
      <c r="E191" s="68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>
      <c r="A192" s="30"/>
      <c r="B192" s="30"/>
      <c r="C192" s="68"/>
      <c r="E192" s="68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>
      <c r="A193" s="30"/>
      <c r="B193" s="30"/>
      <c r="C193" s="68"/>
      <c r="E193" s="68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>
      <c r="A194" s="30"/>
      <c r="B194" s="30"/>
      <c r="C194" s="68"/>
      <c r="E194" s="68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>
      <c r="A195" s="30"/>
      <c r="B195" s="30"/>
      <c r="C195" s="68"/>
      <c r="E195" s="68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>
      <c r="A196" s="30"/>
      <c r="B196" s="30"/>
      <c r="C196" s="68"/>
      <c r="E196" s="68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>
      <c r="A197" s="30"/>
      <c r="B197" s="30"/>
      <c r="C197" s="68"/>
      <c r="E197" s="68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>
      <c r="A198" s="30"/>
      <c r="B198" s="30"/>
      <c r="C198" s="68"/>
      <c r="E198" s="68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>
      <c r="A199" s="30"/>
      <c r="B199" s="30"/>
      <c r="C199" s="68"/>
      <c r="E199" s="68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>
      <c r="A200" s="30"/>
      <c r="B200" s="30"/>
      <c r="C200" s="68"/>
      <c r="E200" s="68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>
      <c r="A201" s="30"/>
      <c r="B201" s="30"/>
      <c r="C201" s="68"/>
      <c r="E201" s="68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>
      <c r="A202" s="30"/>
      <c r="B202" s="30"/>
      <c r="C202" s="68"/>
      <c r="E202" s="68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>
      <c r="A203" s="30"/>
      <c r="B203" s="30"/>
      <c r="C203" s="68"/>
      <c r="E203" s="68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>
      <c r="A204" s="30"/>
      <c r="B204" s="30"/>
      <c r="C204" s="68"/>
      <c r="E204" s="68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>
      <c r="A205" s="30"/>
      <c r="B205" s="30"/>
      <c r="C205" s="68"/>
      <c r="E205" s="68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>
      <c r="A206" s="30"/>
      <c r="B206" s="30"/>
      <c r="C206" s="68"/>
      <c r="E206" s="68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>
      <c r="A207" s="30"/>
      <c r="B207" s="30"/>
      <c r="C207" s="68"/>
      <c r="E207" s="68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>
      <c r="A208" s="30"/>
      <c r="B208" s="30"/>
      <c r="C208" s="68"/>
      <c r="E208" s="68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>
      <c r="A209" s="30"/>
      <c r="B209" s="30"/>
      <c r="C209" s="68"/>
      <c r="E209" s="68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>
      <c r="A210" s="30"/>
      <c r="B210" s="30"/>
      <c r="C210" s="68"/>
      <c r="E210" s="68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>
      <c r="A211" s="30"/>
      <c r="B211" s="30"/>
      <c r="C211" s="68"/>
      <c r="E211" s="68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>
      <c r="A212" s="30"/>
      <c r="B212" s="30"/>
      <c r="C212" s="68"/>
      <c r="E212" s="68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>
      <c r="A213" s="30"/>
      <c r="B213" s="30"/>
      <c r="C213" s="68"/>
      <c r="E213" s="68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>
      <c r="A214" s="30"/>
      <c r="B214" s="30"/>
      <c r="C214" s="68"/>
      <c r="E214" s="68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>
      <c r="A215" s="30"/>
      <c r="B215" s="30"/>
      <c r="C215" s="68"/>
      <c r="E215" s="68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>
      <c r="A216" s="30"/>
      <c r="B216" s="30"/>
      <c r="C216" s="68"/>
      <c r="E216" s="68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>
      <c r="A217" s="30"/>
      <c r="B217" s="30"/>
      <c r="C217" s="68"/>
      <c r="E217" s="68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>
      <c r="A218" s="30"/>
      <c r="B218" s="30"/>
      <c r="C218" s="68"/>
      <c r="E218" s="68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>
      <c r="A219" s="30"/>
      <c r="B219" s="30"/>
      <c r="C219" s="68"/>
      <c r="E219" s="68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>
      <c r="A220" s="30"/>
      <c r="B220" s="30"/>
      <c r="C220" s="68"/>
      <c r="E220" s="68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>
      <c r="A221" s="30"/>
      <c r="B221" s="30"/>
      <c r="C221" s="68"/>
      <c r="E221" s="68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ht="15.75" customHeight="1">
      <c r="A222" s="30"/>
      <c r="B222" s="30"/>
      <c r="C222" s="68"/>
      <c r="E222" s="68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ht="15.75" customHeight="1">
      <c r="A223" s="30"/>
      <c r="B223" s="30"/>
      <c r="C223" s="68"/>
      <c r="E223" s="68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ht="15.75" customHeight="1">
      <c r="A224" s="30"/>
      <c r="B224" s="30"/>
      <c r="C224" s="68"/>
      <c r="E224" s="68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ht="15.75" customHeight="1">
      <c r="A225" s="30"/>
      <c r="B225" s="30"/>
      <c r="C225" s="68"/>
      <c r="E225" s="68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ht="15.75" customHeight="1">
      <c r="A226" s="30"/>
      <c r="B226" s="30"/>
      <c r="C226" s="68"/>
      <c r="E226" s="68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ht="15.75" customHeight="1">
      <c r="A227" s="30"/>
      <c r="B227" s="30"/>
      <c r="C227" s="68"/>
      <c r="E227" s="68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ht="15.75" customHeight="1">
      <c r="A228" s="30"/>
      <c r="B228" s="30"/>
      <c r="C228" s="68"/>
      <c r="E228" s="68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ht="15.75" customHeight="1">
      <c r="A229" s="30"/>
      <c r="B229" s="30"/>
      <c r="C229" s="68"/>
      <c r="E229" s="68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ht="15.75" customHeight="1">
      <c r="A230" s="30"/>
      <c r="B230" s="30"/>
      <c r="C230" s="68"/>
      <c r="E230" s="68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ht="15.75" customHeight="1">
      <c r="A231" s="30"/>
      <c r="B231" s="30"/>
      <c r="C231" s="68"/>
      <c r="E231" s="68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ht="15.75" customHeight="1">
      <c r="A232" s="30"/>
      <c r="B232" s="30"/>
      <c r="C232" s="68"/>
      <c r="E232" s="68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ht="15.75" customHeight="1">
      <c r="A233" s="30"/>
      <c r="B233" s="30"/>
      <c r="C233" s="68"/>
      <c r="E233" s="68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ht="15.75" customHeight="1">
      <c r="A234" s="30"/>
      <c r="B234" s="30"/>
      <c r="C234" s="68"/>
      <c r="E234" s="68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ht="15.75" customHeight="1">
      <c r="A235" s="30"/>
      <c r="B235" s="30"/>
      <c r="C235" s="68"/>
      <c r="E235" s="68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ht="15.75" customHeight="1">
      <c r="A236" s="30"/>
      <c r="B236" s="30"/>
      <c r="C236" s="68"/>
      <c r="E236" s="68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ht="15.75" customHeight="1">
      <c r="A237" s="30"/>
      <c r="B237" s="30"/>
      <c r="C237" s="68"/>
      <c r="E237" s="68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ht="15.75" customHeight="1">
      <c r="A238" s="30"/>
      <c r="B238" s="30"/>
      <c r="C238" s="68"/>
      <c r="E238" s="68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ht="15.75" customHeight="1">
      <c r="A239" s="30"/>
      <c r="B239" s="30"/>
      <c r="C239" s="68"/>
      <c r="E239" s="68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ht="15.75" customHeight="1">
      <c r="A240" s="30"/>
      <c r="B240" s="30"/>
      <c r="C240" s="68"/>
      <c r="E240" s="68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ht="15.75" customHeight="1">
      <c r="A241" s="30"/>
      <c r="B241" s="30"/>
      <c r="C241" s="68"/>
      <c r="E241" s="68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ht="15.75" customHeight="1">
      <c r="A242" s="30"/>
      <c r="B242" s="30"/>
      <c r="C242" s="68"/>
      <c r="E242" s="68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ht="15.75" customHeight="1">
      <c r="A243" s="30"/>
      <c r="B243" s="30"/>
      <c r="C243" s="68"/>
      <c r="E243" s="68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ht="15.75" customHeight="1">
      <c r="A244" s="30"/>
      <c r="B244" s="30"/>
      <c r="C244" s="68"/>
      <c r="E244" s="68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ht="15.75" customHeight="1">
      <c r="A245" s="30"/>
      <c r="B245" s="30"/>
      <c r="C245" s="68"/>
      <c r="E245" s="68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ht="15.75" customHeight="1">
      <c r="A246" s="30"/>
      <c r="B246" s="30"/>
      <c r="C246" s="68"/>
      <c r="E246" s="68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ht="15.75" customHeight="1">
      <c r="A247" s="30"/>
      <c r="B247" s="30"/>
      <c r="C247" s="68"/>
      <c r="E247" s="68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ht="15.75" customHeight="1">
      <c r="A248" s="30"/>
      <c r="B248" s="30"/>
      <c r="C248" s="68"/>
      <c r="E248" s="68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ht="15.75" customHeight="1">
      <c r="A249" s="30"/>
      <c r="B249" s="30"/>
      <c r="C249" s="68"/>
      <c r="E249" s="68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ht="15.75" customHeight="1">
      <c r="A250" s="30"/>
      <c r="B250" s="30"/>
      <c r="C250" s="68"/>
      <c r="E250" s="68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ht="15.75" customHeight="1">
      <c r="A251" s="30"/>
      <c r="B251" s="30"/>
      <c r="C251" s="68"/>
      <c r="E251" s="68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ht="15.75" customHeight="1">
      <c r="A252" s="30"/>
      <c r="B252" s="30"/>
      <c r="C252" s="68"/>
      <c r="E252" s="68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ht="15.75" customHeight="1">
      <c r="A253" s="30"/>
      <c r="B253" s="30"/>
      <c r="C253" s="68"/>
      <c r="E253" s="68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ht="15.75" customHeight="1">
      <c r="A254" s="30"/>
      <c r="B254" s="30"/>
      <c r="C254" s="68"/>
      <c r="E254" s="68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ht="15.75" customHeight="1">
      <c r="A255" s="30"/>
      <c r="B255" s="30"/>
      <c r="C255" s="68"/>
      <c r="E255" s="68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ht="15.75" customHeight="1">
      <c r="A256" s="30"/>
      <c r="B256" s="30"/>
      <c r="C256" s="68"/>
      <c r="E256" s="68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ht="15.75" customHeight="1">
      <c r="A257" s="30"/>
      <c r="B257" s="30"/>
      <c r="C257" s="68"/>
      <c r="E257" s="68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ht="15.75" customHeight="1">
      <c r="A258" s="30"/>
      <c r="B258" s="30"/>
      <c r="C258" s="68"/>
      <c r="E258" s="68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ht="15.75" customHeight="1">
      <c r="A259" s="30"/>
      <c r="B259" s="30"/>
      <c r="C259" s="68"/>
      <c r="E259" s="68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ht="15.75" customHeight="1">
      <c r="A260" s="30"/>
      <c r="B260" s="30"/>
      <c r="C260" s="68"/>
      <c r="E260" s="68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ht="15.75" customHeight="1">
      <c r="A261" s="30"/>
      <c r="B261" s="30"/>
      <c r="C261" s="68"/>
      <c r="E261" s="68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ht="15.75" customHeight="1">
      <c r="A262" s="30"/>
      <c r="B262" s="30"/>
      <c r="C262" s="68"/>
      <c r="E262" s="68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ht="15.75" customHeight="1">
      <c r="A263" s="30"/>
      <c r="B263" s="30"/>
      <c r="C263" s="68"/>
      <c r="E263" s="68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ht="15.75" customHeight="1">
      <c r="A264" s="30"/>
      <c r="B264" s="30"/>
      <c r="C264" s="68"/>
      <c r="E264" s="68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ht="15.75" customHeight="1">
      <c r="A265" s="30"/>
      <c r="B265" s="30"/>
      <c r="C265" s="68"/>
      <c r="E265" s="68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ht="15.75" customHeight="1">
      <c r="A266" s="30"/>
      <c r="B266" s="30"/>
      <c r="C266" s="68"/>
      <c r="E266" s="68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ht="15.75" customHeight="1">
      <c r="A267" s="30"/>
      <c r="B267" s="30"/>
      <c r="C267" s="68"/>
      <c r="E267" s="68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ht="15.75" customHeight="1">
      <c r="A268" s="30"/>
      <c r="B268" s="30"/>
      <c r="C268" s="68"/>
      <c r="E268" s="68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ht="15.75" customHeight="1">
      <c r="A269" s="30"/>
      <c r="B269" s="30"/>
      <c r="C269" s="68"/>
      <c r="E269" s="68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ht="15.75" customHeight="1">
      <c r="A270" s="30"/>
      <c r="B270" s="30"/>
      <c r="C270" s="68"/>
      <c r="E270" s="68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ht="15.75" customHeight="1">
      <c r="A271" s="30"/>
      <c r="B271" s="30"/>
      <c r="C271" s="68"/>
      <c r="E271" s="68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ht="15.75" customHeight="1">
      <c r="A272" s="30"/>
      <c r="B272" s="30"/>
      <c r="C272" s="68"/>
      <c r="E272" s="68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ht="15.75" customHeight="1">
      <c r="A273" s="30"/>
      <c r="B273" s="30"/>
      <c r="C273" s="68"/>
      <c r="E273" s="68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ht="15.75" customHeight="1">
      <c r="A274" s="30"/>
      <c r="B274" s="30"/>
      <c r="C274" s="68"/>
      <c r="E274" s="68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ht="15.75" customHeight="1">
      <c r="A275" s="30"/>
      <c r="B275" s="30"/>
      <c r="C275" s="68"/>
      <c r="E275" s="68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ht="15.75" customHeight="1">
      <c r="A276" s="30"/>
      <c r="B276" s="30"/>
      <c r="C276" s="68"/>
      <c r="E276" s="68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ht="15.75" customHeight="1">
      <c r="A277" s="30"/>
      <c r="B277" s="30"/>
      <c r="C277" s="68"/>
      <c r="E277" s="68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ht="15.75" customHeight="1">
      <c r="A278" s="30"/>
      <c r="B278" s="30"/>
      <c r="C278" s="68"/>
      <c r="E278" s="68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ht="15.75" customHeight="1">
      <c r="A279" s="30"/>
      <c r="B279" s="30"/>
      <c r="C279" s="68"/>
      <c r="E279" s="68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ht="15.75" customHeight="1">
      <c r="A280" s="30"/>
      <c r="B280" s="30"/>
      <c r="C280" s="68"/>
      <c r="E280" s="68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ht="15.75" customHeight="1">
      <c r="A281" s="30"/>
      <c r="B281" s="30"/>
      <c r="C281" s="68"/>
      <c r="E281" s="68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ht="15.75" customHeight="1">
      <c r="A282" s="30"/>
      <c r="B282" s="30"/>
      <c r="C282" s="68"/>
      <c r="E282" s="68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ht="15.75" customHeight="1">
      <c r="A283" s="30"/>
      <c r="B283" s="30"/>
      <c r="C283" s="68"/>
      <c r="E283" s="68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ht="15.75" customHeight="1">
      <c r="A284" s="30"/>
      <c r="B284" s="30"/>
      <c r="C284" s="68"/>
      <c r="E284" s="68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ht="15.75" customHeight="1">
      <c r="A285" s="30"/>
      <c r="B285" s="30"/>
      <c r="C285" s="68"/>
      <c r="E285" s="68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ht="15.75" customHeight="1">
      <c r="A286" s="30"/>
      <c r="B286" s="30"/>
      <c r="C286" s="68"/>
      <c r="E286" s="68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ht="15.75" customHeight="1">
      <c r="A287" s="30"/>
      <c r="B287" s="30"/>
      <c r="C287" s="68"/>
      <c r="E287" s="68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ht="15.75" customHeight="1">
      <c r="A288" s="30"/>
      <c r="B288" s="30"/>
      <c r="C288" s="68"/>
      <c r="E288" s="68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ht="15.75" customHeight="1">
      <c r="A289" s="30"/>
      <c r="B289" s="30"/>
      <c r="C289" s="68"/>
      <c r="E289" s="68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ht="15.75" customHeight="1">
      <c r="A290" s="30"/>
      <c r="B290" s="30"/>
      <c r="C290" s="68"/>
      <c r="E290" s="68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ht="15.75" customHeight="1">
      <c r="A291" s="30"/>
      <c r="B291" s="30"/>
      <c r="C291" s="68"/>
      <c r="E291" s="68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ht="15.75" customHeight="1">
      <c r="A292" s="30"/>
      <c r="B292" s="30"/>
      <c r="C292" s="68"/>
      <c r="E292" s="68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ht="15.75" customHeight="1">
      <c r="A293" s="30"/>
      <c r="B293" s="30"/>
      <c r="C293" s="68"/>
      <c r="E293" s="68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ht="15.75" customHeight="1">
      <c r="A294" s="30"/>
      <c r="B294" s="30"/>
      <c r="C294" s="68"/>
      <c r="E294" s="68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ht="15.75" customHeight="1">
      <c r="A295" s="30"/>
      <c r="B295" s="30"/>
      <c r="C295" s="68"/>
      <c r="E295" s="68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ht="15.75" customHeight="1">
      <c r="A296" s="30"/>
      <c r="B296" s="30"/>
      <c r="C296" s="68"/>
      <c r="E296" s="68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ht="15.75" customHeight="1">
      <c r="A297" s="30"/>
      <c r="B297" s="30"/>
      <c r="C297" s="68"/>
      <c r="E297" s="68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ht="15.75" customHeight="1">
      <c r="A298" s="30"/>
      <c r="B298" s="30"/>
      <c r="C298" s="68"/>
      <c r="E298" s="68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ht="15.75" customHeight="1">
      <c r="A299" s="30"/>
      <c r="B299" s="30"/>
      <c r="C299" s="68"/>
      <c r="E299" s="68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ht="15.75" customHeight="1">
      <c r="A300" s="30"/>
      <c r="B300" s="30"/>
      <c r="C300" s="68"/>
      <c r="E300" s="68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ht="15.75" customHeight="1">
      <c r="A301" s="30"/>
      <c r="B301" s="30"/>
      <c r="C301" s="68"/>
      <c r="E301" s="68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ht="15.75" customHeight="1">
      <c r="A302" s="30"/>
      <c r="B302" s="30"/>
      <c r="C302" s="68"/>
      <c r="E302" s="68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ht="15.75" customHeight="1">
      <c r="A303" s="30"/>
      <c r="B303" s="30"/>
      <c r="C303" s="68"/>
      <c r="E303" s="68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ht="15.75" customHeight="1">
      <c r="A304" s="30"/>
      <c r="B304" s="30"/>
      <c r="C304" s="68"/>
      <c r="E304" s="68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ht="15.75" customHeight="1">
      <c r="A305" s="30"/>
      <c r="B305" s="30"/>
      <c r="C305" s="68"/>
      <c r="E305" s="68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ht="15.75" customHeight="1">
      <c r="A306" s="30"/>
      <c r="B306" s="30"/>
      <c r="C306" s="68"/>
      <c r="E306" s="68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ht="15.75" customHeight="1">
      <c r="A307" s="30"/>
      <c r="B307" s="30"/>
      <c r="C307" s="68"/>
      <c r="E307" s="68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ht="15.75" customHeight="1">
      <c r="A308" s="30"/>
      <c r="B308" s="30"/>
      <c r="C308" s="68"/>
      <c r="E308" s="68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C2"/>
    <mergeCell ref="E1:E2"/>
    <mergeCell ref="C4:H5"/>
  </mergeCells>
  <conditionalFormatting sqref="D9:D108 F9:F108">
    <cfRule type="containsText" dxfId="4" priority="1" operator="containsText" text="o">
      <formula>NOT(ISERROR(SEARCH(("o"),(D9))))</formula>
    </cfRule>
  </conditionalFormatting>
  <conditionalFormatting sqref="D9:D108 F9:F108">
    <cfRule type="containsText" dxfId="5" priority="2" operator="containsText" text="a">
      <formula>NOT(ISERROR(SEARCH(("a"),(D9))))</formula>
    </cfRule>
  </conditionalFormatting>
  <conditionalFormatting sqref="G9:G108">
    <cfRule type="containsText" dxfId="5" priority="3" operator="containsText" text="defensiva">
      <formula>NOT(ISERROR(SEARCH(("defensiva"),(G9))))</formula>
    </cfRule>
  </conditionalFormatting>
  <conditionalFormatting sqref="G9:G108">
    <cfRule type="containsText" dxfId="4" priority="4" operator="containsText" text="ofensiva">
      <formula>NOT(ISERROR(SEARCH(("ofensiva"),(G9))))</formula>
    </cfRule>
  </conditionalFormatting>
  <conditionalFormatting sqref="G9:G108">
    <cfRule type="cellIs" dxfId="6" priority="5" operator="notEqual">
      <formula>""</formula>
    </cfRule>
  </conditionalFormatting>
  <dataValidations>
    <dataValidation type="list" allowBlank="1" showErrorMessage="1" sqref="C9:C108">
      <formula1>OFFSET($J$9,,,10-COUNTBLANK($J$9:$J$18))</formula1>
    </dataValidation>
    <dataValidation type="list" allowBlank="1" showErrorMessage="1" sqref="E9:E108">
      <formula1>OFFSET($K$9,,,10-COUNTBLANK($K$9:$K$18))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56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3.43"/>
    <col customWidth="1" min="2" max="2" width="13.0"/>
    <col customWidth="1" min="3" max="3" width="8.86"/>
    <col customWidth="1" min="4" max="4" width="98.43"/>
    <col customWidth="1" min="5" max="5" width="53.29"/>
    <col customWidth="1" min="6" max="6" width="20.14"/>
    <col customWidth="1" min="7" max="7" width="14.43"/>
    <col customWidth="1" hidden="1" min="8" max="18" width="11.86" outlineLevel="1"/>
    <col customWidth="1" hidden="1" min="19" max="19" width="0.43" outlineLevel="1"/>
    <col customWidth="1" min="20" max="20" width="11.86"/>
    <col customWidth="1" hidden="1" min="21" max="32" width="11.86" outlineLevel="1"/>
    <col customWidth="1" min="33" max="33" width="11.86"/>
    <col customWidth="1" hidden="1" min="34" max="45" width="11.86" outlineLevel="1"/>
    <col customWidth="1" min="46" max="46" width="11.86"/>
    <col customWidth="1" hidden="1" min="47" max="58" width="11.86" outlineLevel="1"/>
    <col customWidth="1" min="59" max="59" width="12.0"/>
    <col customWidth="1" hidden="1" min="60" max="71" width="12.0" outlineLevel="1"/>
    <col customWidth="1" min="72" max="72" width="14.86"/>
  </cols>
  <sheetData>
    <row r="1" ht="6.75" customHeight="1">
      <c r="A1" s="30"/>
      <c r="B1" s="126"/>
      <c r="C1" s="126"/>
      <c r="D1" s="126"/>
      <c r="E1" s="126"/>
      <c r="F1" s="126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</row>
    <row r="2" ht="21.75" customHeight="1">
      <c r="A2" s="35"/>
      <c r="B2" s="127"/>
      <c r="C2" s="17"/>
      <c r="D2" s="17"/>
      <c r="E2" s="17"/>
      <c r="F2" s="17"/>
      <c r="G2" s="17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</row>
    <row r="3" ht="60.75" customHeight="1">
      <c r="A3" s="30"/>
      <c r="B3" s="128"/>
      <c r="C3" s="17"/>
      <c r="D3" s="17"/>
      <c r="E3" s="17"/>
      <c r="F3" s="17"/>
      <c r="G3" s="1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</row>
    <row r="4" ht="22.5" customHeight="1">
      <c r="A4" s="30"/>
      <c r="B4" s="126"/>
      <c r="C4" s="126"/>
      <c r="D4" s="126"/>
      <c r="E4" s="126"/>
      <c r="F4" s="126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</row>
    <row r="5" ht="24.0" customHeight="1">
      <c r="A5" s="30"/>
      <c r="B5" s="129" t="s">
        <v>122</v>
      </c>
      <c r="C5" s="129" t="s">
        <v>123</v>
      </c>
      <c r="D5" s="129" t="s">
        <v>124</v>
      </c>
      <c r="E5" s="129" t="s">
        <v>125</v>
      </c>
      <c r="F5" s="129" t="s">
        <v>126</v>
      </c>
      <c r="G5" s="129" t="s">
        <v>127</v>
      </c>
      <c r="H5" s="130">
        <v>43101.0</v>
      </c>
      <c r="I5" s="130">
        <v>43132.0</v>
      </c>
      <c r="J5" s="130">
        <v>43160.0</v>
      </c>
      <c r="K5" s="130">
        <v>43191.0</v>
      </c>
      <c r="L5" s="130">
        <v>43221.0</v>
      </c>
      <c r="M5" s="130">
        <v>43252.0</v>
      </c>
      <c r="N5" s="130">
        <v>43282.0</v>
      </c>
      <c r="O5" s="130">
        <v>43313.0</v>
      </c>
      <c r="P5" s="130">
        <v>43344.0</v>
      </c>
      <c r="Q5" s="130">
        <v>43374.0</v>
      </c>
      <c r="R5" s="130">
        <v>43405.0</v>
      </c>
      <c r="S5" s="130">
        <v>43435.0</v>
      </c>
      <c r="T5" s="131" t="s">
        <v>128</v>
      </c>
      <c r="U5" s="130">
        <v>43466.0</v>
      </c>
      <c r="V5" s="130">
        <v>43497.0</v>
      </c>
      <c r="W5" s="130">
        <v>43525.0</v>
      </c>
      <c r="X5" s="130">
        <v>43556.0</v>
      </c>
      <c r="Y5" s="130">
        <v>43586.0</v>
      </c>
      <c r="Z5" s="130">
        <v>43617.0</v>
      </c>
      <c r="AA5" s="130">
        <v>43647.0</v>
      </c>
      <c r="AB5" s="130">
        <v>43678.0</v>
      </c>
      <c r="AC5" s="130">
        <v>43709.0</v>
      </c>
      <c r="AD5" s="130">
        <v>43739.0</v>
      </c>
      <c r="AE5" s="130">
        <v>43770.0</v>
      </c>
      <c r="AF5" s="130">
        <v>43800.0</v>
      </c>
      <c r="AG5" s="131" t="s">
        <v>129</v>
      </c>
      <c r="AH5" s="130">
        <v>43831.0</v>
      </c>
      <c r="AI5" s="130">
        <v>43862.0</v>
      </c>
      <c r="AJ5" s="130">
        <v>43891.0</v>
      </c>
      <c r="AK5" s="130">
        <v>43922.0</v>
      </c>
      <c r="AL5" s="130">
        <v>43952.0</v>
      </c>
      <c r="AM5" s="130">
        <v>43983.0</v>
      </c>
      <c r="AN5" s="130">
        <v>44013.0</v>
      </c>
      <c r="AO5" s="130">
        <v>44044.0</v>
      </c>
      <c r="AP5" s="130">
        <v>44075.0</v>
      </c>
      <c r="AQ5" s="130">
        <v>44105.0</v>
      </c>
      <c r="AR5" s="130">
        <v>44136.0</v>
      </c>
      <c r="AS5" s="130">
        <v>44166.0</v>
      </c>
      <c r="AT5" s="131" t="s">
        <v>130</v>
      </c>
      <c r="AU5" s="130">
        <v>44197.0</v>
      </c>
      <c r="AV5" s="130">
        <v>44228.0</v>
      </c>
      <c r="AW5" s="130">
        <v>44256.0</v>
      </c>
      <c r="AX5" s="130">
        <v>44287.0</v>
      </c>
      <c r="AY5" s="130">
        <v>44317.0</v>
      </c>
      <c r="AZ5" s="130">
        <v>44348.0</v>
      </c>
      <c r="BA5" s="130">
        <v>44378.0</v>
      </c>
      <c r="BB5" s="130">
        <v>44409.0</v>
      </c>
      <c r="BC5" s="130">
        <v>44440.0</v>
      </c>
      <c r="BD5" s="130">
        <v>44470.0</v>
      </c>
      <c r="BE5" s="130">
        <v>44501.0</v>
      </c>
      <c r="BF5" s="130">
        <v>44531.0</v>
      </c>
      <c r="BG5" s="131" t="s">
        <v>130</v>
      </c>
      <c r="BH5" s="130">
        <v>44562.0</v>
      </c>
      <c r="BI5" s="130">
        <v>44593.0</v>
      </c>
      <c r="BJ5" s="130">
        <v>44621.0</v>
      </c>
      <c r="BK5" s="130">
        <v>44652.0</v>
      </c>
      <c r="BL5" s="130">
        <v>44682.0</v>
      </c>
      <c r="BM5" s="130">
        <v>44713.0</v>
      </c>
      <c r="BN5" s="130">
        <v>44743.0</v>
      </c>
      <c r="BO5" s="130">
        <v>44774.0</v>
      </c>
      <c r="BP5" s="130">
        <v>44805.0</v>
      </c>
      <c r="BQ5" s="130">
        <v>44835.0</v>
      </c>
      <c r="BR5" s="130">
        <v>44866.0</v>
      </c>
      <c r="BS5" s="130">
        <v>44896.0</v>
      </c>
      <c r="BT5" s="131" t="s">
        <v>131</v>
      </c>
    </row>
    <row r="6" ht="8.25" customHeight="1">
      <c r="A6" s="30"/>
      <c r="B6" s="96"/>
      <c r="C6" s="96"/>
      <c r="D6" s="96"/>
      <c r="E6" s="96"/>
      <c r="F6" s="96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</row>
    <row r="7" ht="27.0" customHeight="1">
      <c r="A7" s="30"/>
      <c r="B7" s="132" t="s">
        <v>132</v>
      </c>
      <c r="C7" s="133">
        <v>1.0</v>
      </c>
      <c r="D7" s="133"/>
      <c r="E7" s="133"/>
      <c r="F7" s="133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</row>
    <row r="8" ht="22.5" customHeight="1">
      <c r="A8" s="30"/>
      <c r="B8" s="135"/>
      <c r="C8" s="133">
        <v>2.0</v>
      </c>
      <c r="D8" s="133"/>
      <c r="E8" s="133"/>
      <c r="F8" s="133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</row>
    <row r="9" ht="18.75" customHeight="1">
      <c r="A9" s="30"/>
      <c r="B9" s="135"/>
      <c r="C9" s="133">
        <v>3.0</v>
      </c>
      <c r="D9" s="133"/>
      <c r="E9" s="133"/>
      <c r="F9" s="133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</row>
    <row r="10" ht="21.0" customHeight="1">
      <c r="A10" s="30"/>
      <c r="B10" s="135"/>
      <c r="C10" s="133">
        <v>4.0</v>
      </c>
      <c r="D10" s="133"/>
      <c r="E10" s="133"/>
      <c r="F10" s="133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</row>
    <row r="11" ht="21.0" customHeight="1">
      <c r="A11" s="30"/>
      <c r="B11" s="136"/>
      <c r="C11" s="133">
        <v>5.0</v>
      </c>
      <c r="D11" s="133"/>
      <c r="E11" s="133"/>
      <c r="F11" s="133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</row>
    <row r="12" ht="6.0" customHeight="1">
      <c r="A12" s="30"/>
      <c r="B12" s="137"/>
      <c r="C12" s="96"/>
      <c r="D12" s="96"/>
      <c r="E12" s="96"/>
      <c r="F12" s="96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</row>
    <row r="13" ht="25.5" customHeight="1">
      <c r="A13" s="30"/>
      <c r="B13" s="132" t="s">
        <v>133</v>
      </c>
      <c r="C13" s="133">
        <v>1.0</v>
      </c>
      <c r="D13" s="133"/>
      <c r="E13" s="133"/>
      <c r="F13" s="133"/>
      <c r="G13" s="138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</row>
    <row r="14" ht="25.5" customHeight="1">
      <c r="A14" s="60"/>
      <c r="B14" s="135"/>
      <c r="C14" s="133">
        <v>2.0</v>
      </c>
      <c r="D14" s="133"/>
      <c r="E14" s="133"/>
      <c r="F14" s="133"/>
      <c r="G14" s="138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</row>
    <row r="15" ht="29.25" customHeight="1">
      <c r="A15" s="60"/>
      <c r="B15" s="135"/>
      <c r="C15" s="133">
        <v>3.0</v>
      </c>
      <c r="D15" s="133"/>
      <c r="E15" s="133"/>
      <c r="F15" s="133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</row>
    <row r="16" ht="29.25" customHeight="1">
      <c r="A16" s="30"/>
      <c r="B16" s="135"/>
      <c r="C16" s="133">
        <v>4.0</v>
      </c>
      <c r="D16" s="133"/>
      <c r="E16" s="133"/>
      <c r="F16" s="133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</row>
    <row r="17" ht="29.25" customHeight="1">
      <c r="A17" s="30"/>
      <c r="B17" s="136"/>
      <c r="C17" s="133">
        <v>5.0</v>
      </c>
      <c r="D17" s="133"/>
      <c r="E17" s="133"/>
      <c r="F17" s="133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</row>
    <row r="18" ht="6.0" customHeight="1">
      <c r="A18" s="30"/>
      <c r="B18" s="137"/>
      <c r="C18" s="96"/>
      <c r="D18" s="96"/>
      <c r="E18" s="96"/>
      <c r="F18" s="96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ht="29.25" customHeight="1">
      <c r="A19" s="30"/>
      <c r="B19" s="139" t="s">
        <v>134</v>
      </c>
      <c r="C19" s="133">
        <v>1.0</v>
      </c>
      <c r="D19" s="133"/>
      <c r="E19" s="133"/>
      <c r="F19" s="133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</row>
    <row r="20" ht="29.25" customHeight="1">
      <c r="A20" s="30"/>
      <c r="B20" s="135"/>
      <c r="C20" s="133">
        <v>2.0</v>
      </c>
      <c r="D20" s="133"/>
      <c r="E20" s="133"/>
      <c r="F20" s="133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</row>
    <row r="21" ht="29.25" customHeight="1">
      <c r="A21" s="30"/>
      <c r="B21" s="135"/>
      <c r="C21" s="133">
        <v>3.0</v>
      </c>
      <c r="D21" s="133"/>
      <c r="E21" s="133"/>
      <c r="F21" s="133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</row>
    <row r="22" ht="29.25" customHeight="1">
      <c r="A22" s="30"/>
      <c r="B22" s="135"/>
      <c r="C22" s="133">
        <v>4.0</v>
      </c>
      <c r="D22" s="133"/>
      <c r="E22" s="133"/>
      <c r="F22" s="133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</row>
    <row r="23" ht="29.25" customHeight="1">
      <c r="A23" s="60"/>
      <c r="B23" s="136"/>
      <c r="C23" s="133">
        <v>5.0</v>
      </c>
      <c r="D23" s="133"/>
      <c r="E23" s="133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</row>
    <row r="24" ht="6.0" customHeight="1">
      <c r="A24" s="60"/>
      <c r="B24" s="137"/>
      <c r="C24" s="96"/>
      <c r="D24" s="96"/>
      <c r="E24" s="96"/>
      <c r="F24" s="96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ht="29.25" customHeight="1">
      <c r="A25" s="30"/>
      <c r="B25" s="139" t="s">
        <v>135</v>
      </c>
      <c r="C25" s="133">
        <v>1.0</v>
      </c>
      <c r="D25" s="133"/>
      <c r="E25" s="133"/>
      <c r="F25" s="133"/>
      <c r="G25" s="138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</row>
    <row r="26" ht="29.25" customHeight="1">
      <c r="A26" s="30"/>
      <c r="B26" s="135"/>
      <c r="C26" s="133">
        <v>2.0</v>
      </c>
      <c r="D26" s="133"/>
      <c r="E26" s="133"/>
      <c r="F26" s="133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</row>
    <row r="27" ht="29.25" customHeight="1">
      <c r="A27" s="30"/>
      <c r="B27" s="135"/>
      <c r="C27" s="133">
        <v>3.0</v>
      </c>
      <c r="D27" s="133"/>
      <c r="E27" s="133"/>
      <c r="F27" s="133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</row>
    <row r="28" ht="29.25" customHeight="1">
      <c r="A28" s="30"/>
      <c r="B28" s="135"/>
      <c r="C28" s="133">
        <v>4.0</v>
      </c>
      <c r="D28" s="133"/>
      <c r="E28" s="133"/>
      <c r="F28" s="133"/>
      <c r="G28" s="138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</row>
    <row r="29" ht="29.25" customHeight="1">
      <c r="A29" s="30"/>
      <c r="B29" s="136"/>
      <c r="C29" s="133">
        <v>5.0</v>
      </c>
      <c r="D29" s="133"/>
      <c r="E29" s="133"/>
      <c r="F29" s="133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</row>
    <row r="30" ht="14.25" customHeight="1">
      <c r="A30" s="30"/>
      <c r="B30" s="96"/>
      <c r="C30" s="96"/>
      <c r="D30" s="96"/>
      <c r="E30" s="96"/>
      <c r="F30" s="96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</row>
    <row r="31" ht="14.25" customHeight="1">
      <c r="A31" s="30"/>
      <c r="B31" s="96"/>
      <c r="C31" s="96"/>
      <c r="D31" s="96"/>
      <c r="E31" s="96"/>
      <c r="F31" s="96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</row>
    <row r="32" ht="14.25" customHeight="1">
      <c r="A32" s="30"/>
      <c r="B32" s="96"/>
      <c r="C32" s="96"/>
      <c r="D32" s="96"/>
      <c r="E32" s="96"/>
      <c r="F32" s="96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</row>
    <row r="33" ht="14.25" customHeight="1">
      <c r="A33" s="30"/>
      <c r="B33" s="96"/>
      <c r="C33" s="96"/>
      <c r="D33" s="96"/>
      <c r="E33" s="96"/>
      <c r="F33" s="96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</row>
    <row r="34" ht="14.25" customHeight="1">
      <c r="A34" s="30"/>
      <c r="B34" s="96"/>
      <c r="C34" s="96"/>
      <c r="D34" s="96"/>
      <c r="E34" s="96"/>
      <c r="F34" s="96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</row>
    <row r="35" ht="14.25" customHeight="1">
      <c r="A35" s="30"/>
      <c r="B35" s="96"/>
      <c r="C35" s="96"/>
      <c r="D35" s="96"/>
      <c r="E35" s="96"/>
      <c r="F35" s="96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</row>
    <row r="36" ht="14.25" customHeight="1">
      <c r="A36" s="30"/>
      <c r="B36" s="96"/>
      <c r="C36" s="96"/>
      <c r="D36" s="96"/>
      <c r="E36" s="96"/>
      <c r="F36" s="96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</row>
    <row r="37" ht="14.25" customHeight="1">
      <c r="A37" s="30"/>
      <c r="B37" s="96"/>
      <c r="C37" s="96"/>
      <c r="D37" s="96"/>
      <c r="E37" s="96"/>
      <c r="F37" s="96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</row>
    <row r="38" ht="14.25" customHeight="1">
      <c r="A38" s="30"/>
      <c r="B38" s="96"/>
      <c r="C38" s="96"/>
      <c r="D38" s="96"/>
      <c r="E38" s="96"/>
      <c r="F38" s="96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</row>
    <row r="39" ht="14.25" customHeight="1">
      <c r="A39" s="30"/>
      <c r="B39" s="96"/>
      <c r="C39" s="96"/>
      <c r="D39" s="96"/>
      <c r="E39" s="96"/>
      <c r="F39" s="96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</row>
    <row r="40" ht="14.25" customHeight="1">
      <c r="A40" s="30"/>
      <c r="B40" s="96"/>
      <c r="C40" s="96"/>
      <c r="D40" s="96"/>
      <c r="E40" s="96"/>
      <c r="F40" s="96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</row>
    <row r="41" ht="14.25" customHeight="1">
      <c r="A41" s="30"/>
      <c r="B41" s="96"/>
      <c r="C41" s="96"/>
      <c r="D41" s="96"/>
      <c r="E41" s="96"/>
      <c r="F41" s="96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</row>
    <row r="42" ht="14.25" customHeight="1">
      <c r="A42" s="30"/>
      <c r="B42" s="96"/>
      <c r="C42" s="96"/>
      <c r="D42" s="96"/>
      <c r="E42" s="96"/>
      <c r="F42" s="96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</row>
    <row r="43" ht="14.25" customHeight="1">
      <c r="A43" s="30"/>
      <c r="B43" s="96"/>
      <c r="C43" s="96"/>
      <c r="D43" s="96"/>
      <c r="E43" s="96"/>
      <c r="F43" s="96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</row>
    <row r="44" ht="14.25" customHeight="1">
      <c r="A44" s="30"/>
      <c r="B44" s="96"/>
      <c r="C44" s="96"/>
      <c r="D44" s="96"/>
      <c r="E44" s="96"/>
      <c r="F44" s="96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</row>
    <row r="45" ht="14.25" customHeight="1">
      <c r="A45" s="30"/>
      <c r="B45" s="96"/>
      <c r="C45" s="96"/>
      <c r="D45" s="96"/>
      <c r="E45" s="96"/>
      <c r="F45" s="96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</row>
    <row r="46" ht="14.25" customHeight="1">
      <c r="A46" s="30"/>
      <c r="B46" s="96"/>
      <c r="C46" s="96"/>
      <c r="D46" s="96"/>
      <c r="E46" s="96"/>
      <c r="F46" s="96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</row>
    <row r="47" ht="14.25" customHeight="1">
      <c r="A47" s="30"/>
      <c r="B47" s="96"/>
      <c r="C47" s="96"/>
      <c r="D47" s="96"/>
      <c r="E47" s="96"/>
      <c r="F47" s="96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</row>
    <row r="48" ht="14.25" customHeight="1">
      <c r="A48" s="30"/>
      <c r="B48" s="96"/>
      <c r="C48" s="96"/>
      <c r="D48" s="96"/>
      <c r="E48" s="96"/>
      <c r="F48" s="96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</row>
    <row r="49" ht="14.25" customHeight="1">
      <c r="A49" s="30"/>
      <c r="B49" s="96"/>
      <c r="C49" s="96"/>
      <c r="D49" s="96"/>
      <c r="E49" s="96"/>
      <c r="F49" s="96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</row>
    <row r="50" ht="14.25" customHeight="1">
      <c r="A50" s="30"/>
      <c r="B50" s="96"/>
      <c r="C50" s="96"/>
      <c r="D50" s="96"/>
      <c r="E50" s="96"/>
      <c r="F50" s="96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</row>
    <row r="51" ht="14.25" customHeight="1">
      <c r="A51" s="30"/>
      <c r="B51" s="96"/>
      <c r="C51" s="96"/>
      <c r="D51" s="96"/>
      <c r="E51" s="96"/>
      <c r="F51" s="96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</row>
    <row r="52" ht="14.25" customHeight="1">
      <c r="A52" s="30"/>
      <c r="B52" s="96"/>
      <c r="C52" s="96"/>
      <c r="D52" s="96"/>
      <c r="E52" s="96"/>
      <c r="F52" s="96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</row>
    <row r="53" ht="14.25" customHeight="1">
      <c r="A53" s="30"/>
      <c r="B53" s="96"/>
      <c r="C53" s="96"/>
      <c r="D53" s="96"/>
      <c r="E53" s="96"/>
      <c r="F53" s="96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</row>
    <row r="54" ht="14.25" customHeight="1">
      <c r="A54" s="30"/>
      <c r="B54" s="96"/>
      <c r="C54" s="96"/>
      <c r="D54" s="96"/>
      <c r="E54" s="96"/>
      <c r="F54" s="96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</row>
    <row r="55" ht="14.25" customHeight="1">
      <c r="A55" s="60"/>
      <c r="B55" s="96"/>
      <c r="C55" s="96"/>
      <c r="D55" s="96"/>
      <c r="E55" s="96"/>
      <c r="F55" s="96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</row>
    <row r="56" ht="14.25" customHeight="1">
      <c r="A56" s="60"/>
      <c r="B56" s="96"/>
      <c r="C56" s="96"/>
      <c r="D56" s="96"/>
      <c r="E56" s="96"/>
      <c r="F56" s="96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</row>
    <row r="57" ht="14.25" customHeight="1">
      <c r="A57" s="60"/>
      <c r="B57" s="96"/>
      <c r="C57" s="96"/>
      <c r="D57" s="96"/>
      <c r="E57" s="96"/>
      <c r="F57" s="96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</row>
    <row r="58" ht="14.25" customHeight="1">
      <c r="A58" s="30"/>
      <c r="B58" s="96"/>
      <c r="C58" s="96"/>
      <c r="D58" s="96"/>
      <c r="E58" s="96"/>
      <c r="F58" s="96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</row>
    <row r="59" ht="14.25" customHeight="1">
      <c r="A59" s="30"/>
      <c r="B59" s="96"/>
      <c r="C59" s="96"/>
      <c r="D59" s="96"/>
      <c r="E59" s="96"/>
      <c r="F59" s="96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</row>
    <row r="60" ht="14.25" customHeight="1">
      <c r="A60" s="30"/>
      <c r="B60" s="96"/>
      <c r="C60" s="96"/>
      <c r="D60" s="96"/>
      <c r="E60" s="96"/>
      <c r="F60" s="96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</row>
    <row r="61" ht="14.25" customHeight="1">
      <c r="A61" s="30"/>
      <c r="B61" s="96"/>
      <c r="C61" s="96"/>
      <c r="D61" s="96"/>
      <c r="E61" s="96"/>
      <c r="F61" s="96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</row>
    <row r="62" ht="14.25" customHeight="1">
      <c r="A62" s="30"/>
      <c r="B62" s="96"/>
      <c r="C62" s="96"/>
      <c r="D62" s="96"/>
      <c r="E62" s="96"/>
      <c r="F62" s="96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</row>
    <row r="63" ht="14.25" customHeight="1">
      <c r="A63" s="30"/>
      <c r="B63" s="96"/>
      <c r="C63" s="96"/>
      <c r="D63" s="96"/>
      <c r="E63" s="96"/>
      <c r="F63" s="96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</row>
    <row r="64" ht="14.25" customHeight="1">
      <c r="A64" s="30"/>
      <c r="B64" s="96"/>
      <c r="C64" s="96"/>
      <c r="D64" s="96"/>
      <c r="E64" s="96"/>
      <c r="F64" s="96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</row>
    <row r="65" ht="14.25" customHeight="1">
      <c r="A65" s="30"/>
      <c r="B65" s="96"/>
      <c r="C65" s="96"/>
      <c r="D65" s="96"/>
      <c r="E65" s="96"/>
      <c r="F65" s="96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</row>
    <row r="66" ht="14.25" customHeight="1">
      <c r="A66" s="30"/>
      <c r="B66" s="96"/>
      <c r="C66" s="96"/>
      <c r="D66" s="96"/>
      <c r="E66" s="96"/>
      <c r="F66" s="96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</row>
    <row r="67" ht="14.25" customHeight="1">
      <c r="A67" s="30"/>
      <c r="B67" s="96"/>
      <c r="C67" s="96"/>
      <c r="D67" s="96"/>
      <c r="E67" s="96"/>
      <c r="F67" s="96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</row>
    <row r="68" ht="14.25" customHeight="1">
      <c r="A68" s="30"/>
      <c r="B68" s="96"/>
      <c r="C68" s="96"/>
      <c r="D68" s="96"/>
      <c r="E68" s="96"/>
      <c r="F68" s="96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</row>
    <row r="69" ht="14.25" customHeight="1">
      <c r="A69" s="30"/>
      <c r="B69" s="96"/>
      <c r="C69" s="96"/>
      <c r="D69" s="96"/>
      <c r="E69" s="96"/>
      <c r="F69" s="96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</row>
    <row r="70" ht="14.25" customHeight="1">
      <c r="A70" s="30"/>
      <c r="B70" s="96"/>
      <c r="C70" s="96"/>
      <c r="D70" s="96"/>
      <c r="E70" s="96"/>
      <c r="F70" s="96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</row>
    <row r="71" ht="14.25" customHeight="1">
      <c r="A71" s="30"/>
      <c r="B71" s="96"/>
      <c r="C71" s="96"/>
      <c r="D71" s="96"/>
      <c r="E71" s="96"/>
      <c r="F71" s="96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</row>
    <row r="72" ht="14.25" customHeight="1">
      <c r="A72" s="30"/>
      <c r="B72" s="96"/>
      <c r="C72" s="96"/>
      <c r="D72" s="96"/>
      <c r="E72" s="96"/>
      <c r="F72" s="96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</row>
    <row r="73" ht="14.25" customHeight="1">
      <c r="A73" s="30"/>
      <c r="B73" s="96"/>
      <c r="C73" s="96"/>
      <c r="D73" s="96"/>
      <c r="E73" s="96"/>
      <c r="F73" s="96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</row>
    <row r="74" ht="14.25" customHeight="1">
      <c r="A74" s="30"/>
      <c r="B74" s="96"/>
      <c r="C74" s="96"/>
      <c r="D74" s="96"/>
      <c r="E74" s="96"/>
      <c r="F74" s="96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</row>
    <row r="75" ht="14.25" customHeight="1">
      <c r="A75" s="30"/>
      <c r="B75" s="96"/>
      <c r="C75" s="96"/>
      <c r="D75" s="96"/>
      <c r="E75" s="96"/>
      <c r="F75" s="96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</row>
    <row r="76" ht="14.25" customHeight="1">
      <c r="A76" s="30"/>
      <c r="B76" s="96"/>
      <c r="C76" s="96"/>
      <c r="D76" s="96"/>
      <c r="E76" s="96"/>
      <c r="F76" s="96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</row>
    <row r="77" ht="14.25" customHeight="1">
      <c r="A77" s="30"/>
      <c r="B77" s="96"/>
      <c r="C77" s="96"/>
      <c r="D77" s="96"/>
      <c r="E77" s="96"/>
      <c r="F77" s="96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</row>
    <row r="78" ht="14.25" customHeight="1">
      <c r="A78" s="30"/>
      <c r="B78" s="96"/>
      <c r="C78" s="96"/>
      <c r="D78" s="96"/>
      <c r="E78" s="96"/>
      <c r="F78" s="96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</row>
    <row r="79" ht="14.25" customHeight="1">
      <c r="A79" s="30"/>
      <c r="B79" s="96"/>
      <c r="C79" s="96"/>
      <c r="D79" s="96"/>
      <c r="E79" s="96"/>
      <c r="F79" s="96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</row>
    <row r="80" ht="14.25" customHeight="1">
      <c r="A80" s="30"/>
      <c r="B80" s="96"/>
      <c r="C80" s="96"/>
      <c r="D80" s="96"/>
      <c r="E80" s="96"/>
      <c r="F80" s="96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</row>
    <row r="81" ht="14.25" customHeight="1">
      <c r="A81" s="30"/>
      <c r="B81" s="96"/>
      <c r="C81" s="96"/>
      <c r="D81" s="96"/>
      <c r="E81" s="96"/>
      <c r="F81" s="96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</row>
    <row r="82" ht="14.25" customHeight="1">
      <c r="A82" s="30"/>
      <c r="B82" s="96"/>
      <c r="C82" s="96"/>
      <c r="D82" s="96"/>
      <c r="E82" s="96"/>
      <c r="F82" s="96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</row>
    <row r="83" ht="14.25" customHeight="1">
      <c r="A83" s="30"/>
      <c r="B83" s="96"/>
      <c r="C83" s="96"/>
      <c r="D83" s="96"/>
      <c r="E83" s="96"/>
      <c r="F83" s="96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</row>
    <row r="84" ht="14.25" customHeight="1">
      <c r="A84" s="30"/>
      <c r="B84" s="96"/>
      <c r="C84" s="96"/>
      <c r="D84" s="96"/>
      <c r="E84" s="96"/>
      <c r="F84" s="96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</row>
    <row r="85" ht="14.25" customHeight="1">
      <c r="A85" s="30"/>
      <c r="B85" s="96"/>
      <c r="C85" s="96"/>
      <c r="D85" s="96"/>
      <c r="E85" s="96"/>
      <c r="F85" s="96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</row>
    <row r="86" ht="14.25" customHeight="1">
      <c r="A86" s="30"/>
      <c r="B86" s="96"/>
      <c r="C86" s="96"/>
      <c r="D86" s="96"/>
      <c r="E86" s="96"/>
      <c r="F86" s="96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</row>
    <row r="87" ht="14.25" customHeight="1">
      <c r="A87" s="30"/>
      <c r="B87" s="96"/>
      <c r="C87" s="96"/>
      <c r="D87" s="96"/>
      <c r="E87" s="96"/>
      <c r="F87" s="96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</row>
    <row r="88" ht="14.25" customHeight="1">
      <c r="A88" s="30"/>
      <c r="B88" s="96"/>
      <c r="C88" s="96"/>
      <c r="D88" s="96"/>
      <c r="E88" s="96"/>
      <c r="F88" s="96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</row>
    <row r="89" ht="14.25" customHeight="1">
      <c r="A89" s="30"/>
      <c r="B89" s="96"/>
      <c r="C89" s="96"/>
      <c r="D89" s="96"/>
      <c r="E89" s="96"/>
      <c r="F89" s="96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</row>
    <row r="90" ht="14.25" customHeight="1">
      <c r="A90" s="30"/>
      <c r="B90" s="96"/>
      <c r="C90" s="96"/>
      <c r="D90" s="96"/>
      <c r="E90" s="96"/>
      <c r="F90" s="96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</row>
    <row r="91" ht="14.25" customHeight="1">
      <c r="A91" s="30"/>
      <c r="B91" s="96"/>
      <c r="C91" s="96"/>
      <c r="D91" s="96"/>
      <c r="E91" s="96"/>
      <c r="F91" s="96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</row>
    <row r="92" ht="14.25" customHeight="1">
      <c r="A92" s="30"/>
      <c r="B92" s="96"/>
      <c r="C92" s="96"/>
      <c r="D92" s="96"/>
      <c r="E92" s="96"/>
      <c r="F92" s="96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</row>
    <row r="93" ht="14.25" customHeight="1">
      <c r="A93" s="30"/>
      <c r="B93" s="96"/>
      <c r="C93" s="96"/>
      <c r="D93" s="96"/>
      <c r="E93" s="96"/>
      <c r="F93" s="96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</row>
    <row r="94" ht="14.25" customHeight="1">
      <c r="A94" s="30"/>
      <c r="B94" s="96"/>
      <c r="C94" s="96"/>
      <c r="D94" s="96"/>
      <c r="E94" s="96"/>
      <c r="F94" s="96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</row>
    <row r="95" ht="14.25" customHeight="1">
      <c r="A95" s="30"/>
      <c r="B95" s="96"/>
      <c r="C95" s="96"/>
      <c r="D95" s="96"/>
      <c r="E95" s="96"/>
      <c r="F95" s="96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</row>
    <row r="96" ht="14.25" customHeight="1">
      <c r="A96" s="30"/>
      <c r="B96" s="96"/>
      <c r="C96" s="96"/>
      <c r="D96" s="96"/>
      <c r="E96" s="96"/>
      <c r="F96" s="96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</row>
    <row r="97" ht="14.25" customHeight="1">
      <c r="A97" s="30"/>
      <c r="B97" s="96"/>
      <c r="C97" s="96"/>
      <c r="D97" s="96"/>
      <c r="E97" s="96"/>
      <c r="F97" s="96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</row>
    <row r="98" ht="14.25" customHeight="1">
      <c r="A98" s="30"/>
      <c r="B98" s="96"/>
      <c r="C98" s="96"/>
      <c r="D98" s="96"/>
      <c r="E98" s="96"/>
      <c r="F98" s="96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</row>
    <row r="99" ht="14.25" customHeight="1">
      <c r="A99" s="30"/>
      <c r="B99" s="96"/>
      <c r="C99" s="96"/>
      <c r="D99" s="96"/>
      <c r="E99" s="96"/>
      <c r="F99" s="96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</row>
    <row r="100" ht="14.25" customHeight="1">
      <c r="A100" s="30"/>
      <c r="B100" s="96"/>
      <c r="C100" s="96"/>
      <c r="D100" s="96"/>
      <c r="E100" s="96"/>
      <c r="F100" s="96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</row>
    <row r="101" ht="14.25" customHeight="1">
      <c r="A101" s="30"/>
      <c r="B101" s="96"/>
      <c r="C101" s="96"/>
      <c r="D101" s="96"/>
      <c r="E101" s="96"/>
      <c r="F101" s="96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</row>
    <row r="102" ht="14.25" customHeight="1">
      <c r="A102" s="30"/>
      <c r="B102" s="96"/>
      <c r="C102" s="96"/>
      <c r="D102" s="96"/>
      <c r="E102" s="96"/>
      <c r="F102" s="96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</row>
    <row r="103" ht="14.25" customHeight="1">
      <c r="A103" s="30"/>
      <c r="B103" s="96"/>
      <c r="C103" s="96"/>
      <c r="D103" s="96"/>
      <c r="E103" s="96"/>
      <c r="F103" s="96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</row>
    <row r="104" ht="14.25" customHeight="1">
      <c r="A104" s="30"/>
      <c r="B104" s="96"/>
      <c r="C104" s="96"/>
      <c r="D104" s="96"/>
      <c r="E104" s="96"/>
      <c r="F104" s="96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</row>
    <row r="105" ht="14.25" customHeight="1">
      <c r="A105" s="30"/>
      <c r="B105" s="96"/>
      <c r="C105" s="96"/>
      <c r="D105" s="96"/>
      <c r="E105" s="96"/>
      <c r="F105" s="96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</row>
    <row r="106" ht="14.25" customHeight="1">
      <c r="A106" s="30"/>
      <c r="B106" s="96"/>
      <c r="C106" s="96"/>
      <c r="D106" s="96"/>
      <c r="E106" s="96"/>
      <c r="F106" s="96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</row>
    <row r="107" ht="14.25" customHeight="1">
      <c r="A107" s="30"/>
      <c r="B107" s="96"/>
      <c r="C107" s="96"/>
      <c r="D107" s="96"/>
      <c r="E107" s="96"/>
      <c r="F107" s="96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</row>
    <row r="108" ht="14.25" customHeight="1">
      <c r="A108" s="30"/>
      <c r="B108" s="96"/>
      <c r="C108" s="96"/>
      <c r="D108" s="96"/>
      <c r="E108" s="96"/>
      <c r="F108" s="96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</row>
    <row r="109" ht="14.25" customHeight="1">
      <c r="A109" s="30"/>
      <c r="B109" s="96"/>
      <c r="C109" s="96"/>
      <c r="D109" s="96"/>
      <c r="E109" s="96"/>
      <c r="F109" s="96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</row>
    <row r="110" ht="14.25" customHeight="1">
      <c r="A110" s="30"/>
      <c r="B110" s="96"/>
      <c r="C110" s="96"/>
      <c r="D110" s="96"/>
      <c r="E110" s="96"/>
      <c r="F110" s="96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</row>
    <row r="111" ht="14.25" customHeight="1">
      <c r="A111" s="30"/>
      <c r="B111" s="96"/>
      <c r="C111" s="96"/>
      <c r="D111" s="96"/>
      <c r="E111" s="96"/>
      <c r="F111" s="96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</row>
    <row r="112" ht="14.25" customHeight="1">
      <c r="A112" s="30"/>
      <c r="B112" s="96"/>
      <c r="C112" s="96"/>
      <c r="D112" s="96"/>
      <c r="E112" s="96"/>
      <c r="F112" s="96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</row>
    <row r="113" ht="14.25" customHeight="1">
      <c r="A113" s="30"/>
      <c r="B113" s="96"/>
      <c r="C113" s="96"/>
      <c r="D113" s="96"/>
      <c r="E113" s="96"/>
      <c r="F113" s="96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</row>
    <row r="114" ht="14.25" customHeight="1">
      <c r="A114" s="30"/>
      <c r="B114" s="96"/>
      <c r="C114" s="96"/>
      <c r="D114" s="96"/>
      <c r="E114" s="96"/>
      <c r="F114" s="96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</row>
    <row r="115" ht="14.25" customHeight="1">
      <c r="A115" s="30"/>
      <c r="B115" s="96"/>
      <c r="C115" s="96"/>
      <c r="D115" s="96"/>
      <c r="E115" s="96"/>
      <c r="F115" s="96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</row>
    <row r="116" ht="14.25" customHeight="1">
      <c r="A116" s="30"/>
      <c r="B116" s="96"/>
      <c r="C116" s="96"/>
      <c r="D116" s="96"/>
      <c r="E116" s="96"/>
      <c r="F116" s="96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</row>
    <row r="117" ht="14.25" customHeight="1">
      <c r="A117" s="30"/>
      <c r="B117" s="96"/>
      <c r="C117" s="96"/>
      <c r="D117" s="96"/>
      <c r="E117" s="96"/>
      <c r="F117" s="96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</row>
    <row r="118" ht="14.25" customHeight="1">
      <c r="A118" s="30"/>
      <c r="B118" s="96"/>
      <c r="C118" s="96"/>
      <c r="D118" s="96"/>
      <c r="E118" s="96"/>
      <c r="F118" s="96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</row>
    <row r="119" ht="14.25" customHeight="1">
      <c r="A119" s="30"/>
      <c r="B119" s="96"/>
      <c r="C119" s="96"/>
      <c r="D119" s="96"/>
      <c r="E119" s="96"/>
      <c r="F119" s="96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</row>
    <row r="120" ht="14.25" customHeight="1">
      <c r="A120" s="30"/>
      <c r="B120" s="96"/>
      <c r="C120" s="96"/>
      <c r="D120" s="96"/>
      <c r="E120" s="96"/>
      <c r="F120" s="96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</row>
    <row r="121" ht="14.25" customHeight="1">
      <c r="A121" s="30"/>
      <c r="B121" s="96"/>
      <c r="C121" s="96"/>
      <c r="D121" s="96"/>
      <c r="E121" s="96"/>
      <c r="F121" s="96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</row>
    <row r="122" ht="14.25" customHeight="1">
      <c r="A122" s="30"/>
      <c r="B122" s="96"/>
      <c r="C122" s="96"/>
      <c r="D122" s="96"/>
      <c r="E122" s="96"/>
      <c r="F122" s="96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</row>
    <row r="123" ht="14.25" customHeight="1">
      <c r="A123" s="30"/>
      <c r="B123" s="96"/>
      <c r="C123" s="96"/>
      <c r="D123" s="96"/>
      <c r="E123" s="96"/>
      <c r="F123" s="96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</row>
    <row r="124" ht="14.25" customHeight="1">
      <c r="A124" s="30"/>
      <c r="B124" s="96"/>
      <c r="C124" s="96"/>
      <c r="D124" s="96"/>
      <c r="E124" s="96"/>
      <c r="F124" s="96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</row>
    <row r="125" ht="14.25" customHeight="1">
      <c r="A125" s="30"/>
      <c r="B125" s="96"/>
      <c r="C125" s="96"/>
      <c r="D125" s="96"/>
      <c r="E125" s="96"/>
      <c r="F125" s="96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</row>
    <row r="126" ht="14.25" customHeight="1">
      <c r="A126" s="30"/>
      <c r="B126" s="96"/>
      <c r="C126" s="96"/>
      <c r="D126" s="96"/>
      <c r="E126" s="96"/>
      <c r="F126" s="96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</row>
    <row r="127" ht="14.25" customHeight="1">
      <c r="A127" s="30"/>
      <c r="B127" s="96"/>
      <c r="C127" s="96"/>
      <c r="D127" s="96"/>
      <c r="E127" s="96"/>
      <c r="F127" s="96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</row>
    <row r="128" ht="14.25" customHeight="1">
      <c r="A128" s="30"/>
      <c r="B128" s="96"/>
      <c r="C128" s="96"/>
      <c r="D128" s="96"/>
      <c r="E128" s="96"/>
      <c r="F128" s="96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</row>
    <row r="129" ht="14.25" customHeight="1">
      <c r="A129" s="30"/>
      <c r="B129" s="96"/>
      <c r="C129" s="96"/>
      <c r="D129" s="96"/>
      <c r="E129" s="96"/>
      <c r="F129" s="96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</row>
    <row r="130" ht="14.25" customHeight="1">
      <c r="A130" s="30"/>
      <c r="B130" s="96"/>
      <c r="C130" s="96"/>
      <c r="D130" s="96"/>
      <c r="E130" s="96"/>
      <c r="F130" s="96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</row>
    <row r="131" ht="14.25" customHeight="1">
      <c r="A131" s="30"/>
      <c r="B131" s="96"/>
      <c r="C131" s="96"/>
      <c r="D131" s="96"/>
      <c r="E131" s="96"/>
      <c r="F131" s="96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</row>
    <row r="132" ht="14.25" customHeight="1">
      <c r="A132" s="30"/>
      <c r="B132" s="96"/>
      <c r="C132" s="96"/>
      <c r="D132" s="96"/>
      <c r="E132" s="96"/>
      <c r="F132" s="96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</row>
    <row r="133" ht="14.25" customHeight="1">
      <c r="A133" s="30"/>
      <c r="B133" s="96"/>
      <c r="C133" s="96"/>
      <c r="D133" s="96"/>
      <c r="E133" s="96"/>
      <c r="F133" s="96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</row>
    <row r="134" ht="14.25" customHeight="1">
      <c r="A134" s="30"/>
      <c r="B134" s="96"/>
      <c r="C134" s="96"/>
      <c r="D134" s="96"/>
      <c r="E134" s="96"/>
      <c r="F134" s="96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</row>
    <row r="135" ht="14.25" customHeight="1">
      <c r="A135" s="30"/>
      <c r="B135" s="96"/>
      <c r="C135" s="96"/>
      <c r="D135" s="96"/>
      <c r="E135" s="96"/>
      <c r="F135" s="96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</row>
    <row r="136" ht="14.25" customHeight="1">
      <c r="A136" s="30"/>
      <c r="B136" s="96"/>
      <c r="C136" s="96"/>
      <c r="D136" s="96"/>
      <c r="E136" s="96"/>
      <c r="F136" s="96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</row>
    <row r="137" ht="14.25" customHeight="1">
      <c r="A137" s="30"/>
      <c r="B137" s="96"/>
      <c r="C137" s="96"/>
      <c r="D137" s="96"/>
      <c r="E137" s="96"/>
      <c r="F137" s="96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</row>
    <row r="138" ht="14.25" customHeight="1">
      <c r="A138" s="30"/>
      <c r="B138" s="96"/>
      <c r="C138" s="96"/>
      <c r="D138" s="96"/>
      <c r="E138" s="96"/>
      <c r="F138" s="96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</row>
    <row r="139" ht="14.25" customHeight="1">
      <c r="A139" s="30"/>
      <c r="B139" s="96"/>
      <c r="C139" s="96"/>
      <c r="D139" s="96"/>
      <c r="E139" s="96"/>
      <c r="F139" s="96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</row>
    <row r="140" ht="14.25" customHeight="1">
      <c r="A140" s="30"/>
      <c r="B140" s="96"/>
      <c r="C140" s="96"/>
      <c r="D140" s="96"/>
      <c r="E140" s="96"/>
      <c r="F140" s="96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</row>
    <row r="141" ht="14.25" customHeight="1">
      <c r="A141" s="30"/>
      <c r="B141" s="96"/>
      <c r="C141" s="96"/>
      <c r="D141" s="96"/>
      <c r="E141" s="96"/>
      <c r="F141" s="96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</row>
    <row r="142" ht="14.25" customHeight="1">
      <c r="A142" s="30"/>
      <c r="B142" s="96"/>
      <c r="C142" s="96"/>
      <c r="D142" s="96"/>
      <c r="E142" s="96"/>
      <c r="F142" s="96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</row>
    <row r="143" ht="14.25" customHeight="1">
      <c r="A143" s="30"/>
      <c r="B143" s="96"/>
      <c r="C143" s="96"/>
      <c r="D143" s="96"/>
      <c r="E143" s="96"/>
      <c r="F143" s="96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</row>
    <row r="144" ht="14.25" customHeight="1">
      <c r="A144" s="30"/>
      <c r="B144" s="96"/>
      <c r="C144" s="96"/>
      <c r="D144" s="96"/>
      <c r="E144" s="96"/>
      <c r="F144" s="96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</row>
    <row r="145" ht="14.25" customHeight="1">
      <c r="A145" s="30"/>
      <c r="B145" s="96"/>
      <c r="C145" s="96"/>
      <c r="D145" s="96"/>
      <c r="E145" s="96"/>
      <c r="F145" s="96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</row>
    <row r="146" ht="14.25" customHeight="1">
      <c r="A146" s="30"/>
      <c r="B146" s="96"/>
      <c r="C146" s="96"/>
      <c r="D146" s="96"/>
      <c r="E146" s="96"/>
      <c r="F146" s="96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</row>
    <row r="147" ht="14.25" customHeight="1">
      <c r="A147" s="30"/>
      <c r="B147" s="96"/>
      <c r="C147" s="96"/>
      <c r="D147" s="96"/>
      <c r="E147" s="96"/>
      <c r="F147" s="96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</row>
    <row r="148" ht="14.25" customHeight="1">
      <c r="A148" s="30"/>
      <c r="B148" s="96"/>
      <c r="C148" s="96"/>
      <c r="D148" s="96"/>
      <c r="E148" s="96"/>
      <c r="F148" s="96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</row>
    <row r="149" ht="14.25" customHeight="1">
      <c r="A149" s="30"/>
      <c r="B149" s="96"/>
      <c r="C149" s="96"/>
      <c r="D149" s="96"/>
      <c r="E149" s="96"/>
      <c r="F149" s="96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</row>
    <row r="150" ht="14.25" customHeight="1">
      <c r="A150" s="30"/>
      <c r="B150" s="96"/>
      <c r="C150" s="96"/>
      <c r="D150" s="96"/>
      <c r="E150" s="96"/>
      <c r="F150" s="96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</row>
    <row r="151" ht="14.25" customHeight="1">
      <c r="A151" s="30"/>
      <c r="B151" s="96"/>
      <c r="C151" s="96"/>
      <c r="D151" s="96"/>
      <c r="E151" s="96"/>
      <c r="F151" s="96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</row>
    <row r="152" ht="14.25" customHeight="1">
      <c r="A152" s="30"/>
      <c r="B152" s="96"/>
      <c r="C152" s="96"/>
      <c r="D152" s="96"/>
      <c r="E152" s="96"/>
      <c r="F152" s="96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</row>
    <row r="153" ht="14.25" customHeight="1">
      <c r="A153" s="30"/>
      <c r="B153" s="96"/>
      <c r="C153" s="96"/>
      <c r="D153" s="96"/>
      <c r="E153" s="96"/>
      <c r="F153" s="96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</row>
    <row r="154" ht="14.25" customHeight="1">
      <c r="A154" s="30"/>
      <c r="B154" s="96"/>
      <c r="C154" s="96"/>
      <c r="D154" s="96"/>
      <c r="E154" s="96"/>
      <c r="F154" s="96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</row>
    <row r="155" ht="14.25" customHeight="1">
      <c r="A155" s="30"/>
      <c r="B155" s="96"/>
      <c r="C155" s="96"/>
      <c r="D155" s="96"/>
      <c r="E155" s="96"/>
      <c r="F155" s="96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</row>
    <row r="156" ht="14.25" customHeight="1">
      <c r="A156" s="30"/>
      <c r="B156" s="96"/>
      <c r="C156" s="96"/>
      <c r="D156" s="96"/>
      <c r="E156" s="96"/>
      <c r="F156" s="96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</row>
    <row r="157" ht="14.25" customHeight="1">
      <c r="A157" s="30"/>
      <c r="B157" s="96"/>
      <c r="C157" s="96"/>
      <c r="D157" s="96"/>
      <c r="E157" s="96"/>
      <c r="F157" s="96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</row>
    <row r="158" ht="14.25" customHeight="1">
      <c r="A158" s="30"/>
      <c r="B158" s="96"/>
      <c r="C158" s="96"/>
      <c r="D158" s="96"/>
      <c r="E158" s="96"/>
      <c r="F158" s="96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</row>
    <row r="159" ht="14.25" customHeight="1">
      <c r="A159" s="30"/>
      <c r="B159" s="96"/>
      <c r="C159" s="96"/>
      <c r="D159" s="96"/>
      <c r="E159" s="96"/>
      <c r="F159" s="96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</row>
    <row r="160" ht="14.25" customHeight="1">
      <c r="A160" s="30"/>
      <c r="B160" s="96"/>
      <c r="C160" s="96"/>
      <c r="D160" s="96"/>
      <c r="E160" s="96"/>
      <c r="F160" s="96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</row>
    <row r="161" ht="14.25" customHeight="1">
      <c r="A161" s="30"/>
      <c r="B161" s="96"/>
      <c r="C161" s="96"/>
      <c r="D161" s="96"/>
      <c r="E161" s="96"/>
      <c r="F161" s="96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</row>
    <row r="162" ht="14.25" customHeight="1">
      <c r="A162" s="30"/>
      <c r="B162" s="96"/>
      <c r="C162" s="96"/>
      <c r="D162" s="96"/>
      <c r="E162" s="96"/>
      <c r="F162" s="96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</row>
    <row r="163" ht="14.25" customHeight="1">
      <c r="A163" s="30"/>
      <c r="B163" s="96"/>
      <c r="C163" s="96"/>
      <c r="D163" s="96"/>
      <c r="E163" s="96"/>
      <c r="F163" s="96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</row>
    <row r="164" ht="14.25" customHeight="1">
      <c r="A164" s="30"/>
      <c r="B164" s="96"/>
      <c r="C164" s="96"/>
      <c r="D164" s="96"/>
      <c r="E164" s="96"/>
      <c r="F164" s="96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</row>
    <row r="165" ht="14.25" customHeight="1">
      <c r="A165" s="30"/>
      <c r="B165" s="96"/>
      <c r="C165" s="96"/>
      <c r="D165" s="96"/>
      <c r="E165" s="96"/>
      <c r="F165" s="96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</row>
    <row r="166" ht="14.25" customHeight="1">
      <c r="A166" s="30"/>
      <c r="B166" s="96"/>
      <c r="C166" s="96"/>
      <c r="D166" s="96"/>
      <c r="E166" s="96"/>
      <c r="F166" s="96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</row>
    <row r="167" ht="14.25" customHeight="1">
      <c r="A167" s="30"/>
      <c r="B167" s="96"/>
      <c r="C167" s="96"/>
      <c r="D167" s="96"/>
      <c r="E167" s="96"/>
      <c r="F167" s="96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</row>
    <row r="168" ht="14.25" customHeight="1">
      <c r="A168" s="30"/>
      <c r="B168" s="96"/>
      <c r="C168" s="96"/>
      <c r="D168" s="96"/>
      <c r="E168" s="96"/>
      <c r="F168" s="96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</row>
    <row r="169" ht="14.25" customHeight="1">
      <c r="A169" s="30"/>
      <c r="B169" s="96"/>
      <c r="C169" s="96"/>
      <c r="D169" s="96"/>
      <c r="E169" s="96"/>
      <c r="F169" s="96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</row>
    <row r="170" ht="14.25" customHeight="1">
      <c r="A170" s="30"/>
      <c r="B170" s="96"/>
      <c r="C170" s="96"/>
      <c r="D170" s="96"/>
      <c r="E170" s="96"/>
      <c r="F170" s="96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</row>
    <row r="171" ht="14.25" customHeight="1">
      <c r="A171" s="30"/>
      <c r="B171" s="96"/>
      <c r="C171" s="96"/>
      <c r="D171" s="96"/>
      <c r="E171" s="96"/>
      <c r="F171" s="96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</row>
    <row r="172" ht="14.25" customHeight="1">
      <c r="A172" s="30"/>
      <c r="B172" s="96"/>
      <c r="C172" s="96"/>
      <c r="D172" s="96"/>
      <c r="E172" s="96"/>
      <c r="F172" s="96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</row>
    <row r="173" ht="14.25" customHeight="1">
      <c r="A173" s="30"/>
      <c r="B173" s="96"/>
      <c r="C173" s="96"/>
      <c r="D173" s="96"/>
      <c r="E173" s="96"/>
      <c r="F173" s="96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</row>
    <row r="174" ht="14.25" customHeight="1">
      <c r="A174" s="30"/>
      <c r="B174" s="96"/>
      <c r="C174" s="96"/>
      <c r="D174" s="96"/>
      <c r="E174" s="96"/>
      <c r="F174" s="96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</row>
    <row r="175" ht="14.25" customHeight="1">
      <c r="A175" s="30"/>
      <c r="B175" s="96"/>
      <c r="C175" s="96"/>
      <c r="D175" s="96"/>
      <c r="E175" s="96"/>
      <c r="F175" s="96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</row>
    <row r="176" ht="14.25" customHeight="1">
      <c r="A176" s="30"/>
      <c r="B176" s="96"/>
      <c r="C176" s="96"/>
      <c r="D176" s="96"/>
      <c r="E176" s="96"/>
      <c r="F176" s="96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</row>
    <row r="177" ht="14.25" customHeight="1">
      <c r="A177" s="30"/>
      <c r="B177" s="96"/>
      <c r="C177" s="96"/>
      <c r="D177" s="96"/>
      <c r="E177" s="96"/>
      <c r="F177" s="96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</row>
    <row r="178" ht="14.25" customHeight="1">
      <c r="A178" s="30"/>
      <c r="B178" s="96"/>
      <c r="C178" s="96"/>
      <c r="D178" s="96"/>
      <c r="E178" s="96"/>
      <c r="F178" s="96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</row>
    <row r="179" ht="14.25" customHeight="1">
      <c r="A179" s="30"/>
      <c r="B179" s="96"/>
      <c r="C179" s="96"/>
      <c r="D179" s="96"/>
      <c r="E179" s="96"/>
      <c r="F179" s="96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</row>
    <row r="180" ht="14.25" customHeight="1">
      <c r="A180" s="30"/>
      <c r="B180" s="96"/>
      <c r="C180" s="96"/>
      <c r="D180" s="96"/>
      <c r="E180" s="96"/>
      <c r="F180" s="96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</row>
    <row r="181" ht="14.25" customHeight="1">
      <c r="A181" s="30"/>
      <c r="B181" s="96"/>
      <c r="C181" s="96"/>
      <c r="D181" s="96"/>
      <c r="E181" s="96"/>
      <c r="F181" s="96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</row>
    <row r="182" ht="14.25" customHeight="1">
      <c r="A182" s="30"/>
      <c r="B182" s="96"/>
      <c r="C182" s="96"/>
      <c r="D182" s="96"/>
      <c r="E182" s="96"/>
      <c r="F182" s="96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</row>
    <row r="183" ht="14.25" customHeight="1">
      <c r="A183" s="30"/>
      <c r="B183" s="96"/>
      <c r="C183" s="96"/>
      <c r="D183" s="96"/>
      <c r="E183" s="96"/>
      <c r="F183" s="96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</row>
    <row r="184" ht="14.25" customHeight="1">
      <c r="A184" s="30"/>
      <c r="B184" s="96"/>
      <c r="C184" s="96"/>
      <c r="D184" s="96"/>
      <c r="E184" s="96"/>
      <c r="F184" s="96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</row>
    <row r="185" ht="14.25" customHeight="1">
      <c r="A185" s="30"/>
      <c r="B185" s="96"/>
      <c r="C185" s="96"/>
      <c r="D185" s="96"/>
      <c r="E185" s="96"/>
      <c r="F185" s="96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</row>
    <row r="186" ht="14.25" customHeight="1">
      <c r="A186" s="30"/>
      <c r="B186" s="96"/>
      <c r="C186" s="96"/>
      <c r="D186" s="96"/>
      <c r="E186" s="96"/>
      <c r="F186" s="96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</row>
    <row r="187" ht="14.25" customHeight="1">
      <c r="A187" s="30"/>
      <c r="B187" s="96"/>
      <c r="C187" s="96"/>
      <c r="D187" s="96"/>
      <c r="E187" s="96"/>
      <c r="F187" s="96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</row>
    <row r="188" ht="14.25" customHeight="1">
      <c r="A188" s="30"/>
      <c r="B188" s="96"/>
      <c r="C188" s="96"/>
      <c r="D188" s="96"/>
      <c r="E188" s="96"/>
      <c r="F188" s="96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</row>
    <row r="189" ht="14.25" customHeight="1">
      <c r="A189" s="30"/>
      <c r="B189" s="96"/>
      <c r="C189" s="96"/>
      <c r="D189" s="96"/>
      <c r="E189" s="96"/>
      <c r="F189" s="96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</row>
    <row r="190" ht="14.25" customHeight="1">
      <c r="A190" s="30"/>
      <c r="B190" s="96"/>
      <c r="C190" s="96"/>
      <c r="D190" s="96"/>
      <c r="E190" s="96"/>
      <c r="F190" s="96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</row>
    <row r="191" ht="14.25" customHeight="1">
      <c r="A191" s="30"/>
      <c r="B191" s="96"/>
      <c r="C191" s="96"/>
      <c r="D191" s="96"/>
      <c r="E191" s="96"/>
      <c r="F191" s="96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</row>
    <row r="192" ht="14.25" customHeight="1">
      <c r="A192" s="30"/>
      <c r="B192" s="96"/>
      <c r="C192" s="96"/>
      <c r="D192" s="96"/>
      <c r="E192" s="96"/>
      <c r="F192" s="96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</row>
    <row r="193" ht="14.25" customHeight="1">
      <c r="A193" s="30"/>
      <c r="B193" s="96"/>
      <c r="C193" s="96"/>
      <c r="D193" s="96"/>
      <c r="E193" s="96"/>
      <c r="F193" s="96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</row>
    <row r="194" ht="14.25" customHeight="1">
      <c r="A194" s="30"/>
      <c r="B194" s="96"/>
      <c r="C194" s="96"/>
      <c r="D194" s="96"/>
      <c r="E194" s="96"/>
      <c r="F194" s="96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</row>
    <row r="195" ht="14.25" customHeight="1">
      <c r="A195" s="30"/>
      <c r="B195" s="96"/>
      <c r="C195" s="96"/>
      <c r="D195" s="96"/>
      <c r="E195" s="96"/>
      <c r="F195" s="96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</row>
    <row r="196" ht="14.25" customHeight="1">
      <c r="A196" s="30"/>
      <c r="B196" s="96"/>
      <c r="C196" s="96"/>
      <c r="D196" s="96"/>
      <c r="E196" s="96"/>
      <c r="F196" s="96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</row>
    <row r="197" ht="14.25" customHeight="1">
      <c r="A197" s="30"/>
      <c r="B197" s="96"/>
      <c r="C197" s="96"/>
      <c r="D197" s="96"/>
      <c r="E197" s="96"/>
      <c r="F197" s="96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</row>
    <row r="198" ht="14.25" customHeight="1">
      <c r="A198" s="30"/>
      <c r="B198" s="96"/>
      <c r="C198" s="96"/>
      <c r="D198" s="96"/>
      <c r="E198" s="96"/>
      <c r="F198" s="96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</row>
    <row r="199" ht="14.25" customHeight="1">
      <c r="A199" s="30"/>
      <c r="B199" s="96"/>
      <c r="C199" s="96"/>
      <c r="D199" s="96"/>
      <c r="E199" s="96"/>
      <c r="F199" s="96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</row>
    <row r="200" ht="14.25" customHeight="1">
      <c r="A200" s="30"/>
      <c r="B200" s="96"/>
      <c r="C200" s="96"/>
      <c r="D200" s="96"/>
      <c r="E200" s="96"/>
      <c r="F200" s="96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</row>
    <row r="201" ht="14.25" customHeight="1">
      <c r="A201" s="30"/>
      <c r="B201" s="96"/>
      <c r="C201" s="96"/>
      <c r="D201" s="96"/>
      <c r="E201" s="96"/>
      <c r="F201" s="96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</row>
    <row r="202" ht="14.25" customHeight="1">
      <c r="A202" s="30"/>
      <c r="B202" s="96"/>
      <c r="C202" s="96"/>
      <c r="D202" s="96"/>
      <c r="E202" s="96"/>
      <c r="F202" s="96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</row>
    <row r="203" ht="14.25" customHeight="1">
      <c r="A203" s="30"/>
      <c r="B203" s="96"/>
      <c r="C203" s="96"/>
      <c r="D203" s="96"/>
      <c r="E203" s="96"/>
      <c r="F203" s="96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</row>
    <row r="204" ht="14.25" customHeight="1">
      <c r="A204" s="30"/>
      <c r="B204" s="96"/>
      <c r="C204" s="96"/>
      <c r="D204" s="96"/>
      <c r="E204" s="96"/>
      <c r="F204" s="96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</row>
    <row r="205" ht="14.25" customHeight="1">
      <c r="A205" s="30"/>
      <c r="B205" s="96"/>
      <c r="C205" s="96"/>
      <c r="D205" s="96"/>
      <c r="E205" s="96"/>
      <c r="F205" s="96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</row>
    <row r="206" ht="14.25" customHeight="1">
      <c r="A206" s="30"/>
      <c r="B206" s="96"/>
      <c r="C206" s="96"/>
      <c r="D206" s="96"/>
      <c r="E206" s="96"/>
      <c r="F206" s="96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</row>
    <row r="207" ht="14.25" customHeight="1">
      <c r="A207" s="30"/>
      <c r="B207" s="96"/>
      <c r="C207" s="96"/>
      <c r="D207" s="96"/>
      <c r="E207" s="96"/>
      <c r="F207" s="96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</row>
    <row r="208" ht="14.25" customHeight="1">
      <c r="A208" s="30"/>
      <c r="B208" s="96"/>
      <c r="C208" s="96"/>
      <c r="D208" s="96"/>
      <c r="E208" s="96"/>
      <c r="F208" s="96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</row>
    <row r="209" ht="14.25" customHeight="1">
      <c r="A209" s="30"/>
      <c r="B209" s="96"/>
      <c r="C209" s="96"/>
      <c r="D209" s="96"/>
      <c r="E209" s="96"/>
      <c r="F209" s="96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</row>
    <row r="210" ht="14.25" customHeight="1">
      <c r="A210" s="30"/>
      <c r="B210" s="96"/>
      <c r="C210" s="96"/>
      <c r="D210" s="96"/>
      <c r="E210" s="96"/>
      <c r="F210" s="96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</row>
    <row r="211" ht="14.25" customHeight="1">
      <c r="A211" s="30"/>
      <c r="B211" s="96"/>
      <c r="C211" s="96"/>
      <c r="D211" s="96"/>
      <c r="E211" s="96"/>
      <c r="F211" s="96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</row>
    <row r="212" ht="14.25" customHeight="1">
      <c r="A212" s="30"/>
      <c r="B212" s="96"/>
      <c r="C212" s="96"/>
      <c r="D212" s="96"/>
      <c r="E212" s="96"/>
      <c r="F212" s="96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</row>
    <row r="213" ht="14.25" customHeight="1">
      <c r="A213" s="30"/>
      <c r="B213" s="96"/>
      <c r="C213" s="96"/>
      <c r="D213" s="96"/>
      <c r="E213" s="96"/>
      <c r="F213" s="96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</row>
    <row r="214" ht="14.25" customHeight="1">
      <c r="A214" s="30"/>
      <c r="B214" s="96"/>
      <c r="C214" s="96"/>
      <c r="D214" s="96"/>
      <c r="E214" s="96"/>
      <c r="F214" s="96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</row>
    <row r="215" ht="14.25" customHeight="1">
      <c r="A215" s="30"/>
      <c r="B215" s="96"/>
      <c r="C215" s="96"/>
      <c r="D215" s="96"/>
      <c r="E215" s="96"/>
      <c r="F215" s="96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</row>
    <row r="216" ht="14.25" customHeight="1">
      <c r="A216" s="30"/>
      <c r="B216" s="96"/>
      <c r="C216" s="96"/>
      <c r="D216" s="96"/>
      <c r="E216" s="96"/>
      <c r="F216" s="96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</row>
    <row r="217" ht="14.25" customHeight="1">
      <c r="A217" s="30"/>
      <c r="B217" s="96"/>
      <c r="C217" s="96"/>
      <c r="D217" s="96"/>
      <c r="E217" s="96"/>
      <c r="F217" s="96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</row>
    <row r="218" ht="14.25" customHeight="1">
      <c r="A218" s="30"/>
      <c r="B218" s="96"/>
      <c r="C218" s="96"/>
      <c r="D218" s="96"/>
      <c r="E218" s="96"/>
      <c r="F218" s="96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</row>
    <row r="219" ht="14.25" customHeight="1">
      <c r="A219" s="30"/>
      <c r="B219" s="96"/>
      <c r="C219" s="96"/>
      <c r="D219" s="96"/>
      <c r="E219" s="96"/>
      <c r="F219" s="96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</row>
    <row r="220" ht="14.25" customHeight="1">
      <c r="A220" s="30"/>
      <c r="B220" s="96"/>
      <c r="C220" s="96"/>
      <c r="D220" s="96"/>
      <c r="E220" s="96"/>
      <c r="F220" s="96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</row>
    <row r="221" ht="14.25" customHeight="1">
      <c r="A221" s="30"/>
      <c r="B221" s="96"/>
      <c r="C221" s="96"/>
      <c r="D221" s="96"/>
      <c r="E221" s="96"/>
      <c r="F221" s="96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</row>
    <row r="222" ht="14.25" customHeight="1">
      <c r="A222" s="30"/>
      <c r="B222" s="96"/>
      <c r="C222" s="96"/>
      <c r="D222" s="96"/>
      <c r="E222" s="96"/>
      <c r="F222" s="96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</row>
    <row r="223" ht="14.25" customHeight="1">
      <c r="A223" s="30"/>
      <c r="B223" s="96"/>
      <c r="C223" s="96"/>
      <c r="D223" s="96"/>
      <c r="E223" s="96"/>
      <c r="F223" s="96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</row>
    <row r="224" ht="14.25" customHeight="1">
      <c r="A224" s="30"/>
      <c r="B224" s="96"/>
      <c r="C224" s="96"/>
      <c r="D224" s="96"/>
      <c r="E224" s="96"/>
      <c r="F224" s="96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</row>
    <row r="225" ht="14.25" customHeight="1">
      <c r="A225" s="30"/>
      <c r="B225" s="96"/>
      <c r="C225" s="96"/>
      <c r="D225" s="96"/>
      <c r="E225" s="96"/>
      <c r="F225" s="96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</row>
    <row r="226" ht="14.25" customHeight="1">
      <c r="A226" s="30"/>
      <c r="B226" s="96"/>
      <c r="C226" s="96"/>
      <c r="D226" s="96"/>
      <c r="E226" s="96"/>
      <c r="F226" s="96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</row>
    <row r="227" ht="14.25" customHeight="1">
      <c r="A227" s="30"/>
      <c r="B227" s="96"/>
      <c r="C227" s="96"/>
      <c r="D227" s="96"/>
      <c r="E227" s="96"/>
      <c r="F227" s="96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</row>
    <row r="228" ht="14.25" customHeight="1">
      <c r="A228" s="30"/>
      <c r="B228" s="96"/>
      <c r="C228" s="96"/>
      <c r="D228" s="96"/>
      <c r="E228" s="96"/>
      <c r="F228" s="96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</row>
    <row r="229" ht="14.25" customHeight="1">
      <c r="A229" s="30"/>
      <c r="B229" s="96"/>
      <c r="C229" s="96"/>
      <c r="D229" s="96"/>
      <c r="E229" s="96"/>
      <c r="F229" s="96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G2"/>
    <mergeCell ref="B3:G3"/>
    <mergeCell ref="B7:B11"/>
    <mergeCell ref="B13:B17"/>
    <mergeCell ref="B19:B23"/>
    <mergeCell ref="B25:B29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3.0"/>
    <col customWidth="1" min="3" max="3" width="9.14"/>
    <col customWidth="1" min="4" max="4" width="64.86"/>
    <col customWidth="1" min="5" max="5" width="20.14"/>
    <col customWidth="1" min="6" max="6" width="10.86"/>
    <col customWidth="1" min="7" max="7" width="19.14"/>
    <col customWidth="1" min="8" max="8" width="15.43"/>
    <col customWidth="1" min="9" max="17" width="14.14"/>
    <col customWidth="1" min="18" max="19" width="12.86"/>
    <col customWidth="1" min="20" max="20" width="14.0"/>
    <col customWidth="1" min="21" max="21" width="9.71"/>
    <col customWidth="1" min="22" max="26" width="8.71"/>
  </cols>
  <sheetData>
    <row r="1" ht="3.75" customHeight="1">
      <c r="A1" s="34"/>
      <c r="B1" s="34"/>
      <c r="C1" s="126"/>
      <c r="D1" s="140"/>
      <c r="E1" s="140"/>
      <c r="F1" s="140"/>
      <c r="G1" s="141"/>
      <c r="H1" s="140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34"/>
      <c r="V1" s="34"/>
      <c r="W1" s="34"/>
      <c r="X1" s="34"/>
      <c r="Y1" s="34"/>
      <c r="Z1" s="34"/>
    </row>
    <row r="2" ht="19.5" customHeight="1">
      <c r="A2" s="34"/>
      <c r="B2" s="142"/>
      <c r="C2" s="17"/>
      <c r="D2" s="17"/>
      <c r="E2" s="17"/>
      <c r="F2" s="17"/>
      <c r="G2" s="17"/>
      <c r="H2" s="17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34"/>
      <c r="V2" s="34"/>
      <c r="W2" s="34"/>
      <c r="X2" s="34"/>
      <c r="Y2" s="34"/>
      <c r="Z2" s="34"/>
    </row>
    <row r="3" ht="18.75" customHeight="1">
      <c r="A3" s="34"/>
      <c r="B3" s="128"/>
      <c r="C3" s="17"/>
      <c r="D3" s="17"/>
      <c r="E3" s="17"/>
      <c r="F3" s="17"/>
      <c r="G3" s="17"/>
      <c r="H3" s="17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34"/>
      <c r="V3" s="34"/>
      <c r="W3" s="34"/>
      <c r="X3" s="34"/>
      <c r="Y3" s="34"/>
      <c r="Z3" s="34"/>
    </row>
    <row r="4" ht="75.75" customHeight="1">
      <c r="A4" s="30"/>
      <c r="B4" s="143"/>
      <c r="C4" s="96"/>
      <c r="D4" s="60"/>
      <c r="E4" s="60"/>
      <c r="F4" s="60"/>
      <c r="G4" s="144"/>
      <c r="H4" s="60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30"/>
      <c r="V4" s="30"/>
      <c r="W4" s="30"/>
      <c r="X4" s="30"/>
      <c r="Y4" s="30"/>
      <c r="Z4" s="30"/>
    </row>
    <row r="5" ht="22.5" customHeight="1">
      <c r="A5" s="30"/>
      <c r="B5" s="145" t="s">
        <v>122</v>
      </c>
      <c r="C5" s="145" t="s">
        <v>123</v>
      </c>
      <c r="D5" s="145" t="s">
        <v>124</v>
      </c>
      <c r="E5" s="145" t="s">
        <v>126</v>
      </c>
      <c r="F5" s="145">
        <v>2022.0</v>
      </c>
      <c r="G5" s="146" t="s">
        <v>136</v>
      </c>
      <c r="H5" s="145" t="s">
        <v>137</v>
      </c>
      <c r="I5" s="147">
        <v>44562.0</v>
      </c>
      <c r="J5" s="147">
        <v>44593.0</v>
      </c>
      <c r="K5" s="147">
        <v>44621.0</v>
      </c>
      <c r="L5" s="147">
        <v>44652.0</v>
      </c>
      <c r="M5" s="147">
        <v>44682.0</v>
      </c>
      <c r="N5" s="147">
        <v>44713.0</v>
      </c>
      <c r="O5" s="147">
        <v>44743.0</v>
      </c>
      <c r="P5" s="147">
        <v>44774.0</v>
      </c>
      <c r="Q5" s="147">
        <v>44805.0</v>
      </c>
      <c r="R5" s="147">
        <v>44835.0</v>
      </c>
      <c r="S5" s="147">
        <v>44866.0</v>
      </c>
      <c r="T5" s="147">
        <v>44896.0</v>
      </c>
      <c r="U5" s="30"/>
      <c r="V5" s="30"/>
      <c r="W5" s="30"/>
      <c r="X5" s="30"/>
      <c r="Y5" s="30"/>
      <c r="Z5" s="30"/>
    </row>
    <row r="6" ht="3.0" customHeight="1">
      <c r="A6" s="30"/>
      <c r="B6" s="30"/>
      <c r="C6" s="30"/>
      <c r="D6" s="60"/>
      <c r="E6" s="60"/>
      <c r="F6" s="60"/>
      <c r="G6" s="144"/>
      <c r="H6" s="60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30"/>
      <c r="V6" s="30"/>
      <c r="W6" s="30"/>
      <c r="X6" s="30"/>
      <c r="Y6" s="30"/>
      <c r="Z6" s="30"/>
    </row>
    <row r="7" ht="13.5" customHeight="1">
      <c r="A7" s="30"/>
      <c r="B7" s="132" t="s">
        <v>132</v>
      </c>
      <c r="C7" s="148">
        <v>1.0</v>
      </c>
      <c r="D7" s="148" t="str">
        <f>IF('Objetivos Estratégicos '!E7="","",'Objetivos Estratégicos '!E7)</f>
        <v/>
      </c>
      <c r="E7" s="148" t="str">
        <f>IF('Objetivos Estratégicos '!F7="","",'Objetivos Estratégicos '!F7)</f>
        <v/>
      </c>
      <c r="F7" s="149" t="s">
        <v>138</v>
      </c>
      <c r="G7" s="150" t="s">
        <v>139</v>
      </c>
      <c r="H7" s="151">
        <f t="shared" ref="H7:H16" si="1">IF(G7="SOMA",SUM(I7:T7),IF(G7="MÉDIA",AVERAGE(I7:T7),IF(G7="ÚLTIMO RESULTADO",MAX(I7:T7),"")))</f>
        <v>15526452</v>
      </c>
      <c r="I7" s="152">
        <v>1293871.0</v>
      </c>
      <c r="J7" s="152">
        <v>1293871.0</v>
      </c>
      <c r="K7" s="152">
        <v>1293871.0</v>
      </c>
      <c r="L7" s="152">
        <v>1293871.0</v>
      </c>
      <c r="M7" s="152">
        <v>1293871.0</v>
      </c>
      <c r="N7" s="152">
        <v>1293871.0</v>
      </c>
      <c r="O7" s="152">
        <v>1293871.0</v>
      </c>
      <c r="P7" s="152">
        <v>1293871.0</v>
      </c>
      <c r="Q7" s="152">
        <v>1293871.0</v>
      </c>
      <c r="R7" s="152">
        <v>1293871.0</v>
      </c>
      <c r="S7" s="152">
        <v>1293871.0</v>
      </c>
      <c r="T7" s="152">
        <v>1293871.0</v>
      </c>
      <c r="U7" s="30"/>
      <c r="V7" s="30"/>
      <c r="W7" s="30"/>
      <c r="X7" s="30"/>
      <c r="Y7" s="30"/>
      <c r="Z7" s="30"/>
    </row>
    <row r="8" ht="14.25" customHeight="1">
      <c r="A8" s="30"/>
      <c r="B8" s="135"/>
      <c r="C8" s="136"/>
      <c r="D8" s="136"/>
      <c r="E8" s="136"/>
      <c r="F8" s="149" t="s">
        <v>140</v>
      </c>
      <c r="G8" s="150" t="s">
        <v>139</v>
      </c>
      <c r="H8" s="151">
        <f t="shared" si="1"/>
        <v>387756</v>
      </c>
      <c r="I8" s="152">
        <v>32313.0</v>
      </c>
      <c r="J8" s="152">
        <v>32313.0</v>
      </c>
      <c r="K8" s="152">
        <v>32313.0</v>
      </c>
      <c r="L8" s="152">
        <v>32313.0</v>
      </c>
      <c r="M8" s="152">
        <v>32313.0</v>
      </c>
      <c r="N8" s="152">
        <v>32313.0</v>
      </c>
      <c r="O8" s="152">
        <v>32313.0</v>
      </c>
      <c r="P8" s="152">
        <v>32313.0</v>
      </c>
      <c r="Q8" s="152">
        <v>32313.0</v>
      </c>
      <c r="R8" s="152">
        <v>32313.0</v>
      </c>
      <c r="S8" s="152">
        <v>32313.0</v>
      </c>
      <c r="T8" s="152">
        <v>32313.0</v>
      </c>
      <c r="U8" s="30"/>
      <c r="V8" s="30"/>
      <c r="W8" s="30"/>
      <c r="X8" s="30"/>
      <c r="Y8" s="30"/>
      <c r="Z8" s="30"/>
    </row>
    <row r="9" ht="14.25" customHeight="1">
      <c r="A9" s="30"/>
      <c r="B9" s="135"/>
      <c r="C9" s="148">
        <v>2.0</v>
      </c>
      <c r="D9" s="148" t="str">
        <f>IF('Objetivos Estratégicos '!E8="","",'Objetivos Estratégicos '!E8)</f>
        <v/>
      </c>
      <c r="E9" s="148" t="str">
        <f>IF('Objetivos Estratégicos '!F8="","",'Objetivos Estratégicos '!F8)</f>
        <v/>
      </c>
      <c r="F9" s="149" t="s">
        <v>138</v>
      </c>
      <c r="G9" s="150" t="s">
        <v>139</v>
      </c>
      <c r="H9" s="153">
        <f t="shared" si="1"/>
        <v>0</v>
      </c>
      <c r="I9" s="133"/>
      <c r="J9" s="133"/>
      <c r="K9" s="133"/>
      <c r="L9" s="154"/>
      <c r="M9" s="154"/>
      <c r="N9" s="154"/>
      <c r="O9" s="154"/>
      <c r="P9" s="154"/>
      <c r="Q9" s="154"/>
      <c r="R9" s="154"/>
      <c r="S9" s="154"/>
      <c r="T9" s="154"/>
      <c r="U9" s="30"/>
      <c r="V9" s="30"/>
      <c r="W9" s="30"/>
      <c r="X9" s="30"/>
      <c r="Y9" s="30"/>
      <c r="Z9" s="30"/>
    </row>
    <row r="10" ht="14.25" customHeight="1">
      <c r="A10" s="30"/>
      <c r="B10" s="135"/>
      <c r="C10" s="136"/>
      <c r="D10" s="136"/>
      <c r="E10" s="136"/>
      <c r="F10" s="149" t="s">
        <v>140</v>
      </c>
      <c r="G10" s="150" t="s">
        <v>139</v>
      </c>
      <c r="H10" s="153">
        <f t="shared" si="1"/>
        <v>0</v>
      </c>
      <c r="I10" s="133"/>
      <c r="J10" s="133"/>
      <c r="K10" s="133"/>
      <c r="L10" s="154"/>
      <c r="M10" s="154"/>
      <c r="N10" s="154"/>
      <c r="O10" s="154"/>
      <c r="P10" s="154"/>
      <c r="Q10" s="154"/>
      <c r="R10" s="154"/>
      <c r="S10" s="154"/>
      <c r="T10" s="154"/>
      <c r="U10" s="30"/>
      <c r="V10" s="30"/>
      <c r="W10" s="30"/>
      <c r="X10" s="30"/>
      <c r="Y10" s="30"/>
      <c r="Z10" s="30"/>
    </row>
    <row r="11" ht="14.25" customHeight="1">
      <c r="A11" s="30"/>
      <c r="B11" s="135"/>
      <c r="C11" s="148">
        <v>3.0</v>
      </c>
      <c r="D11" s="148" t="str">
        <f>IF('Objetivos Estratégicos '!E9="","",'Objetivos Estratégicos '!E9)</f>
        <v/>
      </c>
      <c r="E11" s="148" t="str">
        <f>IF('Objetivos Estratégicos '!F9="","",'Objetivos Estratégicos '!F9)</f>
        <v/>
      </c>
      <c r="F11" s="149" t="s">
        <v>138</v>
      </c>
      <c r="G11" s="150" t="s">
        <v>139</v>
      </c>
      <c r="H11" s="153">
        <f t="shared" si="1"/>
        <v>0</v>
      </c>
      <c r="I11" s="133"/>
      <c r="J11" s="133"/>
      <c r="K11" s="133"/>
      <c r="L11" s="154"/>
      <c r="M11" s="154"/>
      <c r="N11" s="154"/>
      <c r="O11" s="154"/>
      <c r="P11" s="154"/>
      <c r="Q11" s="154"/>
      <c r="R11" s="154"/>
      <c r="S11" s="154"/>
      <c r="T11" s="154"/>
      <c r="U11" s="30"/>
      <c r="V11" s="30"/>
      <c r="W11" s="30"/>
      <c r="X11" s="30"/>
      <c r="Y11" s="30"/>
      <c r="Z11" s="30"/>
    </row>
    <row r="12" ht="14.25" customHeight="1">
      <c r="A12" s="30"/>
      <c r="B12" s="135"/>
      <c r="C12" s="136"/>
      <c r="D12" s="136"/>
      <c r="E12" s="136"/>
      <c r="F12" s="149" t="s">
        <v>140</v>
      </c>
      <c r="G12" s="150" t="s">
        <v>139</v>
      </c>
      <c r="H12" s="153">
        <f t="shared" si="1"/>
        <v>0</v>
      </c>
      <c r="I12" s="133"/>
      <c r="J12" s="133"/>
      <c r="K12" s="133"/>
      <c r="L12" s="154"/>
      <c r="M12" s="154"/>
      <c r="N12" s="154"/>
      <c r="O12" s="154"/>
      <c r="P12" s="154"/>
      <c r="Q12" s="154"/>
      <c r="R12" s="154"/>
      <c r="S12" s="154"/>
      <c r="T12" s="154"/>
      <c r="U12" s="30"/>
      <c r="V12" s="30"/>
      <c r="W12" s="30"/>
      <c r="X12" s="30"/>
      <c r="Y12" s="30"/>
      <c r="Z12" s="30"/>
    </row>
    <row r="13" ht="14.25" customHeight="1">
      <c r="A13" s="30"/>
      <c r="B13" s="135"/>
      <c r="C13" s="148">
        <v>4.0</v>
      </c>
      <c r="D13" s="148" t="str">
        <f>IF('Objetivos Estratégicos '!E10="","",'Objetivos Estratégicos '!E10)</f>
        <v/>
      </c>
      <c r="E13" s="148" t="str">
        <f>IF('Objetivos Estratégicos '!F10="","",'Objetivos Estratégicos '!F10)</f>
        <v/>
      </c>
      <c r="F13" s="149" t="s">
        <v>138</v>
      </c>
      <c r="G13" s="150" t="s">
        <v>139</v>
      </c>
      <c r="H13" s="153">
        <f t="shared" si="1"/>
        <v>0</v>
      </c>
      <c r="I13" s="133"/>
      <c r="J13" s="133"/>
      <c r="K13" s="133"/>
      <c r="L13" s="154"/>
      <c r="M13" s="154"/>
      <c r="N13" s="154"/>
      <c r="O13" s="154"/>
      <c r="P13" s="154"/>
      <c r="Q13" s="154"/>
      <c r="R13" s="154"/>
      <c r="S13" s="154"/>
      <c r="T13" s="154"/>
      <c r="U13" s="30"/>
      <c r="V13" s="30"/>
      <c r="W13" s="30"/>
      <c r="X13" s="30"/>
      <c r="Y13" s="30"/>
      <c r="Z13" s="30"/>
    </row>
    <row r="14" ht="14.25" customHeight="1">
      <c r="A14" s="30"/>
      <c r="B14" s="135"/>
      <c r="C14" s="136"/>
      <c r="D14" s="136"/>
      <c r="E14" s="136"/>
      <c r="F14" s="149" t="s">
        <v>140</v>
      </c>
      <c r="G14" s="150" t="s">
        <v>139</v>
      </c>
      <c r="H14" s="153">
        <f t="shared" si="1"/>
        <v>0</v>
      </c>
      <c r="I14" s="133"/>
      <c r="J14" s="133"/>
      <c r="K14" s="133"/>
      <c r="L14" s="154"/>
      <c r="M14" s="154"/>
      <c r="N14" s="154"/>
      <c r="O14" s="154"/>
      <c r="P14" s="154"/>
      <c r="Q14" s="154"/>
      <c r="R14" s="154"/>
      <c r="S14" s="154"/>
      <c r="T14" s="154"/>
      <c r="U14" s="30"/>
      <c r="V14" s="30"/>
      <c r="W14" s="30"/>
      <c r="X14" s="30"/>
      <c r="Y14" s="30"/>
      <c r="Z14" s="30"/>
    </row>
    <row r="15" ht="14.25" customHeight="1">
      <c r="A15" s="30"/>
      <c r="B15" s="135"/>
      <c r="C15" s="148">
        <v>5.0</v>
      </c>
      <c r="D15" s="148" t="str">
        <f>IF('Objetivos Estratégicos '!E11="","",'Objetivos Estratégicos '!E11)</f>
        <v/>
      </c>
      <c r="E15" s="148" t="str">
        <f>IF('Objetivos Estratégicos '!F11="","",'Objetivos Estratégicos '!F11)</f>
        <v/>
      </c>
      <c r="F15" s="149" t="s">
        <v>138</v>
      </c>
      <c r="G15" s="150" t="s">
        <v>139</v>
      </c>
      <c r="H15" s="153">
        <f t="shared" si="1"/>
        <v>0</v>
      </c>
      <c r="I15" s="133"/>
      <c r="J15" s="133"/>
      <c r="K15" s="133"/>
      <c r="L15" s="154"/>
      <c r="M15" s="154"/>
      <c r="N15" s="154"/>
      <c r="O15" s="154"/>
      <c r="P15" s="154"/>
      <c r="Q15" s="154"/>
      <c r="R15" s="154"/>
      <c r="S15" s="154"/>
      <c r="T15" s="154"/>
      <c r="U15" s="30"/>
      <c r="V15" s="30"/>
      <c r="W15" s="30"/>
      <c r="X15" s="30"/>
      <c r="Y15" s="30"/>
      <c r="Z15" s="30"/>
    </row>
    <row r="16" ht="14.25" customHeight="1">
      <c r="A16" s="30"/>
      <c r="B16" s="136"/>
      <c r="C16" s="136"/>
      <c r="D16" s="136"/>
      <c r="E16" s="136"/>
      <c r="F16" s="149" t="s">
        <v>140</v>
      </c>
      <c r="G16" s="150" t="s">
        <v>139</v>
      </c>
      <c r="H16" s="153">
        <f t="shared" si="1"/>
        <v>0</v>
      </c>
      <c r="I16" s="133"/>
      <c r="J16" s="133"/>
      <c r="K16" s="133"/>
      <c r="L16" s="154"/>
      <c r="M16" s="154"/>
      <c r="N16" s="154"/>
      <c r="O16" s="154"/>
      <c r="P16" s="154"/>
      <c r="Q16" s="154"/>
      <c r="R16" s="154"/>
      <c r="S16" s="154"/>
      <c r="T16" s="154"/>
      <c r="U16" s="30"/>
      <c r="V16" s="30"/>
      <c r="W16" s="30"/>
      <c r="X16" s="30"/>
      <c r="Y16" s="30"/>
      <c r="Z16" s="30"/>
    </row>
    <row r="17" ht="5.25" customHeight="1">
      <c r="A17" s="30"/>
      <c r="B17" s="30"/>
      <c r="C17" s="96"/>
      <c r="D17" s="155"/>
      <c r="E17" s="156"/>
      <c r="F17" s="60"/>
      <c r="G17" s="157"/>
      <c r="H17" s="140"/>
      <c r="I17" s="96"/>
      <c r="J17" s="96"/>
      <c r="K17" s="96"/>
      <c r="L17" s="158"/>
      <c r="M17" s="158"/>
      <c r="N17" s="158"/>
      <c r="O17" s="158"/>
      <c r="P17" s="158"/>
      <c r="Q17" s="158"/>
      <c r="R17" s="158"/>
      <c r="S17" s="158"/>
      <c r="T17" s="158"/>
      <c r="U17" s="30"/>
      <c r="V17" s="30"/>
      <c r="W17" s="30"/>
      <c r="X17" s="30"/>
      <c r="Y17" s="30"/>
      <c r="Z17" s="30"/>
    </row>
    <row r="18" ht="14.25" customHeight="1">
      <c r="A18" s="30"/>
      <c r="B18" s="132" t="s">
        <v>133</v>
      </c>
      <c r="C18" s="148">
        <v>1.0</v>
      </c>
      <c r="D18" s="148" t="str">
        <f>IF('Objetivos Estratégicos '!E13="","",'Objetivos Estratégicos '!E13)</f>
        <v/>
      </c>
      <c r="E18" s="148" t="str">
        <f>IF('Objetivos Estratégicos '!F13="","",'Objetivos Estratégicos '!F13)</f>
        <v/>
      </c>
      <c r="F18" s="149" t="s">
        <v>138</v>
      </c>
      <c r="G18" s="150" t="s">
        <v>139</v>
      </c>
      <c r="H18" s="153">
        <f t="shared" ref="H18:H27" si="2">IF(G18="SOMA",SUM(I18:T18),IF(G18="MÉDIA",AVERAGE(I18:T18),IF(G18="ÚLTIMO RESULTADO",MAX(I18:T18),"")))</f>
        <v>0</v>
      </c>
      <c r="I18" s="133"/>
      <c r="J18" s="133"/>
      <c r="K18" s="133"/>
      <c r="L18" s="154"/>
      <c r="M18" s="154"/>
      <c r="N18" s="154"/>
      <c r="O18" s="154"/>
      <c r="P18" s="154"/>
      <c r="Q18" s="154"/>
      <c r="R18" s="154"/>
      <c r="S18" s="154"/>
      <c r="T18" s="154"/>
      <c r="U18" s="30"/>
      <c r="V18" s="30"/>
      <c r="W18" s="30"/>
      <c r="X18" s="30"/>
      <c r="Y18" s="30"/>
      <c r="Z18" s="30"/>
    </row>
    <row r="19" ht="14.25" customHeight="1">
      <c r="A19" s="30"/>
      <c r="B19" s="135"/>
      <c r="C19" s="136"/>
      <c r="D19" s="136"/>
      <c r="E19" s="136"/>
      <c r="F19" s="149" t="s">
        <v>140</v>
      </c>
      <c r="G19" s="150" t="s">
        <v>139</v>
      </c>
      <c r="H19" s="153">
        <f t="shared" si="2"/>
        <v>0</v>
      </c>
      <c r="I19" s="133"/>
      <c r="J19" s="133"/>
      <c r="K19" s="133"/>
      <c r="L19" s="154"/>
      <c r="M19" s="154"/>
      <c r="N19" s="154"/>
      <c r="O19" s="154"/>
      <c r="P19" s="154"/>
      <c r="Q19" s="154"/>
      <c r="R19" s="154"/>
      <c r="S19" s="154"/>
      <c r="T19" s="154"/>
      <c r="U19" s="30"/>
      <c r="V19" s="30"/>
      <c r="W19" s="30"/>
      <c r="X19" s="30"/>
      <c r="Y19" s="30"/>
      <c r="Z19" s="30"/>
    </row>
    <row r="20" ht="14.25" customHeight="1">
      <c r="A20" s="30"/>
      <c r="B20" s="135"/>
      <c r="C20" s="148">
        <v>2.0</v>
      </c>
      <c r="D20" s="148" t="str">
        <f>IF('Objetivos Estratégicos '!E14="","",'Objetivos Estratégicos '!E14)</f>
        <v/>
      </c>
      <c r="E20" s="148" t="str">
        <f>IF('Objetivos Estratégicos '!F14="","",'Objetivos Estratégicos '!F14)</f>
        <v/>
      </c>
      <c r="F20" s="149" t="s">
        <v>138</v>
      </c>
      <c r="G20" s="150" t="s">
        <v>139</v>
      </c>
      <c r="H20" s="153">
        <f t="shared" si="2"/>
        <v>0</v>
      </c>
      <c r="I20" s="133"/>
      <c r="J20" s="133"/>
      <c r="K20" s="133"/>
      <c r="L20" s="154"/>
      <c r="M20" s="154"/>
      <c r="N20" s="154"/>
      <c r="O20" s="154"/>
      <c r="P20" s="154"/>
      <c r="Q20" s="154"/>
      <c r="R20" s="154"/>
      <c r="S20" s="154"/>
      <c r="T20" s="154"/>
      <c r="U20" s="30"/>
      <c r="V20" s="30"/>
      <c r="W20" s="30"/>
      <c r="X20" s="30"/>
      <c r="Y20" s="30"/>
      <c r="Z20" s="30"/>
    </row>
    <row r="21" ht="14.25" customHeight="1">
      <c r="A21" s="30"/>
      <c r="B21" s="135"/>
      <c r="C21" s="136"/>
      <c r="D21" s="136"/>
      <c r="E21" s="136"/>
      <c r="F21" s="149" t="s">
        <v>140</v>
      </c>
      <c r="G21" s="150" t="s">
        <v>139</v>
      </c>
      <c r="H21" s="153">
        <f t="shared" si="2"/>
        <v>0</v>
      </c>
      <c r="I21" s="133"/>
      <c r="J21" s="133"/>
      <c r="K21" s="133"/>
      <c r="L21" s="154"/>
      <c r="M21" s="154"/>
      <c r="N21" s="154"/>
      <c r="O21" s="154"/>
      <c r="P21" s="154"/>
      <c r="Q21" s="154"/>
      <c r="R21" s="154"/>
      <c r="S21" s="154"/>
      <c r="T21" s="154"/>
      <c r="U21" s="30"/>
      <c r="V21" s="30"/>
      <c r="W21" s="30"/>
      <c r="X21" s="30"/>
      <c r="Y21" s="30"/>
      <c r="Z21" s="30"/>
    </row>
    <row r="22" ht="14.25" customHeight="1">
      <c r="A22" s="30"/>
      <c r="B22" s="135"/>
      <c r="C22" s="148">
        <v>3.0</v>
      </c>
      <c r="D22" s="148" t="str">
        <f>IF('Objetivos Estratégicos '!E15="","",'Objetivos Estratégicos '!E15)</f>
        <v/>
      </c>
      <c r="E22" s="148" t="str">
        <f>IF('Objetivos Estratégicos '!F15="","",'Objetivos Estratégicos '!F15)</f>
        <v/>
      </c>
      <c r="F22" s="149" t="s">
        <v>138</v>
      </c>
      <c r="G22" s="150" t="s">
        <v>139</v>
      </c>
      <c r="H22" s="153">
        <f t="shared" si="2"/>
        <v>0</v>
      </c>
      <c r="I22" s="133"/>
      <c r="J22" s="133"/>
      <c r="K22" s="133"/>
      <c r="L22" s="154"/>
      <c r="M22" s="154"/>
      <c r="N22" s="154"/>
      <c r="O22" s="154"/>
      <c r="P22" s="154"/>
      <c r="Q22" s="154"/>
      <c r="R22" s="154"/>
      <c r="S22" s="154"/>
      <c r="T22" s="154"/>
      <c r="U22" s="30"/>
      <c r="V22" s="30"/>
      <c r="W22" s="30"/>
      <c r="X22" s="30"/>
      <c r="Y22" s="30"/>
      <c r="Z22" s="30"/>
    </row>
    <row r="23" ht="14.25" customHeight="1">
      <c r="A23" s="30"/>
      <c r="B23" s="135"/>
      <c r="C23" s="136"/>
      <c r="D23" s="136"/>
      <c r="E23" s="136"/>
      <c r="F23" s="149" t="s">
        <v>140</v>
      </c>
      <c r="G23" s="150" t="s">
        <v>139</v>
      </c>
      <c r="H23" s="153">
        <f t="shared" si="2"/>
        <v>0</v>
      </c>
      <c r="I23" s="133"/>
      <c r="J23" s="133"/>
      <c r="K23" s="133"/>
      <c r="L23" s="154"/>
      <c r="M23" s="154"/>
      <c r="N23" s="154"/>
      <c r="O23" s="159"/>
      <c r="P23" s="154"/>
      <c r="Q23" s="154"/>
      <c r="R23" s="154"/>
      <c r="S23" s="154"/>
      <c r="T23" s="154"/>
      <c r="U23" s="30"/>
      <c r="V23" s="30"/>
      <c r="W23" s="30"/>
      <c r="X23" s="30"/>
      <c r="Y23" s="30"/>
      <c r="Z23" s="30"/>
    </row>
    <row r="24" ht="14.25" customHeight="1">
      <c r="A24" s="30"/>
      <c r="B24" s="135"/>
      <c r="C24" s="148">
        <v>4.0</v>
      </c>
      <c r="D24" s="148" t="str">
        <f>IF('Objetivos Estratégicos '!E16="","",'Objetivos Estratégicos '!E16)</f>
        <v/>
      </c>
      <c r="E24" s="148" t="str">
        <f>IF('Objetivos Estratégicos '!F16="","",'Objetivos Estratégicos '!F16)</f>
        <v/>
      </c>
      <c r="F24" s="149" t="s">
        <v>138</v>
      </c>
      <c r="G24" s="150" t="s">
        <v>139</v>
      </c>
      <c r="H24" s="153">
        <f t="shared" si="2"/>
        <v>0</v>
      </c>
      <c r="I24" s="133"/>
      <c r="J24" s="133"/>
      <c r="K24" s="133"/>
      <c r="L24" s="154"/>
      <c r="M24" s="154"/>
      <c r="N24" s="154"/>
      <c r="O24" s="154"/>
      <c r="P24" s="154"/>
      <c r="Q24" s="154"/>
      <c r="R24" s="154"/>
      <c r="S24" s="154"/>
      <c r="T24" s="154"/>
      <c r="U24" s="30"/>
      <c r="V24" s="30"/>
      <c r="W24" s="30"/>
      <c r="X24" s="30"/>
      <c r="Y24" s="30"/>
      <c r="Z24" s="30"/>
    </row>
    <row r="25" ht="14.25" customHeight="1">
      <c r="A25" s="30"/>
      <c r="B25" s="135"/>
      <c r="C25" s="136"/>
      <c r="D25" s="136"/>
      <c r="E25" s="136"/>
      <c r="F25" s="149" t="s">
        <v>140</v>
      </c>
      <c r="G25" s="150" t="s">
        <v>139</v>
      </c>
      <c r="H25" s="153">
        <f t="shared" si="2"/>
        <v>0</v>
      </c>
      <c r="I25" s="133"/>
      <c r="J25" s="133"/>
      <c r="K25" s="133"/>
      <c r="L25" s="154"/>
      <c r="M25" s="154"/>
      <c r="N25" s="154"/>
      <c r="O25" s="159"/>
      <c r="P25" s="154"/>
      <c r="Q25" s="154"/>
      <c r="R25" s="154"/>
      <c r="S25" s="154"/>
      <c r="T25" s="154"/>
      <c r="U25" s="30"/>
      <c r="V25" s="30"/>
      <c r="W25" s="30"/>
      <c r="X25" s="30"/>
      <c r="Y25" s="30"/>
      <c r="Z25" s="30"/>
    </row>
    <row r="26" ht="14.25" customHeight="1">
      <c r="A26" s="30"/>
      <c r="B26" s="135"/>
      <c r="C26" s="148">
        <v>5.0</v>
      </c>
      <c r="D26" s="148" t="str">
        <f>IF('Objetivos Estratégicos '!E17="","",'Objetivos Estratégicos '!E17)</f>
        <v/>
      </c>
      <c r="E26" s="148" t="str">
        <f>IF('Objetivos Estratégicos '!F17="","",'Objetivos Estratégicos '!F17)</f>
        <v/>
      </c>
      <c r="F26" s="149" t="s">
        <v>138</v>
      </c>
      <c r="G26" s="150" t="s">
        <v>139</v>
      </c>
      <c r="H26" s="153">
        <f t="shared" si="2"/>
        <v>0</v>
      </c>
      <c r="I26" s="133"/>
      <c r="J26" s="133"/>
      <c r="K26" s="133"/>
      <c r="L26" s="154"/>
      <c r="M26" s="154"/>
      <c r="N26" s="154"/>
      <c r="O26" s="154"/>
      <c r="P26" s="154"/>
      <c r="Q26" s="154"/>
      <c r="R26" s="154"/>
      <c r="S26" s="154"/>
      <c r="T26" s="154"/>
      <c r="U26" s="30"/>
      <c r="V26" s="30"/>
      <c r="W26" s="30"/>
      <c r="X26" s="30"/>
      <c r="Y26" s="30"/>
      <c r="Z26" s="30"/>
    </row>
    <row r="27" ht="14.25" customHeight="1">
      <c r="A27" s="30"/>
      <c r="B27" s="136"/>
      <c r="C27" s="136"/>
      <c r="D27" s="136"/>
      <c r="E27" s="136"/>
      <c r="F27" s="149" t="s">
        <v>140</v>
      </c>
      <c r="G27" s="150" t="s">
        <v>139</v>
      </c>
      <c r="H27" s="160">
        <f t="shared" si="2"/>
        <v>0</v>
      </c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30"/>
      <c r="V27" s="30"/>
      <c r="W27" s="30"/>
      <c r="X27" s="30"/>
      <c r="Y27" s="30"/>
      <c r="Z27" s="30"/>
    </row>
    <row r="28" ht="3.0" customHeight="1">
      <c r="A28" s="30"/>
      <c r="B28" s="30"/>
      <c r="C28" s="30"/>
      <c r="D28" s="60"/>
      <c r="E28" s="60"/>
      <c r="F28" s="60"/>
      <c r="G28" s="157"/>
      <c r="H28" s="140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30"/>
      <c r="V28" s="30"/>
      <c r="W28" s="30"/>
      <c r="X28" s="30"/>
      <c r="Y28" s="30"/>
      <c r="Z28" s="30"/>
    </row>
    <row r="29" ht="14.25" customHeight="1">
      <c r="A29" s="30"/>
      <c r="B29" s="139" t="s">
        <v>134</v>
      </c>
      <c r="C29" s="148">
        <v>1.0</v>
      </c>
      <c r="D29" s="148" t="str">
        <f>IF('Objetivos Estratégicos '!E19="","",'Objetivos Estratégicos '!E19)</f>
        <v/>
      </c>
      <c r="E29" s="148" t="str">
        <f>IF('Objetivos Estratégicos '!F19="","",'Objetivos Estratégicos '!F19)</f>
        <v/>
      </c>
      <c r="F29" s="149" t="s">
        <v>138</v>
      </c>
      <c r="G29" s="150" t="s">
        <v>139</v>
      </c>
      <c r="H29" s="160">
        <f t="shared" ref="H29:H38" si="3">IF(G29="SOMA",SUM(I29:T29),IF(G29="MÉDIA",AVERAGE(I29:T29),IF(G29="ÚLTIMO RESULTADO",MAX(I29:T29),"")))</f>
        <v>0</v>
      </c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30"/>
      <c r="V29" s="30"/>
      <c r="W29" s="30"/>
      <c r="X29" s="30"/>
      <c r="Y29" s="30"/>
      <c r="Z29" s="30"/>
    </row>
    <row r="30" ht="14.25" customHeight="1">
      <c r="A30" s="30"/>
      <c r="B30" s="135"/>
      <c r="C30" s="136"/>
      <c r="D30" s="136"/>
      <c r="E30" s="136"/>
      <c r="F30" s="149" t="s">
        <v>140</v>
      </c>
      <c r="G30" s="150" t="s">
        <v>139</v>
      </c>
      <c r="H30" s="160">
        <f t="shared" si="3"/>
        <v>0</v>
      </c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30"/>
      <c r="V30" s="30"/>
      <c r="W30" s="30"/>
      <c r="X30" s="30"/>
      <c r="Y30" s="30"/>
      <c r="Z30" s="30"/>
    </row>
    <row r="31" ht="14.25" customHeight="1">
      <c r="A31" s="30"/>
      <c r="B31" s="135"/>
      <c r="C31" s="148">
        <v>2.0</v>
      </c>
      <c r="D31" s="148" t="str">
        <f>IF('Objetivos Estratégicos '!E20="","",'Objetivos Estratégicos '!E20)</f>
        <v/>
      </c>
      <c r="E31" s="148" t="str">
        <f>IF('Objetivos Estratégicos '!F20="","",'Objetivos Estratégicos '!F20)</f>
        <v/>
      </c>
      <c r="F31" s="149" t="s">
        <v>138</v>
      </c>
      <c r="G31" s="150" t="s">
        <v>139</v>
      </c>
      <c r="H31" s="160">
        <f t="shared" si="3"/>
        <v>0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30"/>
      <c r="V31" s="30"/>
      <c r="W31" s="30"/>
      <c r="X31" s="30"/>
      <c r="Y31" s="30"/>
      <c r="Z31" s="30"/>
    </row>
    <row r="32" ht="14.25" customHeight="1">
      <c r="A32" s="30"/>
      <c r="B32" s="135"/>
      <c r="C32" s="136"/>
      <c r="D32" s="136"/>
      <c r="E32" s="136"/>
      <c r="F32" s="149" t="s">
        <v>140</v>
      </c>
      <c r="G32" s="150" t="s">
        <v>139</v>
      </c>
      <c r="H32" s="160">
        <f t="shared" si="3"/>
        <v>0</v>
      </c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30"/>
      <c r="V32" s="30"/>
      <c r="W32" s="30"/>
      <c r="X32" s="30"/>
      <c r="Y32" s="30"/>
      <c r="Z32" s="30"/>
    </row>
    <row r="33" ht="14.25" customHeight="1">
      <c r="A33" s="30"/>
      <c r="B33" s="135"/>
      <c r="C33" s="148">
        <v>3.0</v>
      </c>
      <c r="D33" s="148" t="str">
        <f>IF('Objetivos Estratégicos '!E21="","",'Objetivos Estratégicos '!E21)</f>
        <v/>
      </c>
      <c r="E33" s="148" t="str">
        <f>IF('Objetivos Estratégicos '!F21="","",'Objetivos Estratégicos '!F21)</f>
        <v/>
      </c>
      <c r="F33" s="149" t="s">
        <v>138</v>
      </c>
      <c r="G33" s="150" t="s">
        <v>139</v>
      </c>
      <c r="H33" s="160">
        <f t="shared" si="3"/>
        <v>0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30"/>
      <c r="V33" s="30"/>
      <c r="W33" s="30"/>
      <c r="X33" s="30"/>
      <c r="Y33" s="30"/>
      <c r="Z33" s="30"/>
    </row>
    <row r="34" ht="14.25" customHeight="1">
      <c r="A34" s="30"/>
      <c r="B34" s="135"/>
      <c r="C34" s="136"/>
      <c r="D34" s="136"/>
      <c r="E34" s="136"/>
      <c r="F34" s="149" t="s">
        <v>140</v>
      </c>
      <c r="G34" s="150" t="s">
        <v>139</v>
      </c>
      <c r="H34" s="160">
        <f t="shared" si="3"/>
        <v>0</v>
      </c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30"/>
      <c r="V34" s="30"/>
      <c r="W34" s="30"/>
      <c r="X34" s="30"/>
      <c r="Y34" s="30"/>
      <c r="Z34" s="30"/>
    </row>
    <row r="35" ht="14.25" customHeight="1">
      <c r="A35" s="30"/>
      <c r="B35" s="135"/>
      <c r="C35" s="148">
        <v>4.0</v>
      </c>
      <c r="D35" s="148" t="str">
        <f>IF('Objetivos Estratégicos '!E22="","",'Objetivos Estratégicos '!E22)</f>
        <v/>
      </c>
      <c r="E35" s="148" t="str">
        <f>IF('Objetivos Estratégicos '!F22="","",'Objetivos Estratégicos '!F22)</f>
        <v/>
      </c>
      <c r="F35" s="149" t="s">
        <v>138</v>
      </c>
      <c r="G35" s="150" t="s">
        <v>139</v>
      </c>
      <c r="H35" s="160">
        <f t="shared" si="3"/>
        <v>0</v>
      </c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30"/>
      <c r="V35" s="30"/>
      <c r="W35" s="30"/>
      <c r="X35" s="30"/>
      <c r="Y35" s="30"/>
      <c r="Z35" s="30"/>
    </row>
    <row r="36" ht="14.25" customHeight="1">
      <c r="A36" s="30"/>
      <c r="B36" s="135"/>
      <c r="C36" s="136"/>
      <c r="D36" s="136"/>
      <c r="E36" s="136"/>
      <c r="F36" s="149" t="s">
        <v>140</v>
      </c>
      <c r="G36" s="150" t="s">
        <v>139</v>
      </c>
      <c r="H36" s="160">
        <f t="shared" si="3"/>
        <v>0</v>
      </c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30"/>
      <c r="V36" s="30"/>
      <c r="W36" s="30"/>
      <c r="X36" s="30"/>
      <c r="Y36" s="30"/>
      <c r="Z36" s="30"/>
    </row>
    <row r="37" ht="14.25" customHeight="1">
      <c r="A37" s="30"/>
      <c r="B37" s="135"/>
      <c r="C37" s="148">
        <v>5.0</v>
      </c>
      <c r="D37" s="148" t="str">
        <f>IF('Objetivos Estratégicos '!E23="","",'Objetivos Estratégicos '!E23)</f>
        <v/>
      </c>
      <c r="E37" s="148" t="str">
        <f>IF('Objetivos Estratégicos '!F23="","",'Objetivos Estratégicos '!F23)</f>
        <v/>
      </c>
      <c r="F37" s="149" t="s">
        <v>138</v>
      </c>
      <c r="G37" s="150" t="s">
        <v>139</v>
      </c>
      <c r="H37" s="160">
        <f t="shared" si="3"/>
        <v>0</v>
      </c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30"/>
      <c r="V37" s="30"/>
      <c r="W37" s="30"/>
      <c r="X37" s="30"/>
      <c r="Y37" s="30"/>
      <c r="Z37" s="30"/>
    </row>
    <row r="38" ht="14.25" customHeight="1">
      <c r="A38" s="30"/>
      <c r="B38" s="136"/>
      <c r="C38" s="136"/>
      <c r="D38" s="136"/>
      <c r="E38" s="136"/>
      <c r="F38" s="149" t="s">
        <v>140</v>
      </c>
      <c r="G38" s="150" t="s">
        <v>139</v>
      </c>
      <c r="H38" s="160">
        <f t="shared" si="3"/>
        <v>0</v>
      </c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30"/>
      <c r="V38" s="30"/>
      <c r="W38" s="30"/>
      <c r="X38" s="30"/>
      <c r="Y38" s="30"/>
      <c r="Z38" s="30"/>
    </row>
    <row r="39" ht="5.25" customHeight="1">
      <c r="A39" s="30"/>
      <c r="B39" s="30"/>
      <c r="C39" s="96"/>
      <c r="D39" s="155"/>
      <c r="E39" s="161"/>
      <c r="F39" s="60"/>
      <c r="G39" s="157" t="s">
        <v>139</v>
      </c>
      <c r="H39" s="140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30"/>
      <c r="V39" s="30"/>
      <c r="W39" s="30"/>
      <c r="X39" s="30"/>
      <c r="Y39" s="30"/>
      <c r="Z39" s="30"/>
    </row>
    <row r="40" ht="14.25" customHeight="1">
      <c r="A40" s="30"/>
      <c r="B40" s="139" t="s">
        <v>135</v>
      </c>
      <c r="C40" s="148">
        <v>1.0</v>
      </c>
      <c r="D40" s="148" t="str">
        <f>IF('Objetivos Estratégicos '!E25="","",'Objetivos Estratégicos '!E25)</f>
        <v/>
      </c>
      <c r="E40" s="148" t="str">
        <f>IF('Objetivos Estratégicos '!F25="","",'Objetivos Estratégicos '!F25)</f>
        <v/>
      </c>
      <c r="F40" s="149" t="s">
        <v>138</v>
      </c>
      <c r="G40" s="150" t="s">
        <v>139</v>
      </c>
      <c r="H40" s="160">
        <f t="shared" ref="H40:H49" si="4">IF(G40="SOMA",SUM(I40:T40),IF(G40="MÉDIA",AVERAGE(I40:T40),IF(G40="ÚLTIMO RESULTADO",MAX(I40:T40),"")))</f>
        <v>0</v>
      </c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30"/>
      <c r="V40" s="30"/>
      <c r="W40" s="30"/>
      <c r="X40" s="30"/>
      <c r="Y40" s="30"/>
      <c r="Z40" s="30"/>
    </row>
    <row r="41" ht="14.25" customHeight="1">
      <c r="A41" s="30"/>
      <c r="B41" s="135"/>
      <c r="C41" s="136"/>
      <c r="D41" s="136"/>
      <c r="E41" s="136"/>
      <c r="F41" s="149" t="s">
        <v>140</v>
      </c>
      <c r="G41" s="150" t="s">
        <v>139</v>
      </c>
      <c r="H41" s="160">
        <f t="shared" si="4"/>
        <v>0</v>
      </c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30"/>
      <c r="V41" s="30"/>
      <c r="W41" s="30"/>
      <c r="X41" s="30"/>
      <c r="Y41" s="30"/>
      <c r="Z41" s="30"/>
    </row>
    <row r="42" ht="14.25" customHeight="1">
      <c r="A42" s="30"/>
      <c r="B42" s="135"/>
      <c r="C42" s="148">
        <v>2.0</v>
      </c>
      <c r="D42" s="148" t="str">
        <f>IF('Objetivos Estratégicos '!E26="","",'Objetivos Estratégicos '!E26)</f>
        <v/>
      </c>
      <c r="E42" s="148" t="str">
        <f>IF('Objetivos Estratégicos '!F26="","",'Objetivos Estratégicos '!F26)</f>
        <v/>
      </c>
      <c r="F42" s="149" t="s">
        <v>138</v>
      </c>
      <c r="G42" s="150" t="s">
        <v>139</v>
      </c>
      <c r="H42" s="160">
        <f t="shared" si="4"/>
        <v>0</v>
      </c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30"/>
      <c r="V42" s="30"/>
      <c r="W42" s="30"/>
      <c r="X42" s="30"/>
      <c r="Y42" s="30"/>
      <c r="Z42" s="30"/>
    </row>
    <row r="43" ht="14.25" customHeight="1">
      <c r="A43" s="30"/>
      <c r="B43" s="135"/>
      <c r="C43" s="136"/>
      <c r="D43" s="136"/>
      <c r="E43" s="136"/>
      <c r="F43" s="149" t="s">
        <v>140</v>
      </c>
      <c r="G43" s="150" t="s">
        <v>139</v>
      </c>
      <c r="H43" s="160">
        <f t="shared" si="4"/>
        <v>0</v>
      </c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30"/>
      <c r="V43" s="30"/>
      <c r="W43" s="30"/>
      <c r="X43" s="30"/>
      <c r="Y43" s="30"/>
      <c r="Z43" s="30"/>
    </row>
    <row r="44" ht="14.25" customHeight="1">
      <c r="A44" s="30"/>
      <c r="B44" s="135"/>
      <c r="C44" s="148">
        <v>3.0</v>
      </c>
      <c r="D44" s="148" t="str">
        <f>IF('Objetivos Estratégicos '!E27="","",'Objetivos Estratégicos '!E27)</f>
        <v/>
      </c>
      <c r="E44" s="148" t="str">
        <f>IF('Objetivos Estratégicos '!F27="","",'Objetivos Estratégicos '!F27)</f>
        <v/>
      </c>
      <c r="F44" s="149" t="s">
        <v>138</v>
      </c>
      <c r="G44" s="150" t="s">
        <v>139</v>
      </c>
      <c r="H44" s="160">
        <f t="shared" si="4"/>
        <v>0</v>
      </c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30"/>
      <c r="V44" s="30"/>
      <c r="W44" s="30"/>
      <c r="X44" s="30"/>
      <c r="Y44" s="30"/>
      <c r="Z44" s="30"/>
    </row>
    <row r="45" ht="14.25" customHeight="1">
      <c r="A45" s="30"/>
      <c r="B45" s="135"/>
      <c r="C45" s="136"/>
      <c r="D45" s="136"/>
      <c r="E45" s="136"/>
      <c r="F45" s="149" t="s">
        <v>140</v>
      </c>
      <c r="G45" s="150" t="s">
        <v>139</v>
      </c>
      <c r="H45" s="160">
        <f t="shared" si="4"/>
        <v>0</v>
      </c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30"/>
      <c r="V45" s="30"/>
      <c r="W45" s="30"/>
      <c r="X45" s="30"/>
      <c r="Y45" s="30"/>
      <c r="Z45" s="30"/>
    </row>
    <row r="46" ht="14.25" customHeight="1">
      <c r="A46" s="30"/>
      <c r="B46" s="135"/>
      <c r="C46" s="148">
        <v>4.0</v>
      </c>
      <c r="D46" s="148" t="str">
        <f>IF('Objetivos Estratégicos '!E28="","",'Objetivos Estratégicos '!E29)</f>
        <v/>
      </c>
      <c r="E46" s="148" t="str">
        <f>IF('Objetivos Estratégicos '!F28="","",'Objetivos Estratégicos '!F29)</f>
        <v/>
      </c>
      <c r="F46" s="149" t="s">
        <v>138</v>
      </c>
      <c r="G46" s="150" t="s">
        <v>139</v>
      </c>
      <c r="H46" s="160">
        <f t="shared" si="4"/>
        <v>0</v>
      </c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30"/>
      <c r="V46" s="30"/>
      <c r="W46" s="30"/>
      <c r="X46" s="30"/>
      <c r="Y46" s="30"/>
      <c r="Z46" s="30"/>
    </row>
    <row r="47" ht="14.25" customHeight="1">
      <c r="A47" s="30"/>
      <c r="B47" s="135"/>
      <c r="C47" s="136"/>
      <c r="D47" s="136"/>
      <c r="E47" s="136"/>
      <c r="F47" s="149" t="s">
        <v>140</v>
      </c>
      <c r="G47" s="150" t="s">
        <v>139</v>
      </c>
      <c r="H47" s="160">
        <f t="shared" si="4"/>
        <v>0</v>
      </c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30"/>
      <c r="V47" s="30"/>
      <c r="W47" s="30"/>
      <c r="X47" s="30"/>
      <c r="Y47" s="30"/>
      <c r="Z47" s="30"/>
    </row>
    <row r="48" ht="14.25" customHeight="1">
      <c r="A48" s="30"/>
      <c r="B48" s="135"/>
      <c r="C48" s="148">
        <v>5.0</v>
      </c>
      <c r="D48" s="148" t="str">
        <f>IF('Objetivos Estratégicos '!E29="","",'Objetivos Estratégicos '!E29)</f>
        <v/>
      </c>
      <c r="E48" s="148" t="str">
        <f>IF('Objetivos Estratégicos '!F29="","",'Objetivos Estratégicos '!F29)</f>
        <v/>
      </c>
      <c r="F48" s="149" t="s">
        <v>138</v>
      </c>
      <c r="G48" s="150" t="s">
        <v>139</v>
      </c>
      <c r="H48" s="160">
        <f t="shared" si="4"/>
        <v>0</v>
      </c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30"/>
      <c r="V48" s="30"/>
      <c r="W48" s="30"/>
      <c r="X48" s="30"/>
      <c r="Y48" s="30"/>
      <c r="Z48" s="30"/>
    </row>
    <row r="49" ht="12.0" customHeight="1">
      <c r="A49" s="30"/>
      <c r="B49" s="136"/>
      <c r="C49" s="136"/>
      <c r="D49" s="136"/>
      <c r="E49" s="136"/>
      <c r="F49" s="149" t="s">
        <v>140</v>
      </c>
      <c r="G49" s="150" t="s">
        <v>139</v>
      </c>
      <c r="H49" s="160">
        <f t="shared" si="4"/>
        <v>0</v>
      </c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30"/>
      <c r="V49" s="30"/>
      <c r="W49" s="30"/>
      <c r="X49" s="30"/>
      <c r="Y49" s="30"/>
      <c r="Z49" s="30"/>
    </row>
    <row r="50" ht="14.25" customHeight="1">
      <c r="A50" s="30"/>
      <c r="B50" s="30"/>
      <c r="C50" s="96"/>
      <c r="D50" s="60"/>
      <c r="E50" s="60"/>
      <c r="F50" s="60"/>
      <c r="G50" s="144"/>
      <c r="H50" s="60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30"/>
      <c r="V50" s="30"/>
      <c r="W50" s="30"/>
      <c r="X50" s="30"/>
      <c r="Y50" s="30"/>
      <c r="Z50" s="30"/>
    </row>
    <row r="51" ht="14.25" customHeight="1">
      <c r="A51" s="30"/>
      <c r="B51" s="30"/>
      <c r="C51" s="96"/>
      <c r="D51" s="60"/>
      <c r="E51" s="60"/>
      <c r="F51" s="60"/>
      <c r="G51" s="144"/>
      <c r="H51" s="60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30"/>
      <c r="V51" s="30"/>
      <c r="W51" s="30"/>
      <c r="X51" s="30"/>
      <c r="Y51" s="30"/>
      <c r="Z51" s="30"/>
    </row>
    <row r="52" ht="14.25" hidden="1" customHeight="1">
      <c r="A52" s="30"/>
      <c r="B52" s="30"/>
      <c r="C52" s="96"/>
      <c r="D52" s="60"/>
      <c r="E52" s="60"/>
      <c r="F52" s="60"/>
      <c r="G52" s="144"/>
      <c r="H52" s="60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30"/>
      <c r="V52" s="30"/>
      <c r="W52" s="30"/>
      <c r="X52" s="30"/>
      <c r="Y52" s="30"/>
      <c r="Z52" s="30"/>
    </row>
    <row r="53" ht="14.25" hidden="1" customHeight="1">
      <c r="A53" s="30"/>
      <c r="B53" s="30"/>
      <c r="C53" s="96"/>
      <c r="D53" s="60"/>
      <c r="E53" s="60"/>
      <c r="F53" s="60"/>
      <c r="G53" s="144"/>
      <c r="H53" s="60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30"/>
      <c r="V53" s="30"/>
      <c r="W53" s="30"/>
      <c r="X53" s="30"/>
      <c r="Y53" s="30"/>
      <c r="Z53" s="30"/>
    </row>
    <row r="54" ht="14.25" hidden="1" customHeight="1">
      <c r="A54" s="30"/>
      <c r="B54" s="30"/>
      <c r="C54" s="96"/>
      <c r="D54" s="60"/>
      <c r="E54" s="60"/>
      <c r="F54" s="60"/>
      <c r="G54" s="144"/>
      <c r="H54" s="60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30"/>
      <c r="V54" s="30"/>
      <c r="W54" s="30"/>
      <c r="X54" s="30"/>
      <c r="Y54" s="30"/>
      <c r="Z54" s="30"/>
    </row>
    <row r="55" ht="14.25" hidden="1" customHeight="1">
      <c r="A55" s="30"/>
      <c r="B55" s="30"/>
      <c r="C55" s="96"/>
      <c r="D55" s="60"/>
      <c r="E55" s="60"/>
      <c r="F55" s="60"/>
      <c r="G55" s="144"/>
      <c r="H55" s="60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30"/>
      <c r="V55" s="30"/>
      <c r="W55" s="30"/>
      <c r="X55" s="30"/>
      <c r="Y55" s="30"/>
      <c r="Z55" s="30"/>
    </row>
    <row r="56" ht="14.25" hidden="1" customHeight="1">
      <c r="A56" s="30"/>
      <c r="B56" s="30"/>
      <c r="C56" s="96"/>
      <c r="D56" s="60"/>
      <c r="E56" s="60"/>
      <c r="F56" s="60"/>
      <c r="G56" s="144"/>
      <c r="H56" s="60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30"/>
      <c r="V56" s="30"/>
      <c r="W56" s="30"/>
      <c r="X56" s="30"/>
      <c r="Y56" s="30"/>
      <c r="Z56" s="30"/>
    </row>
    <row r="57" ht="14.25" hidden="1" customHeight="1">
      <c r="A57" s="30"/>
      <c r="B57" s="30"/>
      <c r="C57" s="96"/>
      <c r="D57" s="60"/>
      <c r="E57" s="60"/>
      <c r="F57" s="60"/>
      <c r="G57" s="144"/>
      <c r="H57" s="60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30"/>
      <c r="V57" s="30"/>
      <c r="W57" s="30"/>
      <c r="X57" s="30"/>
      <c r="Y57" s="30"/>
      <c r="Z57" s="30"/>
    </row>
    <row r="58" ht="14.25" hidden="1" customHeight="1">
      <c r="A58" s="30"/>
      <c r="B58" s="30"/>
      <c r="C58" s="96"/>
      <c r="D58" s="60"/>
      <c r="E58" s="60"/>
      <c r="F58" s="60"/>
      <c r="G58" s="144"/>
      <c r="H58" s="60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30"/>
      <c r="V58" s="30"/>
      <c r="W58" s="30"/>
      <c r="X58" s="30"/>
      <c r="Y58" s="30"/>
      <c r="Z58" s="30"/>
    </row>
    <row r="59" ht="14.25" hidden="1" customHeight="1">
      <c r="A59" s="30"/>
      <c r="B59" s="30"/>
      <c r="C59" s="96"/>
      <c r="D59" s="60"/>
      <c r="E59" s="60"/>
      <c r="F59" s="60"/>
      <c r="G59" s="144"/>
      <c r="H59" s="60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30"/>
      <c r="V59" s="30"/>
      <c r="W59" s="30"/>
      <c r="X59" s="30"/>
      <c r="Y59" s="30"/>
      <c r="Z59" s="30"/>
    </row>
    <row r="60" ht="14.25" hidden="1" customHeight="1">
      <c r="A60" s="30"/>
      <c r="B60" s="30"/>
      <c r="C60" s="96"/>
      <c r="D60" s="60"/>
      <c r="E60" s="60"/>
      <c r="F60" s="60"/>
      <c r="G60" s="144"/>
      <c r="H60" s="60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30"/>
      <c r="V60" s="30"/>
      <c r="W60" s="30"/>
      <c r="X60" s="30"/>
      <c r="Y60" s="30"/>
      <c r="Z60" s="30"/>
    </row>
    <row r="61" ht="14.25" hidden="1" customHeight="1">
      <c r="A61" s="30"/>
      <c r="B61" s="30"/>
      <c r="C61" s="96"/>
      <c r="D61" s="60"/>
      <c r="E61" s="60"/>
      <c r="F61" s="60"/>
      <c r="G61" s="144"/>
      <c r="H61" s="60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30"/>
      <c r="V61" s="30"/>
      <c r="W61" s="30"/>
      <c r="X61" s="30"/>
      <c r="Y61" s="30"/>
      <c r="Z61" s="30"/>
    </row>
    <row r="62" ht="14.25" hidden="1" customHeight="1">
      <c r="A62" s="30"/>
      <c r="B62" s="30"/>
      <c r="C62" s="96"/>
      <c r="D62" s="60"/>
      <c r="E62" s="60"/>
      <c r="F62" s="60"/>
      <c r="G62" s="144"/>
      <c r="H62" s="60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30"/>
      <c r="V62" s="30"/>
      <c r="W62" s="30"/>
      <c r="X62" s="30"/>
      <c r="Y62" s="30"/>
      <c r="Z62" s="30"/>
    </row>
    <row r="63" ht="14.25" hidden="1" customHeight="1">
      <c r="A63" s="30"/>
      <c r="B63" s="30"/>
      <c r="C63" s="96"/>
      <c r="D63" s="60"/>
      <c r="E63" s="60"/>
      <c r="F63" s="60"/>
      <c r="G63" s="144"/>
      <c r="H63" s="60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30"/>
      <c r="V63" s="30"/>
      <c r="W63" s="30"/>
      <c r="X63" s="30"/>
      <c r="Y63" s="30"/>
      <c r="Z63" s="30"/>
    </row>
    <row r="64" ht="14.25" hidden="1" customHeight="1">
      <c r="A64" s="30"/>
      <c r="B64" s="30"/>
      <c r="C64" s="96"/>
      <c r="D64" s="60"/>
      <c r="E64" s="60"/>
      <c r="F64" s="60"/>
      <c r="G64" s="144"/>
      <c r="H64" s="60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30"/>
      <c r="V64" s="30"/>
      <c r="W64" s="30"/>
      <c r="X64" s="30"/>
      <c r="Y64" s="30"/>
      <c r="Z64" s="30"/>
    </row>
    <row r="65" ht="14.25" hidden="1" customHeight="1">
      <c r="A65" s="30"/>
      <c r="B65" s="30"/>
      <c r="C65" s="96"/>
      <c r="D65" s="60"/>
      <c r="E65" s="60"/>
      <c r="F65" s="60"/>
      <c r="G65" s="144"/>
      <c r="H65" s="60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30"/>
      <c r="V65" s="30"/>
      <c r="W65" s="30"/>
      <c r="X65" s="30"/>
      <c r="Y65" s="30"/>
      <c r="Z65" s="30"/>
    </row>
    <row r="66" ht="14.25" hidden="1" customHeight="1">
      <c r="A66" s="30"/>
      <c r="B66" s="30"/>
      <c r="C66" s="96"/>
      <c r="D66" s="60"/>
      <c r="E66" s="60"/>
      <c r="F66" s="60"/>
      <c r="G66" s="144"/>
      <c r="H66" s="60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30"/>
      <c r="V66" s="30"/>
      <c r="W66" s="30"/>
      <c r="X66" s="30"/>
      <c r="Y66" s="30"/>
      <c r="Z66" s="30"/>
    </row>
    <row r="67" ht="14.25" hidden="1" customHeight="1">
      <c r="A67" s="30"/>
      <c r="B67" s="30"/>
      <c r="C67" s="96"/>
      <c r="D67" s="60"/>
      <c r="E67" s="60"/>
      <c r="F67" s="60"/>
      <c r="G67" s="144"/>
      <c r="H67" s="60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30"/>
      <c r="V67" s="30"/>
      <c r="W67" s="30"/>
      <c r="X67" s="30"/>
      <c r="Y67" s="30"/>
      <c r="Z67" s="30"/>
    </row>
    <row r="68" ht="14.25" hidden="1" customHeight="1">
      <c r="A68" s="30"/>
      <c r="B68" s="30"/>
      <c r="C68" s="96"/>
      <c r="D68" s="60"/>
      <c r="E68" s="60"/>
      <c r="F68" s="60"/>
      <c r="G68" s="144"/>
      <c r="H68" s="60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30"/>
      <c r="V68" s="30"/>
      <c r="W68" s="30"/>
      <c r="X68" s="30"/>
      <c r="Y68" s="30"/>
      <c r="Z68" s="30"/>
    </row>
    <row r="69" ht="14.25" hidden="1" customHeight="1">
      <c r="A69" s="30"/>
      <c r="B69" s="30"/>
      <c r="C69" s="96"/>
      <c r="D69" s="60"/>
      <c r="E69" s="60"/>
      <c r="F69" s="60"/>
      <c r="G69" s="144"/>
      <c r="H69" s="60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30"/>
      <c r="V69" s="30"/>
      <c r="W69" s="30"/>
      <c r="X69" s="30"/>
      <c r="Y69" s="30"/>
      <c r="Z69" s="30"/>
    </row>
    <row r="70" ht="14.25" hidden="1" customHeight="1">
      <c r="A70" s="30"/>
      <c r="B70" s="30"/>
      <c r="C70" s="96"/>
      <c r="D70" s="60"/>
      <c r="E70" s="60"/>
      <c r="F70" s="60"/>
      <c r="G70" s="144"/>
      <c r="H70" s="60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30"/>
      <c r="V70" s="30"/>
      <c r="W70" s="30"/>
      <c r="X70" s="30"/>
      <c r="Y70" s="30"/>
      <c r="Z70" s="30"/>
    </row>
    <row r="71" ht="14.25" hidden="1" customHeight="1">
      <c r="A71" s="30"/>
      <c r="B71" s="30"/>
      <c r="C71" s="96"/>
      <c r="D71" s="60"/>
      <c r="E71" s="60"/>
      <c r="F71" s="60"/>
      <c r="G71" s="144"/>
      <c r="H71" s="60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30"/>
      <c r="V71" s="30"/>
      <c r="W71" s="30"/>
      <c r="X71" s="30"/>
      <c r="Y71" s="30"/>
      <c r="Z71" s="30"/>
    </row>
    <row r="72" ht="14.25" hidden="1" customHeight="1">
      <c r="A72" s="30"/>
      <c r="B72" s="30"/>
      <c r="C72" s="96"/>
      <c r="D72" s="60"/>
      <c r="E72" s="60"/>
      <c r="F72" s="60"/>
      <c r="G72" s="144"/>
      <c r="H72" s="60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30"/>
      <c r="V72" s="30"/>
      <c r="W72" s="30"/>
      <c r="X72" s="30"/>
      <c r="Y72" s="30"/>
      <c r="Z72" s="30"/>
    </row>
    <row r="73" ht="14.25" hidden="1" customHeight="1">
      <c r="A73" s="30"/>
      <c r="B73" s="30"/>
      <c r="C73" s="96"/>
      <c r="D73" s="60"/>
      <c r="E73" s="60"/>
      <c r="F73" s="60"/>
      <c r="G73" s="144"/>
      <c r="H73" s="60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30"/>
      <c r="V73" s="30"/>
      <c r="W73" s="30"/>
      <c r="X73" s="30"/>
      <c r="Y73" s="30"/>
      <c r="Z73" s="30"/>
    </row>
    <row r="74" ht="14.25" hidden="1" customHeight="1">
      <c r="A74" s="30"/>
      <c r="B74" s="30"/>
      <c r="C74" s="96"/>
      <c r="D74" s="60"/>
      <c r="E74" s="60"/>
      <c r="F74" s="60"/>
      <c r="G74" s="144"/>
      <c r="H74" s="60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30"/>
      <c r="V74" s="30"/>
      <c r="W74" s="30"/>
      <c r="X74" s="30"/>
      <c r="Y74" s="30"/>
      <c r="Z74" s="30"/>
    </row>
    <row r="75" ht="14.25" hidden="1" customHeight="1">
      <c r="A75" s="30"/>
      <c r="B75" s="30"/>
      <c r="C75" s="96"/>
      <c r="D75" s="60"/>
      <c r="E75" s="60"/>
      <c r="F75" s="60"/>
      <c r="G75" s="144"/>
      <c r="H75" s="60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30"/>
      <c r="V75" s="30"/>
      <c r="W75" s="30"/>
      <c r="X75" s="30"/>
      <c r="Y75" s="30"/>
      <c r="Z75" s="30"/>
    </row>
    <row r="76" ht="14.25" hidden="1" customHeight="1">
      <c r="A76" s="30"/>
      <c r="B76" s="30"/>
      <c r="C76" s="96"/>
      <c r="D76" s="60"/>
      <c r="E76" s="60"/>
      <c r="F76" s="60"/>
      <c r="G76" s="144"/>
      <c r="H76" s="60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30"/>
      <c r="V76" s="30"/>
      <c r="W76" s="30"/>
      <c r="X76" s="30"/>
      <c r="Y76" s="30"/>
      <c r="Z76" s="30"/>
    </row>
    <row r="77" ht="14.25" hidden="1" customHeight="1">
      <c r="A77" s="30"/>
      <c r="B77" s="30"/>
      <c r="C77" s="96"/>
      <c r="D77" s="60"/>
      <c r="E77" s="60"/>
      <c r="F77" s="60"/>
      <c r="G77" s="144"/>
      <c r="H77" s="60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30"/>
      <c r="V77" s="30"/>
      <c r="W77" s="30"/>
      <c r="X77" s="30"/>
      <c r="Y77" s="30"/>
      <c r="Z77" s="30"/>
    </row>
    <row r="78" ht="14.25" hidden="1" customHeight="1">
      <c r="A78" s="30"/>
      <c r="B78" s="30"/>
      <c r="C78" s="96"/>
      <c r="D78" s="60"/>
      <c r="E78" s="60"/>
      <c r="F78" s="60"/>
      <c r="G78" s="144"/>
      <c r="H78" s="60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30"/>
      <c r="V78" s="30"/>
      <c r="W78" s="30"/>
      <c r="X78" s="30"/>
      <c r="Y78" s="30"/>
      <c r="Z78" s="30"/>
    </row>
    <row r="79" ht="14.25" hidden="1" customHeight="1">
      <c r="A79" s="30"/>
      <c r="B79" s="30"/>
      <c r="C79" s="96"/>
      <c r="D79" s="60"/>
      <c r="E79" s="60"/>
      <c r="F79" s="60"/>
      <c r="G79" s="144"/>
      <c r="H79" s="60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30"/>
      <c r="V79" s="30"/>
      <c r="W79" s="30"/>
      <c r="X79" s="30"/>
      <c r="Y79" s="30"/>
      <c r="Z79" s="30"/>
    </row>
    <row r="80" ht="14.25" hidden="1" customHeight="1">
      <c r="A80" s="30"/>
      <c r="B80" s="30"/>
      <c r="C80" s="96"/>
      <c r="D80" s="60"/>
      <c r="E80" s="60"/>
      <c r="F80" s="60"/>
      <c r="G80" s="144"/>
      <c r="H80" s="60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30"/>
      <c r="V80" s="30"/>
      <c r="W80" s="30"/>
      <c r="X80" s="30"/>
      <c r="Y80" s="30"/>
      <c r="Z80" s="30"/>
    </row>
    <row r="81" ht="14.25" hidden="1" customHeight="1">
      <c r="A81" s="30"/>
      <c r="B81" s="30"/>
      <c r="C81" s="96"/>
      <c r="D81" s="60"/>
      <c r="E81" s="60"/>
      <c r="F81" s="60"/>
      <c r="G81" s="144"/>
      <c r="H81" s="60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30"/>
      <c r="V81" s="30"/>
      <c r="W81" s="30"/>
      <c r="X81" s="30"/>
      <c r="Y81" s="30"/>
      <c r="Z81" s="30"/>
    </row>
    <row r="82" ht="14.25" hidden="1" customHeight="1">
      <c r="A82" s="30"/>
      <c r="B82" s="30"/>
      <c r="C82" s="96"/>
      <c r="D82" s="60"/>
      <c r="E82" s="60"/>
      <c r="F82" s="60"/>
      <c r="G82" s="144"/>
      <c r="H82" s="60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30"/>
      <c r="V82" s="30"/>
      <c r="W82" s="30"/>
      <c r="X82" s="30"/>
      <c r="Y82" s="30"/>
      <c r="Z82" s="30"/>
    </row>
    <row r="83" ht="14.25" hidden="1" customHeight="1">
      <c r="A83" s="30"/>
      <c r="B83" s="30"/>
      <c r="C83" s="96"/>
      <c r="D83" s="60"/>
      <c r="E83" s="60"/>
      <c r="F83" s="60"/>
      <c r="G83" s="144"/>
      <c r="H83" s="60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30"/>
      <c r="V83" s="30"/>
      <c r="W83" s="30"/>
      <c r="X83" s="30"/>
      <c r="Y83" s="30"/>
      <c r="Z83" s="30"/>
    </row>
    <row r="84" ht="14.25" hidden="1" customHeight="1">
      <c r="A84" s="30"/>
      <c r="B84" s="30"/>
      <c r="C84" s="96"/>
      <c r="D84" s="60"/>
      <c r="E84" s="60"/>
      <c r="F84" s="60"/>
      <c r="G84" s="144"/>
      <c r="H84" s="60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30"/>
      <c r="V84" s="30"/>
      <c r="W84" s="30"/>
      <c r="X84" s="30"/>
      <c r="Y84" s="30"/>
      <c r="Z84" s="30"/>
    </row>
    <row r="85" ht="14.25" hidden="1" customHeight="1">
      <c r="A85" s="30"/>
      <c r="B85" s="30"/>
      <c r="C85" s="96"/>
      <c r="D85" s="60"/>
      <c r="E85" s="60"/>
      <c r="F85" s="60"/>
      <c r="G85" s="144"/>
      <c r="H85" s="60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30"/>
      <c r="V85" s="30"/>
      <c r="W85" s="30"/>
      <c r="X85" s="30"/>
      <c r="Y85" s="30"/>
      <c r="Z85" s="30"/>
    </row>
    <row r="86" ht="14.25" hidden="1" customHeight="1">
      <c r="A86" s="30"/>
      <c r="B86" s="30"/>
      <c r="C86" s="96"/>
      <c r="D86" s="60"/>
      <c r="E86" s="60"/>
      <c r="F86" s="60"/>
      <c r="G86" s="144"/>
      <c r="H86" s="60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30"/>
      <c r="V86" s="30"/>
      <c r="W86" s="30"/>
      <c r="X86" s="30"/>
      <c r="Y86" s="30"/>
      <c r="Z86" s="30"/>
    </row>
    <row r="87" ht="14.25" hidden="1" customHeight="1">
      <c r="A87" s="30"/>
      <c r="B87" s="30"/>
      <c r="C87" s="96"/>
      <c r="D87" s="60"/>
      <c r="E87" s="60"/>
      <c r="F87" s="60"/>
      <c r="G87" s="144"/>
      <c r="H87" s="60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30"/>
      <c r="V87" s="30"/>
      <c r="W87" s="30"/>
      <c r="X87" s="30"/>
      <c r="Y87" s="30"/>
      <c r="Z87" s="30"/>
    </row>
    <row r="88" ht="14.25" hidden="1" customHeight="1">
      <c r="A88" s="30"/>
      <c r="B88" s="30"/>
      <c r="C88" s="96"/>
      <c r="D88" s="60"/>
      <c r="E88" s="60"/>
      <c r="F88" s="60"/>
      <c r="G88" s="144"/>
      <c r="H88" s="60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30"/>
      <c r="V88" s="30"/>
      <c r="W88" s="30"/>
      <c r="X88" s="30"/>
      <c r="Y88" s="30"/>
      <c r="Z88" s="30"/>
    </row>
    <row r="89" ht="14.25" hidden="1" customHeight="1">
      <c r="A89" s="30"/>
      <c r="B89" s="30"/>
      <c r="C89" s="96"/>
      <c r="D89" s="60"/>
      <c r="E89" s="60"/>
      <c r="F89" s="60"/>
      <c r="G89" s="144"/>
      <c r="H89" s="60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30"/>
      <c r="V89" s="30"/>
      <c r="W89" s="30"/>
      <c r="X89" s="30"/>
      <c r="Y89" s="30"/>
      <c r="Z89" s="30"/>
    </row>
    <row r="90" ht="14.25" hidden="1" customHeight="1">
      <c r="A90" s="30"/>
      <c r="B90" s="30"/>
      <c r="C90" s="96"/>
      <c r="D90" s="60"/>
      <c r="E90" s="60"/>
      <c r="F90" s="60"/>
      <c r="G90" s="144"/>
      <c r="H90" s="60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30"/>
      <c r="V90" s="30"/>
      <c r="W90" s="30"/>
      <c r="X90" s="30"/>
      <c r="Y90" s="30"/>
      <c r="Z90" s="30"/>
    </row>
    <row r="91" ht="14.25" hidden="1" customHeight="1">
      <c r="A91" s="30"/>
      <c r="B91" s="30"/>
      <c r="C91" s="96"/>
      <c r="D91" s="60"/>
      <c r="E91" s="60"/>
      <c r="F91" s="60"/>
      <c r="G91" s="144"/>
      <c r="H91" s="60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30"/>
      <c r="V91" s="30"/>
      <c r="W91" s="30"/>
      <c r="X91" s="30"/>
      <c r="Y91" s="30"/>
      <c r="Z91" s="30"/>
    </row>
    <row r="92" ht="14.25" hidden="1" customHeight="1">
      <c r="A92" s="30"/>
      <c r="B92" s="30"/>
      <c r="C92" s="96"/>
      <c r="D92" s="60"/>
      <c r="E92" s="60"/>
      <c r="F92" s="60"/>
      <c r="G92" s="144"/>
      <c r="H92" s="60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30"/>
      <c r="V92" s="30"/>
      <c r="W92" s="30"/>
      <c r="X92" s="30"/>
      <c r="Y92" s="30"/>
      <c r="Z92" s="30"/>
    </row>
    <row r="93" ht="14.25" hidden="1" customHeight="1">
      <c r="A93" s="30"/>
      <c r="B93" s="30"/>
      <c r="C93" s="96"/>
      <c r="D93" s="60"/>
      <c r="E93" s="60"/>
      <c r="F93" s="60"/>
      <c r="G93" s="144"/>
      <c r="H93" s="60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30"/>
      <c r="V93" s="30"/>
      <c r="W93" s="30"/>
      <c r="X93" s="30"/>
      <c r="Y93" s="30"/>
      <c r="Z93" s="30"/>
    </row>
    <row r="94" ht="14.25" hidden="1" customHeight="1">
      <c r="A94" s="30"/>
      <c r="B94" s="30"/>
      <c r="C94" s="96"/>
      <c r="D94" s="60"/>
      <c r="E94" s="60"/>
      <c r="F94" s="60"/>
      <c r="G94" s="144"/>
      <c r="H94" s="60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30"/>
      <c r="V94" s="30"/>
      <c r="W94" s="30"/>
      <c r="X94" s="30"/>
      <c r="Y94" s="30"/>
      <c r="Z94" s="30"/>
    </row>
    <row r="95" ht="14.25" hidden="1" customHeight="1">
      <c r="A95" s="30"/>
      <c r="B95" s="30"/>
      <c r="C95" s="96"/>
      <c r="D95" s="60"/>
      <c r="E95" s="60"/>
      <c r="F95" s="60"/>
      <c r="G95" s="144"/>
      <c r="H95" s="60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30"/>
      <c r="V95" s="30"/>
      <c r="W95" s="30"/>
      <c r="X95" s="30"/>
      <c r="Y95" s="30"/>
      <c r="Z95" s="30"/>
    </row>
    <row r="96" ht="14.25" hidden="1" customHeight="1">
      <c r="A96" s="30"/>
      <c r="B96" s="30"/>
      <c r="C96" s="96"/>
      <c r="D96" s="60"/>
      <c r="E96" s="60"/>
      <c r="F96" s="60"/>
      <c r="G96" s="144"/>
      <c r="H96" s="60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30"/>
      <c r="V96" s="30"/>
      <c r="W96" s="30"/>
      <c r="X96" s="30"/>
      <c r="Y96" s="30"/>
      <c r="Z96" s="30"/>
    </row>
    <row r="97" ht="14.25" hidden="1" customHeight="1">
      <c r="A97" s="30"/>
      <c r="B97" s="30"/>
      <c r="C97" s="96"/>
      <c r="D97" s="60"/>
      <c r="E97" s="60"/>
      <c r="F97" s="60"/>
      <c r="G97" s="144"/>
      <c r="H97" s="60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30"/>
      <c r="V97" s="30"/>
      <c r="W97" s="30"/>
      <c r="X97" s="30"/>
      <c r="Y97" s="30"/>
      <c r="Z97" s="30"/>
    </row>
    <row r="98" ht="14.25" hidden="1" customHeight="1">
      <c r="A98" s="30"/>
      <c r="B98" s="30"/>
      <c r="C98" s="96"/>
      <c r="D98" s="60"/>
      <c r="E98" s="60"/>
      <c r="F98" s="60"/>
      <c r="G98" s="144"/>
      <c r="H98" s="60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30"/>
      <c r="V98" s="30"/>
      <c r="W98" s="30"/>
      <c r="X98" s="30"/>
      <c r="Y98" s="30"/>
      <c r="Z98" s="30"/>
    </row>
    <row r="99" ht="14.25" hidden="1" customHeight="1">
      <c r="A99" s="30"/>
      <c r="B99" s="30"/>
      <c r="C99" s="96"/>
      <c r="D99" s="60"/>
      <c r="E99" s="60"/>
      <c r="F99" s="60"/>
      <c r="G99" s="144"/>
      <c r="H99" s="60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30"/>
      <c r="V99" s="30"/>
      <c r="W99" s="30"/>
      <c r="X99" s="30"/>
      <c r="Y99" s="30"/>
      <c r="Z99" s="30"/>
    </row>
    <row r="100" ht="14.25" hidden="1" customHeight="1">
      <c r="A100" s="30"/>
      <c r="B100" s="30"/>
      <c r="C100" s="96"/>
      <c r="D100" s="60"/>
      <c r="E100" s="60"/>
      <c r="F100" s="60"/>
      <c r="G100" s="144"/>
      <c r="H100" s="60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30"/>
      <c r="V100" s="30"/>
      <c r="W100" s="30"/>
      <c r="X100" s="30"/>
      <c r="Y100" s="30"/>
      <c r="Z100" s="30"/>
    </row>
    <row r="101" ht="14.25" hidden="1" customHeight="1">
      <c r="A101" s="30"/>
      <c r="B101" s="30"/>
      <c r="C101" s="96"/>
      <c r="D101" s="60"/>
      <c r="E101" s="60"/>
      <c r="F101" s="60"/>
      <c r="G101" s="144"/>
      <c r="H101" s="60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30"/>
      <c r="V101" s="30"/>
      <c r="W101" s="30"/>
      <c r="X101" s="30"/>
      <c r="Y101" s="30"/>
      <c r="Z101" s="30"/>
    </row>
    <row r="102" ht="14.25" hidden="1" customHeight="1">
      <c r="A102" s="30"/>
      <c r="B102" s="30"/>
      <c r="C102" s="96"/>
      <c r="D102" s="60"/>
      <c r="E102" s="60"/>
      <c r="F102" s="60"/>
      <c r="G102" s="144"/>
      <c r="H102" s="60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30"/>
      <c r="V102" s="30"/>
      <c r="W102" s="30"/>
      <c r="X102" s="30"/>
      <c r="Y102" s="30"/>
      <c r="Z102" s="30"/>
    </row>
    <row r="103" ht="14.25" hidden="1" customHeight="1">
      <c r="A103" s="30"/>
      <c r="B103" s="30"/>
      <c r="C103" s="96"/>
      <c r="D103" s="60"/>
      <c r="E103" s="60"/>
      <c r="F103" s="60"/>
      <c r="G103" s="144"/>
      <c r="H103" s="60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30"/>
      <c r="V103" s="30"/>
      <c r="W103" s="30"/>
      <c r="X103" s="30"/>
      <c r="Y103" s="30"/>
      <c r="Z103" s="30"/>
    </row>
    <row r="104" ht="14.25" hidden="1" customHeight="1">
      <c r="A104" s="30"/>
      <c r="B104" s="30"/>
      <c r="C104" s="96"/>
      <c r="D104" s="60"/>
      <c r="E104" s="60"/>
      <c r="F104" s="60"/>
      <c r="G104" s="144"/>
      <c r="H104" s="60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30"/>
      <c r="V104" s="30"/>
      <c r="W104" s="30"/>
      <c r="X104" s="30"/>
      <c r="Y104" s="30"/>
      <c r="Z104" s="30"/>
    </row>
    <row r="105" ht="14.25" hidden="1" customHeight="1">
      <c r="A105" s="30"/>
      <c r="B105" s="30"/>
      <c r="C105" s="96"/>
      <c r="D105" s="60"/>
      <c r="E105" s="60"/>
      <c r="F105" s="60"/>
      <c r="G105" s="144"/>
      <c r="H105" s="60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30"/>
      <c r="V105" s="30"/>
      <c r="W105" s="30"/>
      <c r="X105" s="30"/>
      <c r="Y105" s="30"/>
      <c r="Z105" s="30"/>
    </row>
    <row r="106" ht="14.25" hidden="1" customHeight="1">
      <c r="A106" s="30"/>
      <c r="B106" s="30"/>
      <c r="C106" s="96"/>
      <c r="D106" s="60"/>
      <c r="E106" s="60"/>
      <c r="F106" s="60"/>
      <c r="G106" s="144"/>
      <c r="H106" s="60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30"/>
      <c r="V106" s="30"/>
      <c r="W106" s="30"/>
      <c r="X106" s="30"/>
      <c r="Y106" s="30"/>
      <c r="Z106" s="30"/>
    </row>
    <row r="107" ht="14.25" hidden="1" customHeight="1">
      <c r="A107" s="30"/>
      <c r="B107" s="30"/>
      <c r="C107" s="96"/>
      <c r="D107" s="60"/>
      <c r="E107" s="60"/>
      <c r="F107" s="60"/>
      <c r="G107" s="144"/>
      <c r="H107" s="60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30"/>
      <c r="V107" s="30"/>
      <c r="W107" s="30"/>
      <c r="X107" s="30"/>
      <c r="Y107" s="30"/>
      <c r="Z107" s="30"/>
    </row>
    <row r="108" ht="14.25" hidden="1" customHeight="1">
      <c r="A108" s="30"/>
      <c r="B108" s="30"/>
      <c r="C108" s="96"/>
      <c r="D108" s="60"/>
      <c r="E108" s="60"/>
      <c r="F108" s="60"/>
      <c r="G108" s="144"/>
      <c r="H108" s="60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30"/>
      <c r="V108" s="30"/>
      <c r="W108" s="30"/>
      <c r="X108" s="30"/>
      <c r="Y108" s="30"/>
      <c r="Z108" s="30"/>
    </row>
    <row r="109" ht="14.25" hidden="1" customHeight="1">
      <c r="A109" s="30"/>
      <c r="B109" s="30"/>
      <c r="C109" s="96"/>
      <c r="D109" s="60"/>
      <c r="E109" s="60"/>
      <c r="F109" s="60"/>
      <c r="G109" s="144"/>
      <c r="H109" s="60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30"/>
      <c r="V109" s="30"/>
      <c r="W109" s="30"/>
      <c r="X109" s="30"/>
      <c r="Y109" s="30"/>
      <c r="Z109" s="30"/>
    </row>
    <row r="110" ht="14.25" hidden="1" customHeight="1">
      <c r="A110" s="30"/>
      <c r="B110" s="30"/>
      <c r="C110" s="96"/>
      <c r="D110" s="60"/>
      <c r="E110" s="60"/>
      <c r="F110" s="60"/>
      <c r="G110" s="144"/>
      <c r="H110" s="60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30"/>
      <c r="V110" s="30"/>
      <c r="W110" s="30"/>
      <c r="X110" s="30"/>
      <c r="Y110" s="30"/>
      <c r="Z110" s="30"/>
    </row>
    <row r="111" ht="14.25" hidden="1" customHeight="1">
      <c r="A111" s="30"/>
      <c r="B111" s="30"/>
      <c r="C111" s="96"/>
      <c r="D111" s="60"/>
      <c r="E111" s="60"/>
      <c r="F111" s="60"/>
      <c r="G111" s="144"/>
      <c r="H111" s="60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30"/>
      <c r="V111" s="30"/>
      <c r="W111" s="30"/>
      <c r="X111" s="30"/>
      <c r="Y111" s="30"/>
      <c r="Z111" s="30"/>
    </row>
    <row r="112" ht="14.25" hidden="1" customHeight="1">
      <c r="A112" s="30"/>
      <c r="B112" s="30"/>
      <c r="C112" s="96"/>
      <c r="D112" s="60"/>
      <c r="E112" s="60"/>
      <c r="F112" s="60"/>
      <c r="G112" s="144"/>
      <c r="H112" s="60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30"/>
      <c r="V112" s="30"/>
      <c r="W112" s="30"/>
      <c r="X112" s="30"/>
      <c r="Y112" s="30"/>
      <c r="Z112" s="30"/>
    </row>
    <row r="113" ht="14.25" hidden="1" customHeight="1">
      <c r="A113" s="30"/>
      <c r="B113" s="30"/>
      <c r="C113" s="96"/>
      <c r="D113" s="60"/>
      <c r="E113" s="60"/>
      <c r="F113" s="60"/>
      <c r="G113" s="144"/>
      <c r="H113" s="60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30"/>
      <c r="V113" s="30"/>
      <c r="W113" s="30"/>
      <c r="X113" s="30"/>
      <c r="Y113" s="30"/>
      <c r="Z113" s="30"/>
    </row>
    <row r="114" ht="14.25" hidden="1" customHeight="1">
      <c r="A114" s="30"/>
      <c r="B114" s="30"/>
      <c r="C114" s="96"/>
      <c r="D114" s="60"/>
      <c r="E114" s="60"/>
      <c r="F114" s="60"/>
      <c r="G114" s="144"/>
      <c r="H114" s="60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30"/>
      <c r="V114" s="30"/>
      <c r="W114" s="30"/>
      <c r="X114" s="30"/>
      <c r="Y114" s="30"/>
      <c r="Z114" s="30"/>
    </row>
    <row r="115" ht="14.25" hidden="1" customHeight="1">
      <c r="A115" s="30"/>
      <c r="B115" s="30"/>
      <c r="C115" s="96"/>
      <c r="D115" s="60"/>
      <c r="E115" s="60"/>
      <c r="F115" s="60"/>
      <c r="G115" s="144"/>
      <c r="H115" s="60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30"/>
      <c r="V115" s="30"/>
      <c r="W115" s="30"/>
      <c r="X115" s="30"/>
      <c r="Y115" s="30"/>
      <c r="Z115" s="30"/>
    </row>
    <row r="116" ht="14.25" hidden="1" customHeight="1">
      <c r="A116" s="30"/>
      <c r="B116" s="30"/>
      <c r="C116" s="96"/>
      <c r="D116" s="60"/>
      <c r="E116" s="60"/>
      <c r="F116" s="60"/>
      <c r="G116" s="144"/>
      <c r="H116" s="60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30"/>
      <c r="V116" s="30"/>
      <c r="W116" s="30"/>
      <c r="X116" s="30"/>
      <c r="Y116" s="30"/>
      <c r="Z116" s="30"/>
    </row>
    <row r="117" ht="14.25" hidden="1" customHeight="1">
      <c r="A117" s="30"/>
      <c r="B117" s="30"/>
      <c r="C117" s="96"/>
      <c r="D117" s="60"/>
      <c r="E117" s="60"/>
      <c r="F117" s="60"/>
      <c r="G117" s="144"/>
      <c r="H117" s="60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30"/>
      <c r="V117" s="30"/>
      <c r="W117" s="30"/>
      <c r="X117" s="30"/>
      <c r="Y117" s="30"/>
      <c r="Z117" s="30"/>
    </row>
    <row r="118" ht="14.25" hidden="1" customHeight="1">
      <c r="A118" s="30"/>
      <c r="B118" s="30"/>
      <c r="C118" s="96"/>
      <c r="D118" s="60"/>
      <c r="E118" s="60"/>
      <c r="F118" s="60"/>
      <c r="G118" s="144"/>
      <c r="H118" s="60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30"/>
      <c r="V118" s="30"/>
      <c r="W118" s="30"/>
      <c r="X118" s="30"/>
      <c r="Y118" s="30"/>
      <c r="Z118" s="30"/>
    </row>
    <row r="119" ht="14.25" hidden="1" customHeight="1">
      <c r="A119" s="30"/>
      <c r="B119" s="30"/>
      <c r="C119" s="96"/>
      <c r="D119" s="60"/>
      <c r="E119" s="60"/>
      <c r="F119" s="60"/>
      <c r="G119" s="144"/>
      <c r="H119" s="60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30"/>
      <c r="V119" s="30"/>
      <c r="W119" s="30"/>
      <c r="X119" s="30"/>
      <c r="Y119" s="30"/>
      <c r="Z119" s="30"/>
    </row>
    <row r="120" ht="14.25" hidden="1" customHeight="1">
      <c r="A120" s="30"/>
      <c r="B120" s="30"/>
      <c r="C120" s="96"/>
      <c r="D120" s="60"/>
      <c r="E120" s="60"/>
      <c r="F120" s="60"/>
      <c r="G120" s="144"/>
      <c r="H120" s="60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30"/>
      <c r="V120" s="30"/>
      <c r="W120" s="30"/>
      <c r="X120" s="30"/>
      <c r="Y120" s="30"/>
      <c r="Z120" s="30"/>
    </row>
    <row r="121" ht="14.25" hidden="1" customHeight="1">
      <c r="A121" s="30"/>
      <c r="B121" s="30"/>
      <c r="C121" s="96"/>
      <c r="D121" s="60"/>
      <c r="E121" s="60"/>
      <c r="F121" s="60"/>
      <c r="G121" s="144"/>
      <c r="H121" s="60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30"/>
      <c r="V121" s="30"/>
      <c r="W121" s="30"/>
      <c r="X121" s="30"/>
      <c r="Y121" s="30"/>
      <c r="Z121" s="30"/>
    </row>
    <row r="122" ht="14.25" hidden="1" customHeight="1">
      <c r="A122" s="30"/>
      <c r="B122" s="30"/>
      <c r="C122" s="96"/>
      <c r="D122" s="60"/>
      <c r="E122" s="60"/>
      <c r="F122" s="60"/>
      <c r="G122" s="144"/>
      <c r="H122" s="60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30"/>
      <c r="V122" s="30"/>
      <c r="W122" s="30"/>
      <c r="X122" s="30"/>
      <c r="Y122" s="30"/>
      <c r="Z122" s="30"/>
    </row>
    <row r="123" ht="14.25" hidden="1" customHeight="1">
      <c r="A123" s="30"/>
      <c r="B123" s="30"/>
      <c r="C123" s="96"/>
      <c r="D123" s="60"/>
      <c r="E123" s="60"/>
      <c r="F123" s="60"/>
      <c r="G123" s="144"/>
      <c r="H123" s="60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30"/>
      <c r="V123" s="30"/>
      <c r="W123" s="30"/>
      <c r="X123" s="30"/>
      <c r="Y123" s="30"/>
      <c r="Z123" s="30"/>
    </row>
    <row r="124" ht="14.25" hidden="1" customHeight="1">
      <c r="A124" s="30"/>
      <c r="B124" s="30"/>
      <c r="C124" s="96"/>
      <c r="D124" s="60"/>
      <c r="E124" s="60"/>
      <c r="F124" s="60"/>
      <c r="G124" s="144"/>
      <c r="H124" s="60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30"/>
      <c r="V124" s="30"/>
      <c r="W124" s="30"/>
      <c r="X124" s="30"/>
      <c r="Y124" s="30"/>
      <c r="Z124" s="30"/>
    </row>
    <row r="125" ht="14.25" hidden="1" customHeight="1">
      <c r="A125" s="30"/>
      <c r="B125" s="30"/>
      <c r="C125" s="96"/>
      <c r="D125" s="60"/>
      <c r="E125" s="60"/>
      <c r="F125" s="60"/>
      <c r="G125" s="144"/>
      <c r="H125" s="60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30"/>
      <c r="V125" s="30"/>
      <c r="W125" s="30"/>
      <c r="X125" s="30"/>
      <c r="Y125" s="30"/>
      <c r="Z125" s="30"/>
    </row>
    <row r="126" ht="14.25" hidden="1" customHeight="1">
      <c r="A126" s="30"/>
      <c r="B126" s="30"/>
      <c r="C126" s="96"/>
      <c r="D126" s="60"/>
      <c r="E126" s="60"/>
      <c r="F126" s="60"/>
      <c r="G126" s="144"/>
      <c r="H126" s="60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30"/>
      <c r="V126" s="30"/>
      <c r="W126" s="30"/>
      <c r="X126" s="30"/>
      <c r="Y126" s="30"/>
      <c r="Z126" s="30"/>
    </row>
    <row r="127" ht="14.25" hidden="1" customHeight="1">
      <c r="A127" s="30"/>
      <c r="B127" s="30"/>
      <c r="C127" s="96"/>
      <c r="D127" s="60"/>
      <c r="E127" s="60"/>
      <c r="F127" s="60"/>
      <c r="G127" s="144"/>
      <c r="H127" s="60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30"/>
      <c r="V127" s="30"/>
      <c r="W127" s="30"/>
      <c r="X127" s="30"/>
      <c r="Y127" s="30"/>
      <c r="Z127" s="30"/>
    </row>
    <row r="128" ht="14.25" hidden="1" customHeight="1">
      <c r="A128" s="30"/>
      <c r="B128" s="30"/>
      <c r="C128" s="96"/>
      <c r="D128" s="60"/>
      <c r="E128" s="60"/>
      <c r="F128" s="60"/>
      <c r="G128" s="144"/>
      <c r="H128" s="60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30"/>
      <c r="V128" s="30"/>
      <c r="W128" s="30"/>
      <c r="X128" s="30"/>
      <c r="Y128" s="30"/>
      <c r="Z128" s="30"/>
    </row>
    <row r="129" ht="14.25" hidden="1" customHeight="1">
      <c r="A129" s="30"/>
      <c r="B129" s="30"/>
      <c r="C129" s="96"/>
      <c r="D129" s="60"/>
      <c r="E129" s="60"/>
      <c r="F129" s="60"/>
      <c r="G129" s="144"/>
      <c r="H129" s="60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30"/>
      <c r="V129" s="30"/>
      <c r="W129" s="30"/>
      <c r="X129" s="30"/>
      <c r="Y129" s="30"/>
      <c r="Z129" s="30"/>
    </row>
    <row r="130" ht="14.25" hidden="1" customHeight="1">
      <c r="A130" s="30"/>
      <c r="B130" s="30"/>
      <c r="C130" s="96"/>
      <c r="D130" s="60"/>
      <c r="E130" s="60"/>
      <c r="F130" s="60"/>
      <c r="G130" s="144"/>
      <c r="H130" s="60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30"/>
      <c r="V130" s="30"/>
      <c r="W130" s="30"/>
      <c r="X130" s="30"/>
      <c r="Y130" s="30"/>
      <c r="Z130" s="30"/>
    </row>
    <row r="131" ht="14.25" hidden="1" customHeight="1">
      <c r="A131" s="30"/>
      <c r="B131" s="30"/>
      <c r="C131" s="96"/>
      <c r="D131" s="60"/>
      <c r="E131" s="60"/>
      <c r="F131" s="60"/>
      <c r="G131" s="144"/>
      <c r="H131" s="60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30"/>
      <c r="V131" s="30"/>
      <c r="W131" s="30"/>
      <c r="X131" s="30"/>
      <c r="Y131" s="30"/>
      <c r="Z131" s="30"/>
    </row>
    <row r="132" ht="14.25" hidden="1" customHeight="1">
      <c r="A132" s="30"/>
      <c r="B132" s="30"/>
      <c r="C132" s="96"/>
      <c r="D132" s="60"/>
      <c r="E132" s="60"/>
      <c r="F132" s="60"/>
      <c r="G132" s="144"/>
      <c r="H132" s="60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30"/>
      <c r="V132" s="30"/>
      <c r="W132" s="30"/>
      <c r="X132" s="30"/>
      <c r="Y132" s="30"/>
      <c r="Z132" s="30"/>
    </row>
    <row r="133" ht="14.25" hidden="1" customHeight="1">
      <c r="A133" s="30"/>
      <c r="B133" s="30"/>
      <c r="C133" s="96"/>
      <c r="D133" s="60"/>
      <c r="E133" s="60"/>
      <c r="F133" s="60"/>
      <c r="G133" s="144"/>
      <c r="H133" s="60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30"/>
      <c r="V133" s="30"/>
      <c r="W133" s="30"/>
      <c r="X133" s="30"/>
      <c r="Y133" s="30"/>
      <c r="Z133" s="30"/>
    </row>
    <row r="134" ht="14.25" hidden="1" customHeight="1">
      <c r="A134" s="30"/>
      <c r="B134" s="30"/>
      <c r="C134" s="96"/>
      <c r="D134" s="60"/>
      <c r="E134" s="60"/>
      <c r="F134" s="60"/>
      <c r="G134" s="144"/>
      <c r="H134" s="60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30"/>
      <c r="V134" s="30"/>
      <c r="W134" s="30"/>
      <c r="X134" s="30"/>
      <c r="Y134" s="30"/>
      <c r="Z134" s="30"/>
    </row>
    <row r="135" ht="14.25" hidden="1" customHeight="1">
      <c r="A135" s="30"/>
      <c r="B135" s="30"/>
      <c r="C135" s="96"/>
      <c r="D135" s="60"/>
      <c r="E135" s="60"/>
      <c r="F135" s="60"/>
      <c r="G135" s="144"/>
      <c r="H135" s="60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30"/>
      <c r="V135" s="30"/>
      <c r="W135" s="30"/>
      <c r="X135" s="30"/>
      <c r="Y135" s="30"/>
      <c r="Z135" s="30"/>
    </row>
    <row r="136" ht="14.25" hidden="1" customHeight="1">
      <c r="A136" s="30"/>
      <c r="B136" s="30"/>
      <c r="C136" s="96"/>
      <c r="D136" s="60"/>
      <c r="E136" s="60"/>
      <c r="F136" s="60"/>
      <c r="G136" s="144"/>
      <c r="H136" s="60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30"/>
      <c r="V136" s="30"/>
      <c r="W136" s="30"/>
      <c r="X136" s="30"/>
      <c r="Y136" s="30"/>
      <c r="Z136" s="30"/>
    </row>
    <row r="137" ht="14.25" hidden="1" customHeight="1">
      <c r="A137" s="30"/>
      <c r="B137" s="30"/>
      <c r="C137" s="96"/>
      <c r="D137" s="60"/>
      <c r="E137" s="60"/>
      <c r="F137" s="60"/>
      <c r="G137" s="144"/>
      <c r="H137" s="60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30"/>
      <c r="V137" s="30"/>
      <c r="W137" s="30"/>
      <c r="X137" s="30"/>
      <c r="Y137" s="30"/>
      <c r="Z137" s="30"/>
    </row>
    <row r="138" ht="14.25" hidden="1" customHeight="1">
      <c r="A138" s="30"/>
      <c r="B138" s="30"/>
      <c r="C138" s="96"/>
      <c r="D138" s="60"/>
      <c r="E138" s="60"/>
      <c r="F138" s="60"/>
      <c r="G138" s="144"/>
      <c r="H138" s="60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30"/>
      <c r="V138" s="30"/>
      <c r="W138" s="30"/>
      <c r="X138" s="30"/>
      <c r="Y138" s="30"/>
      <c r="Z138" s="30"/>
    </row>
    <row r="139" ht="14.25" hidden="1" customHeight="1">
      <c r="A139" s="30"/>
      <c r="B139" s="30"/>
      <c r="C139" s="96"/>
      <c r="D139" s="60"/>
      <c r="E139" s="60"/>
      <c r="F139" s="60"/>
      <c r="G139" s="144"/>
      <c r="H139" s="60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30"/>
      <c r="V139" s="30"/>
      <c r="W139" s="30"/>
      <c r="X139" s="30"/>
      <c r="Y139" s="30"/>
      <c r="Z139" s="30"/>
    </row>
    <row r="140" ht="14.25" hidden="1" customHeight="1">
      <c r="A140" s="30"/>
      <c r="B140" s="30"/>
      <c r="C140" s="96"/>
      <c r="D140" s="60"/>
      <c r="E140" s="60"/>
      <c r="F140" s="60"/>
      <c r="G140" s="144"/>
      <c r="H140" s="60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30"/>
      <c r="V140" s="30"/>
      <c r="W140" s="30"/>
      <c r="X140" s="30"/>
      <c r="Y140" s="30"/>
      <c r="Z140" s="30"/>
    </row>
    <row r="141" ht="14.25" hidden="1" customHeight="1">
      <c r="A141" s="30"/>
      <c r="B141" s="30"/>
      <c r="C141" s="96"/>
      <c r="D141" s="60"/>
      <c r="E141" s="60"/>
      <c r="F141" s="60"/>
      <c r="G141" s="144"/>
      <c r="H141" s="60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30"/>
      <c r="V141" s="30"/>
      <c r="W141" s="30"/>
      <c r="X141" s="30"/>
      <c r="Y141" s="30"/>
      <c r="Z141" s="30"/>
    </row>
    <row r="142" ht="14.25" hidden="1" customHeight="1">
      <c r="A142" s="30"/>
      <c r="B142" s="30"/>
      <c r="C142" s="96"/>
      <c r="D142" s="60"/>
      <c r="E142" s="60"/>
      <c r="F142" s="60"/>
      <c r="G142" s="144"/>
      <c r="H142" s="60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30"/>
      <c r="V142" s="30"/>
      <c r="W142" s="30"/>
      <c r="X142" s="30"/>
      <c r="Y142" s="30"/>
      <c r="Z142" s="30"/>
    </row>
    <row r="143" ht="14.25" hidden="1" customHeight="1">
      <c r="A143" s="30"/>
      <c r="B143" s="30"/>
      <c r="C143" s="96"/>
      <c r="D143" s="60"/>
      <c r="E143" s="60"/>
      <c r="F143" s="60"/>
      <c r="G143" s="144"/>
      <c r="H143" s="60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30"/>
      <c r="V143" s="30"/>
      <c r="W143" s="30"/>
      <c r="X143" s="30"/>
      <c r="Y143" s="30"/>
      <c r="Z143" s="30"/>
    </row>
    <row r="144" ht="14.25" hidden="1" customHeight="1">
      <c r="A144" s="30"/>
      <c r="B144" s="30"/>
      <c r="C144" s="96"/>
      <c r="D144" s="60"/>
      <c r="E144" s="60"/>
      <c r="F144" s="60"/>
      <c r="G144" s="144"/>
      <c r="H144" s="60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30"/>
      <c r="V144" s="30"/>
      <c r="W144" s="30"/>
      <c r="X144" s="30"/>
      <c r="Y144" s="30"/>
      <c r="Z144" s="30"/>
    </row>
    <row r="145" ht="14.25" hidden="1" customHeight="1">
      <c r="A145" s="30"/>
      <c r="B145" s="30"/>
      <c r="C145" s="96"/>
      <c r="D145" s="60"/>
      <c r="E145" s="60"/>
      <c r="F145" s="60"/>
      <c r="G145" s="144"/>
      <c r="H145" s="60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30"/>
      <c r="V145" s="30"/>
      <c r="W145" s="30"/>
      <c r="X145" s="30"/>
      <c r="Y145" s="30"/>
      <c r="Z145" s="30"/>
    </row>
    <row r="146" ht="14.25" hidden="1" customHeight="1">
      <c r="A146" s="30"/>
      <c r="B146" s="30"/>
      <c r="C146" s="96"/>
      <c r="D146" s="60"/>
      <c r="E146" s="60"/>
      <c r="F146" s="60"/>
      <c r="G146" s="144"/>
      <c r="H146" s="60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30"/>
      <c r="V146" s="30"/>
      <c r="W146" s="30"/>
      <c r="X146" s="30"/>
      <c r="Y146" s="30"/>
      <c r="Z146" s="30"/>
    </row>
    <row r="147" ht="14.25" hidden="1" customHeight="1">
      <c r="A147" s="30"/>
      <c r="B147" s="30"/>
      <c r="C147" s="96"/>
      <c r="D147" s="60"/>
      <c r="E147" s="60"/>
      <c r="F147" s="60"/>
      <c r="G147" s="144"/>
      <c r="H147" s="60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30"/>
      <c r="V147" s="30"/>
      <c r="W147" s="30"/>
      <c r="X147" s="30"/>
      <c r="Y147" s="30"/>
      <c r="Z147" s="30"/>
    </row>
    <row r="148" ht="14.25" hidden="1" customHeight="1">
      <c r="A148" s="30"/>
      <c r="B148" s="30"/>
      <c r="C148" s="96"/>
      <c r="D148" s="60"/>
      <c r="E148" s="60"/>
      <c r="F148" s="60"/>
      <c r="G148" s="144"/>
      <c r="H148" s="60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30"/>
      <c r="V148" s="30"/>
      <c r="W148" s="30"/>
      <c r="X148" s="30"/>
      <c r="Y148" s="30"/>
      <c r="Z148" s="30"/>
    </row>
    <row r="149" ht="14.25" hidden="1" customHeight="1">
      <c r="A149" s="30"/>
      <c r="B149" s="30"/>
      <c r="C149" s="96"/>
      <c r="D149" s="60"/>
      <c r="E149" s="60"/>
      <c r="F149" s="60"/>
      <c r="G149" s="144"/>
      <c r="H149" s="60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30"/>
      <c r="V149" s="30"/>
      <c r="W149" s="30"/>
      <c r="X149" s="30"/>
      <c r="Y149" s="30"/>
      <c r="Z149" s="30"/>
    </row>
    <row r="150" ht="14.25" hidden="1" customHeight="1">
      <c r="A150" s="30"/>
      <c r="B150" s="30"/>
      <c r="C150" s="96"/>
      <c r="D150" s="60"/>
      <c r="E150" s="60"/>
      <c r="F150" s="60"/>
      <c r="G150" s="144"/>
      <c r="H150" s="60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30"/>
      <c r="V150" s="30"/>
      <c r="W150" s="30"/>
      <c r="X150" s="30"/>
      <c r="Y150" s="30"/>
      <c r="Z150" s="30"/>
    </row>
    <row r="151" ht="14.25" hidden="1" customHeight="1">
      <c r="A151" s="30"/>
      <c r="B151" s="30"/>
      <c r="C151" s="96"/>
      <c r="D151" s="60"/>
      <c r="E151" s="60"/>
      <c r="F151" s="60"/>
      <c r="G151" s="144"/>
      <c r="H151" s="60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30"/>
      <c r="V151" s="30"/>
      <c r="W151" s="30"/>
      <c r="X151" s="30"/>
      <c r="Y151" s="30"/>
      <c r="Z151" s="30"/>
    </row>
    <row r="152" ht="14.25" hidden="1" customHeight="1">
      <c r="A152" s="30"/>
      <c r="B152" s="30"/>
      <c r="C152" s="96"/>
      <c r="D152" s="60"/>
      <c r="E152" s="60"/>
      <c r="F152" s="60"/>
      <c r="G152" s="144"/>
      <c r="H152" s="60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30"/>
      <c r="V152" s="30"/>
      <c r="W152" s="30"/>
      <c r="X152" s="30"/>
      <c r="Y152" s="30"/>
      <c r="Z152" s="30"/>
    </row>
    <row r="153" ht="14.25" hidden="1" customHeight="1">
      <c r="A153" s="30"/>
      <c r="B153" s="30"/>
      <c r="C153" s="96"/>
      <c r="D153" s="60"/>
      <c r="E153" s="60"/>
      <c r="F153" s="60"/>
      <c r="G153" s="144"/>
      <c r="H153" s="60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30"/>
      <c r="V153" s="30"/>
      <c r="W153" s="30"/>
      <c r="X153" s="30"/>
      <c r="Y153" s="30"/>
      <c r="Z153" s="30"/>
    </row>
    <row r="154" ht="14.25" hidden="1" customHeight="1">
      <c r="A154" s="30"/>
      <c r="B154" s="30"/>
      <c r="C154" s="96"/>
      <c r="D154" s="60"/>
      <c r="E154" s="60"/>
      <c r="F154" s="60"/>
      <c r="G154" s="144"/>
      <c r="H154" s="60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30"/>
      <c r="V154" s="30"/>
      <c r="W154" s="30"/>
      <c r="X154" s="30"/>
      <c r="Y154" s="30"/>
      <c r="Z154" s="30"/>
    </row>
    <row r="155" ht="14.25" hidden="1" customHeight="1">
      <c r="A155" s="30"/>
      <c r="B155" s="30"/>
      <c r="C155" s="96"/>
      <c r="D155" s="60"/>
      <c r="E155" s="60"/>
      <c r="F155" s="60"/>
      <c r="G155" s="144"/>
      <c r="H155" s="60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30"/>
      <c r="V155" s="30"/>
      <c r="W155" s="30"/>
      <c r="X155" s="30"/>
      <c r="Y155" s="30"/>
      <c r="Z155" s="30"/>
    </row>
    <row r="156" ht="14.25" hidden="1" customHeight="1">
      <c r="A156" s="30"/>
      <c r="B156" s="30"/>
      <c r="C156" s="96"/>
      <c r="D156" s="60"/>
      <c r="E156" s="60"/>
      <c r="F156" s="60"/>
      <c r="G156" s="144"/>
      <c r="H156" s="60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30"/>
      <c r="V156" s="30"/>
      <c r="W156" s="30"/>
      <c r="X156" s="30"/>
      <c r="Y156" s="30"/>
      <c r="Z156" s="30"/>
    </row>
    <row r="157" ht="14.25" hidden="1" customHeight="1">
      <c r="A157" s="30"/>
      <c r="B157" s="30"/>
      <c r="C157" s="96"/>
      <c r="D157" s="60"/>
      <c r="E157" s="60"/>
      <c r="F157" s="60"/>
      <c r="G157" s="144"/>
      <c r="H157" s="60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30"/>
      <c r="V157" s="30"/>
      <c r="W157" s="30"/>
      <c r="X157" s="30"/>
      <c r="Y157" s="30"/>
      <c r="Z157" s="30"/>
    </row>
    <row r="158" ht="14.25" hidden="1" customHeight="1">
      <c r="A158" s="30"/>
      <c r="B158" s="30"/>
      <c r="C158" s="96"/>
      <c r="D158" s="60"/>
      <c r="E158" s="60"/>
      <c r="F158" s="60"/>
      <c r="G158" s="144"/>
      <c r="H158" s="60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30"/>
      <c r="V158" s="30"/>
      <c r="W158" s="30"/>
      <c r="X158" s="30"/>
      <c r="Y158" s="30"/>
      <c r="Z158" s="30"/>
    </row>
    <row r="159" ht="14.25" hidden="1" customHeight="1">
      <c r="A159" s="30"/>
      <c r="B159" s="30"/>
      <c r="C159" s="96"/>
      <c r="D159" s="60"/>
      <c r="E159" s="60"/>
      <c r="F159" s="60"/>
      <c r="G159" s="144"/>
      <c r="H159" s="60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30"/>
      <c r="V159" s="30"/>
      <c r="W159" s="30"/>
      <c r="X159" s="30"/>
      <c r="Y159" s="30"/>
      <c r="Z159" s="30"/>
    </row>
    <row r="160" ht="14.25" hidden="1" customHeight="1">
      <c r="A160" s="30"/>
      <c r="B160" s="30"/>
      <c r="C160" s="96"/>
      <c r="D160" s="60"/>
      <c r="E160" s="60"/>
      <c r="F160" s="60"/>
      <c r="G160" s="144"/>
      <c r="H160" s="60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30"/>
      <c r="V160" s="30"/>
      <c r="W160" s="30"/>
      <c r="X160" s="30"/>
      <c r="Y160" s="30"/>
      <c r="Z160" s="30"/>
    </row>
    <row r="161" ht="14.25" hidden="1" customHeight="1">
      <c r="A161" s="30"/>
      <c r="B161" s="30"/>
      <c r="C161" s="96"/>
      <c r="D161" s="60"/>
      <c r="E161" s="60"/>
      <c r="F161" s="60"/>
      <c r="G161" s="144"/>
      <c r="H161" s="60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30"/>
      <c r="V161" s="30"/>
      <c r="W161" s="30"/>
      <c r="X161" s="30"/>
      <c r="Y161" s="30"/>
      <c r="Z161" s="30"/>
    </row>
    <row r="162" ht="14.25" hidden="1" customHeight="1">
      <c r="A162" s="30"/>
      <c r="B162" s="30"/>
      <c r="C162" s="96"/>
      <c r="D162" s="60"/>
      <c r="E162" s="60"/>
      <c r="F162" s="60"/>
      <c r="G162" s="144"/>
      <c r="H162" s="60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30"/>
      <c r="V162" s="30"/>
      <c r="W162" s="30"/>
      <c r="X162" s="30"/>
      <c r="Y162" s="30"/>
      <c r="Z162" s="30"/>
    </row>
    <row r="163" ht="14.25" hidden="1" customHeight="1">
      <c r="A163" s="30"/>
      <c r="B163" s="30"/>
      <c r="C163" s="96"/>
      <c r="D163" s="60"/>
      <c r="E163" s="60"/>
      <c r="F163" s="60"/>
      <c r="G163" s="144"/>
      <c r="H163" s="60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30"/>
      <c r="V163" s="30"/>
      <c r="W163" s="30"/>
      <c r="X163" s="30"/>
      <c r="Y163" s="30"/>
      <c r="Z163" s="30"/>
    </row>
    <row r="164" ht="14.25" hidden="1" customHeight="1">
      <c r="A164" s="30"/>
      <c r="B164" s="30"/>
      <c r="C164" s="96"/>
      <c r="D164" s="60"/>
      <c r="E164" s="60"/>
      <c r="F164" s="60"/>
      <c r="G164" s="144"/>
      <c r="H164" s="60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30"/>
      <c r="V164" s="30"/>
      <c r="W164" s="30"/>
      <c r="X164" s="30"/>
      <c r="Y164" s="30"/>
      <c r="Z164" s="30"/>
    </row>
    <row r="165" ht="14.25" hidden="1" customHeight="1">
      <c r="A165" s="30"/>
      <c r="B165" s="30"/>
      <c r="C165" s="96"/>
      <c r="D165" s="60"/>
      <c r="E165" s="60"/>
      <c r="F165" s="60"/>
      <c r="G165" s="144"/>
      <c r="H165" s="60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30"/>
      <c r="V165" s="30"/>
      <c r="W165" s="30"/>
      <c r="X165" s="30"/>
      <c r="Y165" s="30"/>
      <c r="Z165" s="30"/>
    </row>
    <row r="166" ht="14.25" hidden="1" customHeight="1">
      <c r="A166" s="30"/>
      <c r="B166" s="30"/>
      <c r="C166" s="96"/>
      <c r="D166" s="60"/>
      <c r="E166" s="60"/>
      <c r="F166" s="60"/>
      <c r="G166" s="144"/>
      <c r="H166" s="60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30"/>
      <c r="V166" s="30"/>
      <c r="W166" s="30"/>
      <c r="X166" s="30"/>
      <c r="Y166" s="30"/>
      <c r="Z166" s="30"/>
    </row>
    <row r="167" ht="14.25" hidden="1" customHeight="1">
      <c r="A167" s="30"/>
      <c r="B167" s="30"/>
      <c r="C167" s="96"/>
      <c r="D167" s="60"/>
      <c r="E167" s="60"/>
      <c r="F167" s="60"/>
      <c r="G167" s="144"/>
      <c r="H167" s="60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30"/>
      <c r="V167" s="30"/>
      <c r="W167" s="30"/>
      <c r="X167" s="30"/>
      <c r="Y167" s="30"/>
      <c r="Z167" s="30"/>
    </row>
    <row r="168" ht="14.25" hidden="1" customHeight="1">
      <c r="A168" s="30"/>
      <c r="B168" s="30"/>
      <c r="C168" s="96"/>
      <c r="D168" s="60"/>
      <c r="E168" s="60"/>
      <c r="F168" s="60"/>
      <c r="G168" s="144"/>
      <c r="H168" s="60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30"/>
      <c r="V168" s="30"/>
      <c r="W168" s="30"/>
      <c r="X168" s="30"/>
      <c r="Y168" s="30"/>
      <c r="Z168" s="30"/>
    </row>
    <row r="169" ht="14.25" hidden="1" customHeight="1">
      <c r="A169" s="30"/>
      <c r="B169" s="30"/>
      <c r="C169" s="96"/>
      <c r="D169" s="60"/>
      <c r="E169" s="60"/>
      <c r="F169" s="60"/>
      <c r="G169" s="144"/>
      <c r="H169" s="60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30"/>
      <c r="V169" s="30"/>
      <c r="W169" s="30"/>
      <c r="X169" s="30"/>
      <c r="Y169" s="30"/>
      <c r="Z169" s="30"/>
    </row>
    <row r="170" ht="14.25" hidden="1" customHeight="1">
      <c r="A170" s="30"/>
      <c r="B170" s="30"/>
      <c r="C170" s="96"/>
      <c r="D170" s="60"/>
      <c r="E170" s="60"/>
      <c r="F170" s="60"/>
      <c r="G170" s="144"/>
      <c r="H170" s="60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30"/>
      <c r="V170" s="30"/>
      <c r="W170" s="30"/>
      <c r="X170" s="30"/>
      <c r="Y170" s="30"/>
      <c r="Z170" s="30"/>
    </row>
    <row r="171" ht="14.25" hidden="1" customHeight="1">
      <c r="A171" s="30"/>
      <c r="B171" s="30"/>
      <c r="C171" s="96"/>
      <c r="D171" s="60"/>
      <c r="E171" s="60"/>
      <c r="F171" s="60"/>
      <c r="G171" s="144"/>
      <c r="H171" s="60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30"/>
      <c r="V171" s="30"/>
      <c r="W171" s="30"/>
      <c r="X171" s="30"/>
      <c r="Y171" s="30"/>
      <c r="Z171" s="30"/>
    </row>
    <row r="172" ht="14.25" hidden="1" customHeight="1">
      <c r="A172" s="30"/>
      <c r="B172" s="30"/>
      <c r="C172" s="96"/>
      <c r="D172" s="60"/>
      <c r="E172" s="60"/>
      <c r="F172" s="60"/>
      <c r="G172" s="144"/>
      <c r="H172" s="60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30"/>
      <c r="V172" s="30"/>
      <c r="W172" s="30"/>
      <c r="X172" s="30"/>
      <c r="Y172" s="30"/>
      <c r="Z172" s="30"/>
    </row>
    <row r="173" ht="14.25" hidden="1" customHeight="1">
      <c r="A173" s="30"/>
      <c r="B173" s="30"/>
      <c r="C173" s="96"/>
      <c r="D173" s="60"/>
      <c r="E173" s="60"/>
      <c r="F173" s="60"/>
      <c r="G173" s="144"/>
      <c r="H173" s="60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30"/>
      <c r="V173" s="30"/>
      <c r="W173" s="30"/>
      <c r="X173" s="30"/>
      <c r="Y173" s="30"/>
      <c r="Z173" s="30"/>
    </row>
    <row r="174" ht="14.25" hidden="1" customHeight="1">
      <c r="A174" s="30"/>
      <c r="B174" s="30"/>
      <c r="C174" s="96"/>
      <c r="D174" s="60"/>
      <c r="E174" s="60"/>
      <c r="F174" s="60"/>
      <c r="G174" s="144"/>
      <c r="H174" s="60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30"/>
      <c r="V174" s="30"/>
      <c r="W174" s="30"/>
      <c r="X174" s="30"/>
      <c r="Y174" s="30"/>
      <c r="Z174" s="30"/>
    </row>
    <row r="175" ht="14.25" hidden="1" customHeight="1">
      <c r="A175" s="30"/>
      <c r="B175" s="30"/>
      <c r="C175" s="96"/>
      <c r="D175" s="60"/>
      <c r="E175" s="60"/>
      <c r="F175" s="60"/>
      <c r="G175" s="144"/>
      <c r="H175" s="60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30"/>
      <c r="V175" s="30"/>
      <c r="W175" s="30"/>
      <c r="X175" s="30"/>
      <c r="Y175" s="30"/>
      <c r="Z175" s="30"/>
    </row>
    <row r="176" ht="14.25" hidden="1" customHeight="1">
      <c r="A176" s="30"/>
      <c r="B176" s="30"/>
      <c r="C176" s="96"/>
      <c r="D176" s="60"/>
      <c r="E176" s="60"/>
      <c r="F176" s="60"/>
      <c r="G176" s="144"/>
      <c r="H176" s="60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30"/>
      <c r="V176" s="30"/>
      <c r="W176" s="30"/>
      <c r="X176" s="30"/>
      <c r="Y176" s="30"/>
      <c r="Z176" s="30"/>
    </row>
    <row r="177" ht="14.25" hidden="1" customHeight="1">
      <c r="A177" s="30"/>
      <c r="B177" s="30"/>
      <c r="C177" s="96"/>
      <c r="D177" s="60"/>
      <c r="E177" s="60"/>
      <c r="F177" s="60"/>
      <c r="G177" s="144"/>
      <c r="H177" s="60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30"/>
      <c r="V177" s="30"/>
      <c r="W177" s="30"/>
      <c r="X177" s="30"/>
      <c r="Y177" s="30"/>
      <c r="Z177" s="30"/>
    </row>
    <row r="178" ht="14.25" hidden="1" customHeight="1">
      <c r="A178" s="30"/>
      <c r="B178" s="30"/>
      <c r="C178" s="96"/>
      <c r="D178" s="60"/>
      <c r="E178" s="60"/>
      <c r="F178" s="60"/>
      <c r="G178" s="144"/>
      <c r="H178" s="60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30"/>
      <c r="V178" s="30"/>
      <c r="W178" s="30"/>
      <c r="X178" s="30"/>
      <c r="Y178" s="30"/>
      <c r="Z178" s="30"/>
    </row>
    <row r="179" ht="14.25" hidden="1" customHeight="1">
      <c r="A179" s="30"/>
      <c r="B179" s="30"/>
      <c r="C179" s="96"/>
      <c r="D179" s="60"/>
      <c r="E179" s="60"/>
      <c r="F179" s="60"/>
      <c r="G179" s="144"/>
      <c r="H179" s="60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30"/>
      <c r="V179" s="30"/>
      <c r="W179" s="30"/>
      <c r="X179" s="30"/>
      <c r="Y179" s="30"/>
      <c r="Z179" s="30"/>
    </row>
    <row r="180" ht="14.25" hidden="1" customHeight="1">
      <c r="A180" s="30"/>
      <c r="B180" s="30"/>
      <c r="C180" s="96"/>
      <c r="D180" s="60"/>
      <c r="E180" s="60"/>
      <c r="F180" s="60"/>
      <c r="G180" s="144"/>
      <c r="H180" s="60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30"/>
      <c r="V180" s="30"/>
      <c r="W180" s="30"/>
      <c r="X180" s="30"/>
      <c r="Y180" s="30"/>
      <c r="Z180" s="30"/>
    </row>
    <row r="181" ht="14.25" hidden="1" customHeight="1">
      <c r="A181" s="30"/>
      <c r="B181" s="30"/>
      <c r="C181" s="96"/>
      <c r="D181" s="60"/>
      <c r="E181" s="60"/>
      <c r="F181" s="60"/>
      <c r="G181" s="144"/>
      <c r="H181" s="60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30"/>
      <c r="V181" s="30"/>
      <c r="W181" s="30"/>
      <c r="X181" s="30"/>
      <c r="Y181" s="30"/>
      <c r="Z181" s="30"/>
    </row>
    <row r="182" ht="14.25" hidden="1" customHeight="1">
      <c r="A182" s="30"/>
      <c r="B182" s="30"/>
      <c r="C182" s="96"/>
      <c r="D182" s="60"/>
      <c r="E182" s="60"/>
      <c r="F182" s="60"/>
      <c r="G182" s="144"/>
      <c r="H182" s="60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30"/>
      <c r="V182" s="30"/>
      <c r="W182" s="30"/>
      <c r="X182" s="30"/>
      <c r="Y182" s="30"/>
      <c r="Z182" s="30"/>
    </row>
    <row r="183" ht="14.25" hidden="1" customHeight="1">
      <c r="A183" s="30"/>
      <c r="B183" s="30"/>
      <c r="C183" s="96"/>
      <c r="D183" s="60"/>
      <c r="E183" s="60"/>
      <c r="F183" s="60"/>
      <c r="G183" s="144"/>
      <c r="H183" s="60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30"/>
      <c r="V183" s="30"/>
      <c r="W183" s="30"/>
      <c r="X183" s="30"/>
      <c r="Y183" s="30"/>
      <c r="Z183" s="30"/>
    </row>
    <row r="184" ht="14.25" hidden="1" customHeight="1">
      <c r="A184" s="30"/>
      <c r="B184" s="30"/>
      <c r="C184" s="96"/>
      <c r="D184" s="60"/>
      <c r="E184" s="60"/>
      <c r="F184" s="60"/>
      <c r="G184" s="144"/>
      <c r="H184" s="60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30"/>
      <c r="V184" s="30"/>
      <c r="W184" s="30"/>
      <c r="X184" s="30"/>
      <c r="Y184" s="30"/>
      <c r="Z184" s="30"/>
    </row>
    <row r="185" ht="14.25" hidden="1" customHeight="1">
      <c r="A185" s="30"/>
      <c r="B185" s="30"/>
      <c r="C185" s="96"/>
      <c r="D185" s="60"/>
      <c r="E185" s="60"/>
      <c r="F185" s="60"/>
      <c r="G185" s="144"/>
      <c r="H185" s="60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30"/>
      <c r="V185" s="30"/>
      <c r="W185" s="30"/>
      <c r="X185" s="30"/>
      <c r="Y185" s="30"/>
      <c r="Z185" s="30"/>
    </row>
    <row r="186" ht="14.25" hidden="1" customHeight="1">
      <c r="A186" s="30"/>
      <c r="B186" s="30"/>
      <c r="C186" s="96"/>
      <c r="D186" s="60"/>
      <c r="E186" s="60"/>
      <c r="F186" s="60"/>
      <c r="G186" s="144"/>
      <c r="H186" s="60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30"/>
      <c r="V186" s="30"/>
      <c r="W186" s="30"/>
      <c r="X186" s="30"/>
      <c r="Y186" s="30"/>
      <c r="Z186" s="30"/>
    </row>
    <row r="187" ht="14.25" hidden="1" customHeight="1">
      <c r="A187" s="30"/>
      <c r="B187" s="30"/>
      <c r="C187" s="96"/>
      <c r="D187" s="60"/>
      <c r="E187" s="60"/>
      <c r="F187" s="60"/>
      <c r="G187" s="144"/>
      <c r="H187" s="60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30"/>
      <c r="V187" s="30"/>
      <c r="W187" s="30"/>
      <c r="X187" s="30"/>
      <c r="Y187" s="30"/>
      <c r="Z187" s="30"/>
    </row>
    <row r="188" ht="14.25" hidden="1" customHeight="1">
      <c r="A188" s="30"/>
      <c r="B188" s="30"/>
      <c r="C188" s="96"/>
      <c r="D188" s="60"/>
      <c r="E188" s="60"/>
      <c r="F188" s="60"/>
      <c r="G188" s="144"/>
      <c r="H188" s="60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30"/>
      <c r="V188" s="30"/>
      <c r="W188" s="30"/>
      <c r="X188" s="30"/>
      <c r="Y188" s="30"/>
      <c r="Z188" s="30"/>
    </row>
    <row r="189" ht="14.25" hidden="1" customHeight="1">
      <c r="A189" s="30"/>
      <c r="B189" s="30"/>
      <c r="C189" s="96"/>
      <c r="D189" s="60"/>
      <c r="E189" s="60"/>
      <c r="F189" s="60"/>
      <c r="G189" s="144"/>
      <c r="H189" s="60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30"/>
      <c r="V189" s="30"/>
      <c r="W189" s="30"/>
      <c r="X189" s="30"/>
      <c r="Y189" s="30"/>
      <c r="Z189" s="30"/>
    </row>
    <row r="190" ht="14.25" hidden="1" customHeight="1">
      <c r="A190" s="30"/>
      <c r="B190" s="30"/>
      <c r="C190" s="96"/>
      <c r="D190" s="60"/>
      <c r="E190" s="60"/>
      <c r="F190" s="60"/>
      <c r="G190" s="144"/>
      <c r="H190" s="60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30"/>
      <c r="V190" s="30"/>
      <c r="W190" s="30"/>
      <c r="X190" s="30"/>
      <c r="Y190" s="30"/>
      <c r="Z190" s="30"/>
    </row>
    <row r="191" ht="14.25" hidden="1" customHeight="1">
      <c r="A191" s="30"/>
      <c r="B191" s="30"/>
      <c r="C191" s="96"/>
      <c r="D191" s="60"/>
      <c r="E191" s="60"/>
      <c r="F191" s="60"/>
      <c r="G191" s="144"/>
      <c r="H191" s="60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30"/>
      <c r="V191" s="30"/>
      <c r="W191" s="30"/>
      <c r="X191" s="30"/>
      <c r="Y191" s="30"/>
      <c r="Z191" s="30"/>
    </row>
    <row r="192" ht="14.25" hidden="1" customHeight="1">
      <c r="A192" s="30"/>
      <c r="B192" s="30"/>
      <c r="C192" s="96"/>
      <c r="D192" s="60"/>
      <c r="E192" s="60"/>
      <c r="F192" s="60"/>
      <c r="G192" s="144"/>
      <c r="H192" s="60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30"/>
      <c r="V192" s="30"/>
      <c r="W192" s="30"/>
      <c r="X192" s="30"/>
      <c r="Y192" s="30"/>
      <c r="Z192" s="30"/>
    </row>
    <row r="193" ht="14.25" hidden="1" customHeight="1">
      <c r="A193" s="30"/>
      <c r="B193" s="30"/>
      <c r="C193" s="96"/>
      <c r="D193" s="60"/>
      <c r="E193" s="60"/>
      <c r="F193" s="60"/>
      <c r="G193" s="144"/>
      <c r="H193" s="60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30"/>
      <c r="V193" s="30"/>
      <c r="W193" s="30"/>
      <c r="X193" s="30"/>
      <c r="Y193" s="30"/>
      <c r="Z193" s="30"/>
    </row>
    <row r="194" ht="14.25" hidden="1" customHeight="1">
      <c r="A194" s="30"/>
      <c r="B194" s="30"/>
      <c r="C194" s="96"/>
      <c r="D194" s="60"/>
      <c r="E194" s="60"/>
      <c r="F194" s="60"/>
      <c r="G194" s="144"/>
      <c r="H194" s="60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30"/>
      <c r="V194" s="30"/>
      <c r="W194" s="30"/>
      <c r="X194" s="30"/>
      <c r="Y194" s="30"/>
      <c r="Z194" s="30"/>
    </row>
    <row r="195" ht="14.25" hidden="1" customHeight="1">
      <c r="A195" s="30"/>
      <c r="B195" s="30"/>
      <c r="C195" s="96"/>
      <c r="D195" s="60"/>
      <c r="E195" s="60"/>
      <c r="F195" s="60"/>
      <c r="G195" s="144"/>
      <c r="H195" s="60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30"/>
      <c r="V195" s="30"/>
      <c r="W195" s="30"/>
      <c r="X195" s="30"/>
      <c r="Y195" s="30"/>
      <c r="Z195" s="30"/>
    </row>
    <row r="196" ht="14.25" hidden="1" customHeight="1">
      <c r="A196" s="30"/>
      <c r="B196" s="30"/>
      <c r="C196" s="96"/>
      <c r="D196" s="60"/>
      <c r="E196" s="60"/>
      <c r="F196" s="60"/>
      <c r="G196" s="144"/>
      <c r="H196" s="60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30"/>
      <c r="V196" s="30"/>
      <c r="W196" s="30"/>
      <c r="X196" s="30"/>
      <c r="Y196" s="30"/>
      <c r="Z196" s="30"/>
    </row>
    <row r="197" ht="14.25" hidden="1" customHeight="1">
      <c r="A197" s="30"/>
      <c r="B197" s="30"/>
      <c r="C197" s="96"/>
      <c r="D197" s="60"/>
      <c r="E197" s="60"/>
      <c r="F197" s="60"/>
      <c r="G197" s="144"/>
      <c r="H197" s="60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30"/>
      <c r="V197" s="30"/>
      <c r="W197" s="30"/>
      <c r="X197" s="30"/>
      <c r="Y197" s="30"/>
      <c r="Z197" s="30"/>
    </row>
    <row r="198" ht="14.25" hidden="1" customHeight="1">
      <c r="A198" s="30"/>
      <c r="B198" s="30"/>
      <c r="C198" s="96"/>
      <c r="D198" s="60"/>
      <c r="E198" s="60"/>
      <c r="F198" s="60"/>
      <c r="G198" s="144"/>
      <c r="H198" s="60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30"/>
      <c r="V198" s="30"/>
      <c r="W198" s="30"/>
      <c r="X198" s="30"/>
      <c r="Y198" s="30"/>
      <c r="Z198" s="30"/>
    </row>
    <row r="199" ht="14.25" hidden="1" customHeight="1">
      <c r="A199" s="30"/>
      <c r="B199" s="30"/>
      <c r="C199" s="96"/>
      <c r="D199" s="60"/>
      <c r="E199" s="60"/>
      <c r="F199" s="60"/>
      <c r="G199" s="144"/>
      <c r="H199" s="60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30"/>
      <c r="V199" s="30"/>
      <c r="W199" s="30"/>
      <c r="X199" s="30"/>
      <c r="Y199" s="30"/>
      <c r="Z199" s="30"/>
    </row>
    <row r="200" ht="14.25" hidden="1" customHeight="1">
      <c r="A200" s="30"/>
      <c r="B200" s="30"/>
      <c r="C200" s="96"/>
      <c r="D200" s="60"/>
      <c r="E200" s="60"/>
      <c r="F200" s="60"/>
      <c r="G200" s="144"/>
      <c r="H200" s="60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30"/>
      <c r="V200" s="30"/>
      <c r="W200" s="30"/>
      <c r="X200" s="30"/>
      <c r="Y200" s="30"/>
      <c r="Z200" s="30"/>
    </row>
    <row r="201" ht="14.25" hidden="1" customHeight="1">
      <c r="A201" s="30"/>
      <c r="B201" s="30"/>
      <c r="C201" s="96"/>
      <c r="D201" s="60"/>
      <c r="E201" s="60"/>
      <c r="F201" s="60"/>
      <c r="G201" s="144"/>
      <c r="H201" s="60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30"/>
      <c r="V201" s="30"/>
      <c r="W201" s="30"/>
      <c r="X201" s="30"/>
      <c r="Y201" s="30"/>
      <c r="Z201" s="30"/>
    </row>
    <row r="202" ht="14.25" hidden="1" customHeight="1">
      <c r="A202" s="30"/>
      <c r="B202" s="30"/>
      <c r="C202" s="96"/>
      <c r="D202" s="60"/>
      <c r="E202" s="60"/>
      <c r="F202" s="60"/>
      <c r="G202" s="144"/>
      <c r="H202" s="60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30"/>
      <c r="V202" s="30"/>
      <c r="W202" s="30"/>
      <c r="X202" s="30"/>
      <c r="Y202" s="30"/>
      <c r="Z202" s="30"/>
    </row>
    <row r="203" ht="14.25" hidden="1" customHeight="1">
      <c r="A203" s="30"/>
      <c r="B203" s="30"/>
      <c r="C203" s="96"/>
      <c r="D203" s="60"/>
      <c r="E203" s="60"/>
      <c r="F203" s="60"/>
      <c r="G203" s="144"/>
      <c r="H203" s="60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30"/>
      <c r="V203" s="30"/>
      <c r="W203" s="30"/>
      <c r="X203" s="30"/>
      <c r="Y203" s="30"/>
      <c r="Z203" s="30"/>
    </row>
    <row r="204" ht="14.25" hidden="1" customHeight="1">
      <c r="A204" s="30"/>
      <c r="B204" s="30"/>
      <c r="C204" s="96"/>
      <c r="D204" s="60"/>
      <c r="E204" s="60"/>
      <c r="F204" s="60"/>
      <c r="G204" s="144"/>
      <c r="H204" s="60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30"/>
      <c r="V204" s="30"/>
      <c r="W204" s="30"/>
      <c r="X204" s="30"/>
      <c r="Y204" s="30"/>
      <c r="Z204" s="30"/>
    </row>
    <row r="205" ht="14.25" hidden="1" customHeight="1">
      <c r="A205" s="30"/>
      <c r="B205" s="30"/>
      <c r="C205" s="96"/>
      <c r="D205" s="60"/>
      <c r="E205" s="60"/>
      <c r="F205" s="60"/>
      <c r="G205" s="144"/>
      <c r="H205" s="60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30"/>
      <c r="V205" s="30"/>
      <c r="W205" s="30"/>
      <c r="X205" s="30"/>
      <c r="Y205" s="30"/>
      <c r="Z205" s="30"/>
    </row>
    <row r="206" ht="14.25" hidden="1" customHeight="1">
      <c r="A206" s="30"/>
      <c r="B206" s="30"/>
      <c r="C206" s="96"/>
      <c r="D206" s="60"/>
      <c r="E206" s="60"/>
      <c r="F206" s="60"/>
      <c r="G206" s="144"/>
      <c r="H206" s="60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30"/>
      <c r="V206" s="30"/>
      <c r="W206" s="30"/>
      <c r="X206" s="30"/>
      <c r="Y206" s="30"/>
      <c r="Z206" s="30"/>
    </row>
    <row r="207" ht="14.25" hidden="1" customHeight="1">
      <c r="A207" s="30"/>
      <c r="B207" s="30"/>
      <c r="C207" s="96"/>
      <c r="D207" s="60"/>
      <c r="E207" s="60"/>
      <c r="F207" s="60"/>
      <c r="G207" s="144"/>
      <c r="H207" s="60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30"/>
      <c r="V207" s="30"/>
      <c r="W207" s="30"/>
      <c r="X207" s="30"/>
      <c r="Y207" s="30"/>
      <c r="Z207" s="30"/>
    </row>
    <row r="208" ht="14.25" hidden="1" customHeight="1">
      <c r="A208" s="30"/>
      <c r="B208" s="30"/>
      <c r="C208" s="96"/>
      <c r="D208" s="60"/>
      <c r="E208" s="60"/>
      <c r="F208" s="60"/>
      <c r="G208" s="144"/>
      <c r="H208" s="60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30"/>
      <c r="V208" s="30"/>
      <c r="W208" s="30"/>
      <c r="X208" s="30"/>
      <c r="Y208" s="30"/>
      <c r="Z208" s="30"/>
    </row>
    <row r="209" ht="14.25" hidden="1" customHeight="1">
      <c r="A209" s="30"/>
      <c r="B209" s="30"/>
      <c r="C209" s="96"/>
      <c r="D209" s="60"/>
      <c r="E209" s="60"/>
      <c r="F209" s="60"/>
      <c r="G209" s="144"/>
      <c r="H209" s="60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30"/>
      <c r="V209" s="30"/>
      <c r="W209" s="30"/>
      <c r="X209" s="30"/>
      <c r="Y209" s="30"/>
      <c r="Z209" s="30"/>
    </row>
    <row r="210" ht="14.25" hidden="1" customHeight="1">
      <c r="A210" s="30"/>
      <c r="B210" s="30"/>
      <c r="C210" s="96"/>
      <c r="D210" s="60"/>
      <c r="E210" s="60"/>
      <c r="F210" s="60"/>
      <c r="G210" s="144"/>
      <c r="H210" s="60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30"/>
      <c r="V210" s="30"/>
      <c r="W210" s="30"/>
      <c r="X210" s="30"/>
      <c r="Y210" s="30"/>
      <c r="Z210" s="30"/>
    </row>
    <row r="211" ht="14.25" hidden="1" customHeight="1">
      <c r="A211" s="30"/>
      <c r="B211" s="30"/>
      <c r="C211" s="96"/>
      <c r="D211" s="60"/>
      <c r="E211" s="60"/>
      <c r="F211" s="60"/>
      <c r="G211" s="144"/>
      <c r="H211" s="60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30"/>
      <c r="V211" s="30"/>
      <c r="W211" s="30"/>
      <c r="X211" s="30"/>
      <c r="Y211" s="30"/>
      <c r="Z211" s="30"/>
    </row>
    <row r="212" ht="14.25" hidden="1" customHeight="1">
      <c r="A212" s="30"/>
      <c r="B212" s="30"/>
      <c r="C212" s="96"/>
      <c r="D212" s="60"/>
      <c r="E212" s="60"/>
      <c r="F212" s="60"/>
      <c r="G212" s="144"/>
      <c r="H212" s="60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30"/>
      <c r="V212" s="30"/>
      <c r="W212" s="30"/>
      <c r="X212" s="30"/>
      <c r="Y212" s="30"/>
      <c r="Z212" s="30"/>
    </row>
    <row r="213" ht="14.25" hidden="1" customHeight="1">
      <c r="A213" s="30"/>
      <c r="B213" s="30"/>
      <c r="C213" s="96"/>
      <c r="D213" s="60"/>
      <c r="E213" s="60"/>
      <c r="F213" s="60"/>
      <c r="G213" s="144"/>
      <c r="H213" s="60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30"/>
      <c r="V213" s="30"/>
      <c r="W213" s="30"/>
      <c r="X213" s="30"/>
      <c r="Y213" s="30"/>
      <c r="Z213" s="30"/>
    </row>
    <row r="214" ht="14.25" hidden="1" customHeight="1">
      <c r="A214" s="30"/>
      <c r="B214" s="30"/>
      <c r="C214" s="96"/>
      <c r="D214" s="60"/>
      <c r="E214" s="60"/>
      <c r="F214" s="60"/>
      <c r="G214" s="144"/>
      <c r="H214" s="60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30"/>
      <c r="V214" s="30"/>
      <c r="W214" s="30"/>
      <c r="X214" s="30"/>
      <c r="Y214" s="30"/>
      <c r="Z214" s="30"/>
    </row>
    <row r="215" ht="14.25" hidden="1" customHeight="1">
      <c r="A215" s="30"/>
      <c r="B215" s="30"/>
      <c r="C215" s="96"/>
      <c r="D215" s="60"/>
      <c r="E215" s="60"/>
      <c r="F215" s="60"/>
      <c r="G215" s="144"/>
      <c r="H215" s="60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30"/>
      <c r="V215" s="30"/>
      <c r="W215" s="30"/>
      <c r="X215" s="30"/>
      <c r="Y215" s="30"/>
      <c r="Z215" s="30"/>
    </row>
    <row r="216" ht="14.25" hidden="1" customHeight="1">
      <c r="A216" s="30"/>
      <c r="B216" s="30"/>
      <c r="C216" s="96"/>
      <c r="D216" s="60"/>
      <c r="E216" s="60"/>
      <c r="F216" s="60"/>
      <c r="G216" s="144"/>
      <c r="H216" s="60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30"/>
      <c r="V216" s="30"/>
      <c r="W216" s="30"/>
      <c r="X216" s="30"/>
      <c r="Y216" s="30"/>
      <c r="Z216" s="30"/>
    </row>
    <row r="217" ht="14.25" hidden="1" customHeight="1">
      <c r="A217" s="30"/>
      <c r="B217" s="30"/>
      <c r="C217" s="96"/>
      <c r="D217" s="60"/>
      <c r="E217" s="60"/>
      <c r="F217" s="60"/>
      <c r="G217" s="144"/>
      <c r="H217" s="60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30"/>
      <c r="V217" s="30"/>
      <c r="W217" s="30"/>
      <c r="X217" s="30"/>
      <c r="Y217" s="30"/>
      <c r="Z217" s="30"/>
    </row>
    <row r="218" ht="14.25" hidden="1" customHeight="1">
      <c r="A218" s="30"/>
      <c r="B218" s="30"/>
      <c r="C218" s="96"/>
      <c r="D218" s="60"/>
      <c r="E218" s="60"/>
      <c r="F218" s="60"/>
      <c r="G218" s="144"/>
      <c r="H218" s="60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30"/>
      <c r="V218" s="30"/>
      <c r="W218" s="30"/>
      <c r="X218" s="30"/>
      <c r="Y218" s="30"/>
      <c r="Z218" s="30"/>
    </row>
    <row r="219" ht="14.25" hidden="1" customHeight="1">
      <c r="A219" s="30"/>
      <c r="B219" s="30"/>
      <c r="C219" s="96"/>
      <c r="D219" s="60"/>
      <c r="E219" s="60"/>
      <c r="F219" s="60"/>
      <c r="G219" s="144"/>
      <c r="H219" s="60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30"/>
      <c r="V219" s="30"/>
      <c r="W219" s="30"/>
      <c r="X219" s="30"/>
      <c r="Y219" s="30"/>
      <c r="Z219" s="30"/>
    </row>
    <row r="220" ht="14.25" hidden="1" customHeight="1">
      <c r="A220" s="30"/>
      <c r="B220" s="30"/>
      <c r="C220" s="96"/>
      <c r="D220" s="60"/>
      <c r="E220" s="60"/>
      <c r="F220" s="60"/>
      <c r="G220" s="144"/>
      <c r="H220" s="60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30"/>
      <c r="V220" s="30"/>
      <c r="W220" s="30"/>
      <c r="X220" s="30"/>
      <c r="Y220" s="30"/>
      <c r="Z220" s="30"/>
    </row>
    <row r="221" ht="14.25" hidden="1" customHeight="1">
      <c r="A221" s="30"/>
      <c r="B221" s="30"/>
      <c r="C221" s="96"/>
      <c r="D221" s="60"/>
      <c r="E221" s="60"/>
      <c r="F221" s="60"/>
      <c r="G221" s="144"/>
      <c r="H221" s="60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30"/>
      <c r="V221" s="30"/>
      <c r="W221" s="30"/>
      <c r="X221" s="30"/>
      <c r="Y221" s="30"/>
      <c r="Z221" s="30"/>
    </row>
    <row r="222" ht="14.25" hidden="1" customHeight="1">
      <c r="A222" s="30"/>
      <c r="B222" s="30"/>
      <c r="C222" s="96"/>
      <c r="D222" s="60"/>
      <c r="E222" s="60"/>
      <c r="F222" s="60"/>
      <c r="G222" s="144"/>
      <c r="H222" s="60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30"/>
      <c r="V222" s="30"/>
      <c r="W222" s="30"/>
      <c r="X222" s="30"/>
      <c r="Y222" s="30"/>
      <c r="Z222" s="30"/>
    </row>
    <row r="223" ht="14.25" hidden="1" customHeight="1">
      <c r="A223" s="30"/>
      <c r="B223" s="30"/>
      <c r="C223" s="96"/>
      <c r="D223" s="60"/>
      <c r="E223" s="60"/>
      <c r="F223" s="60"/>
      <c r="G223" s="144"/>
      <c r="H223" s="60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30"/>
      <c r="V223" s="30"/>
      <c r="W223" s="30"/>
      <c r="X223" s="30"/>
      <c r="Y223" s="30"/>
      <c r="Z223" s="30"/>
    </row>
    <row r="224" ht="14.25" hidden="1" customHeight="1">
      <c r="A224" s="30"/>
      <c r="B224" s="30"/>
      <c r="C224" s="96"/>
      <c r="D224" s="60"/>
      <c r="E224" s="60"/>
      <c r="F224" s="60"/>
      <c r="G224" s="144"/>
      <c r="H224" s="60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30"/>
      <c r="V224" s="30"/>
      <c r="W224" s="30"/>
      <c r="X224" s="30"/>
      <c r="Y224" s="30"/>
      <c r="Z224" s="30"/>
    </row>
    <row r="225" ht="14.25" hidden="1" customHeight="1">
      <c r="A225" s="30"/>
      <c r="B225" s="30"/>
      <c r="C225" s="96"/>
      <c r="D225" s="60"/>
      <c r="E225" s="60"/>
      <c r="F225" s="60"/>
      <c r="G225" s="144"/>
      <c r="H225" s="60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30"/>
      <c r="V225" s="30"/>
      <c r="W225" s="30"/>
      <c r="X225" s="30"/>
      <c r="Y225" s="30"/>
      <c r="Z225" s="30"/>
    </row>
    <row r="226" ht="14.25" hidden="1" customHeight="1">
      <c r="A226" s="30"/>
      <c r="B226" s="30"/>
      <c r="C226" s="96"/>
      <c r="D226" s="60"/>
      <c r="E226" s="60"/>
      <c r="F226" s="60"/>
      <c r="G226" s="144"/>
      <c r="H226" s="60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30"/>
      <c r="V226" s="30"/>
      <c r="W226" s="30"/>
      <c r="X226" s="30"/>
      <c r="Y226" s="30"/>
      <c r="Z226" s="30"/>
    </row>
    <row r="227" ht="14.25" hidden="1" customHeight="1">
      <c r="A227" s="30"/>
      <c r="B227" s="30"/>
      <c r="C227" s="96"/>
      <c r="D227" s="60"/>
      <c r="E227" s="60"/>
      <c r="F227" s="60"/>
      <c r="G227" s="144"/>
      <c r="H227" s="60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30"/>
      <c r="V227" s="30"/>
      <c r="W227" s="30"/>
      <c r="X227" s="30"/>
      <c r="Y227" s="30"/>
      <c r="Z227" s="30"/>
    </row>
    <row r="228" ht="14.25" hidden="1" customHeight="1">
      <c r="A228" s="30"/>
      <c r="B228" s="30"/>
      <c r="C228" s="96"/>
      <c r="D228" s="60"/>
      <c r="E228" s="60"/>
      <c r="F228" s="60"/>
      <c r="G228" s="144"/>
      <c r="H228" s="60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30"/>
      <c r="V228" s="30"/>
      <c r="W228" s="30"/>
      <c r="X228" s="30"/>
      <c r="Y228" s="30"/>
      <c r="Z228" s="30"/>
    </row>
    <row r="229" ht="14.25" hidden="1" customHeight="1">
      <c r="A229" s="30"/>
      <c r="B229" s="30"/>
      <c r="C229" s="96"/>
      <c r="D229" s="60"/>
      <c r="E229" s="60"/>
      <c r="F229" s="60"/>
      <c r="G229" s="144"/>
      <c r="H229" s="60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30"/>
      <c r="V229" s="30"/>
      <c r="W229" s="30"/>
      <c r="X229" s="30"/>
      <c r="Y229" s="30"/>
      <c r="Z229" s="30"/>
    </row>
    <row r="230" ht="14.25" hidden="1" customHeight="1">
      <c r="A230" s="30"/>
      <c r="B230" s="30"/>
      <c r="C230" s="96"/>
      <c r="D230" s="60"/>
      <c r="E230" s="60"/>
      <c r="F230" s="60"/>
      <c r="G230" s="144"/>
      <c r="H230" s="60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30"/>
      <c r="V230" s="30"/>
      <c r="W230" s="30"/>
      <c r="X230" s="30"/>
      <c r="Y230" s="30"/>
      <c r="Z230" s="30"/>
    </row>
    <row r="231" ht="14.25" hidden="1" customHeight="1">
      <c r="A231" s="30"/>
      <c r="B231" s="30"/>
      <c r="C231" s="96"/>
      <c r="D231" s="60"/>
      <c r="E231" s="60"/>
      <c r="F231" s="60"/>
      <c r="G231" s="144"/>
      <c r="H231" s="60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30"/>
      <c r="V231" s="30"/>
      <c r="W231" s="30"/>
      <c r="X231" s="30"/>
      <c r="Y231" s="30"/>
      <c r="Z231" s="30"/>
    </row>
    <row r="232" ht="14.25" hidden="1" customHeight="1">
      <c r="A232" s="30"/>
      <c r="B232" s="30"/>
      <c r="C232" s="96"/>
      <c r="D232" s="60"/>
      <c r="E232" s="60"/>
      <c r="F232" s="60"/>
      <c r="G232" s="144"/>
      <c r="H232" s="60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30"/>
      <c r="V232" s="30"/>
      <c r="W232" s="30"/>
      <c r="X232" s="30"/>
      <c r="Y232" s="30"/>
      <c r="Z232" s="30"/>
    </row>
    <row r="233" ht="14.25" hidden="1" customHeight="1">
      <c r="A233" s="30"/>
      <c r="B233" s="30"/>
      <c r="C233" s="96"/>
      <c r="D233" s="60"/>
      <c r="E233" s="60"/>
      <c r="F233" s="60"/>
      <c r="G233" s="144"/>
      <c r="H233" s="60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30"/>
      <c r="V233" s="30"/>
      <c r="W233" s="30"/>
      <c r="X233" s="30"/>
      <c r="Y233" s="30"/>
      <c r="Z233" s="30"/>
    </row>
    <row r="234" ht="14.25" hidden="1" customHeight="1">
      <c r="A234" s="30"/>
      <c r="B234" s="30"/>
      <c r="C234" s="96"/>
      <c r="D234" s="60"/>
      <c r="E234" s="60"/>
      <c r="F234" s="60"/>
      <c r="G234" s="144"/>
      <c r="H234" s="60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30"/>
      <c r="V234" s="30"/>
      <c r="W234" s="30"/>
      <c r="X234" s="30"/>
      <c r="Y234" s="30"/>
      <c r="Z234" s="30"/>
    </row>
    <row r="235" ht="14.25" hidden="1" customHeight="1">
      <c r="A235" s="30"/>
      <c r="B235" s="30"/>
      <c r="C235" s="96"/>
      <c r="D235" s="60"/>
      <c r="E235" s="60"/>
      <c r="F235" s="60"/>
      <c r="G235" s="144"/>
      <c r="H235" s="60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30"/>
      <c r="V235" s="30"/>
      <c r="W235" s="30"/>
      <c r="X235" s="30"/>
      <c r="Y235" s="30"/>
      <c r="Z235" s="30"/>
    </row>
    <row r="236" ht="14.25" hidden="1" customHeight="1">
      <c r="A236" s="30"/>
      <c r="B236" s="30"/>
      <c r="C236" s="96"/>
      <c r="D236" s="60"/>
      <c r="E236" s="60"/>
      <c r="F236" s="60"/>
      <c r="G236" s="144"/>
      <c r="H236" s="60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30"/>
      <c r="V236" s="30"/>
      <c r="W236" s="30"/>
      <c r="X236" s="30"/>
      <c r="Y236" s="30"/>
      <c r="Z236" s="30"/>
    </row>
    <row r="237" ht="14.25" hidden="1" customHeight="1">
      <c r="A237" s="30"/>
      <c r="B237" s="30"/>
      <c r="C237" s="96"/>
      <c r="D237" s="60"/>
      <c r="E237" s="60"/>
      <c r="F237" s="60"/>
      <c r="G237" s="144"/>
      <c r="H237" s="60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30"/>
      <c r="V237" s="30"/>
      <c r="W237" s="30"/>
      <c r="X237" s="30"/>
      <c r="Y237" s="30"/>
      <c r="Z237" s="30"/>
    </row>
    <row r="238" ht="14.25" hidden="1" customHeight="1">
      <c r="A238" s="30"/>
      <c r="B238" s="30"/>
      <c r="C238" s="96"/>
      <c r="D238" s="60"/>
      <c r="E238" s="60"/>
      <c r="F238" s="60"/>
      <c r="G238" s="144"/>
      <c r="H238" s="60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30"/>
      <c r="V238" s="30"/>
      <c r="W238" s="30"/>
      <c r="X238" s="30"/>
      <c r="Y238" s="30"/>
      <c r="Z238" s="30"/>
    </row>
    <row r="239" ht="14.25" hidden="1" customHeight="1">
      <c r="A239" s="30"/>
      <c r="B239" s="30"/>
      <c r="C239" s="96"/>
      <c r="D239" s="60"/>
      <c r="E239" s="60"/>
      <c r="F239" s="60"/>
      <c r="G239" s="144"/>
      <c r="H239" s="60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30"/>
      <c r="V239" s="30"/>
      <c r="W239" s="30"/>
      <c r="X239" s="30"/>
      <c r="Y239" s="30"/>
      <c r="Z239" s="30"/>
    </row>
    <row r="240" ht="14.25" hidden="1" customHeight="1">
      <c r="A240" s="30"/>
      <c r="B240" s="30"/>
      <c r="C240" s="96"/>
      <c r="D240" s="60"/>
      <c r="E240" s="60"/>
      <c r="F240" s="60"/>
      <c r="G240" s="144"/>
      <c r="H240" s="60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30"/>
      <c r="V240" s="30"/>
      <c r="W240" s="30"/>
      <c r="X240" s="30"/>
      <c r="Y240" s="30"/>
      <c r="Z240" s="30"/>
    </row>
    <row r="241" ht="14.25" hidden="1" customHeight="1">
      <c r="A241" s="30"/>
      <c r="B241" s="30"/>
      <c r="C241" s="96"/>
      <c r="D241" s="60"/>
      <c r="E241" s="60"/>
      <c r="F241" s="60"/>
      <c r="G241" s="144"/>
      <c r="H241" s="60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30"/>
      <c r="V241" s="30"/>
      <c r="W241" s="30"/>
      <c r="X241" s="30"/>
      <c r="Y241" s="30"/>
      <c r="Z241" s="30"/>
    </row>
    <row r="242" ht="14.25" hidden="1" customHeight="1">
      <c r="A242" s="30"/>
      <c r="B242" s="30"/>
      <c r="C242" s="96"/>
      <c r="D242" s="60"/>
      <c r="E242" s="60"/>
      <c r="F242" s="60"/>
      <c r="G242" s="144"/>
      <c r="H242" s="60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30"/>
      <c r="V242" s="30"/>
      <c r="W242" s="30"/>
      <c r="X242" s="30"/>
      <c r="Y242" s="30"/>
      <c r="Z242" s="30"/>
    </row>
    <row r="243" ht="14.25" hidden="1" customHeight="1">
      <c r="A243" s="30"/>
      <c r="B243" s="30"/>
      <c r="C243" s="96"/>
      <c r="D243" s="60"/>
      <c r="E243" s="60"/>
      <c r="F243" s="60"/>
      <c r="G243" s="144"/>
      <c r="H243" s="60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30"/>
      <c r="V243" s="30"/>
      <c r="W243" s="30"/>
      <c r="X243" s="30"/>
      <c r="Y243" s="30"/>
      <c r="Z243" s="30"/>
    </row>
    <row r="244" ht="14.25" hidden="1" customHeight="1">
      <c r="A244" s="30"/>
      <c r="B244" s="30"/>
      <c r="C244" s="96"/>
      <c r="D244" s="60"/>
      <c r="E244" s="60"/>
      <c r="F244" s="60"/>
      <c r="G244" s="144"/>
      <c r="H244" s="60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30"/>
      <c r="V244" s="30"/>
      <c r="W244" s="30"/>
      <c r="X244" s="30"/>
      <c r="Y244" s="30"/>
      <c r="Z244" s="30"/>
    </row>
    <row r="245" ht="14.25" hidden="1" customHeight="1">
      <c r="A245" s="30"/>
      <c r="B245" s="30"/>
      <c r="C245" s="96"/>
      <c r="D245" s="60"/>
      <c r="E245" s="60"/>
      <c r="F245" s="60"/>
      <c r="G245" s="144"/>
      <c r="H245" s="60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30"/>
      <c r="V245" s="30"/>
      <c r="W245" s="30"/>
      <c r="X245" s="30"/>
      <c r="Y245" s="30"/>
      <c r="Z245" s="30"/>
    </row>
    <row r="246" ht="14.25" hidden="1" customHeight="1">
      <c r="A246" s="30"/>
      <c r="B246" s="30"/>
      <c r="C246" s="96"/>
      <c r="D246" s="60"/>
      <c r="E246" s="60"/>
      <c r="F246" s="60"/>
      <c r="G246" s="144"/>
      <c r="H246" s="60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30"/>
      <c r="V246" s="30"/>
      <c r="W246" s="30"/>
      <c r="X246" s="30"/>
      <c r="Y246" s="30"/>
      <c r="Z246" s="30"/>
    </row>
    <row r="247" ht="14.25" hidden="1" customHeight="1">
      <c r="A247" s="30"/>
      <c r="B247" s="30"/>
      <c r="C247" s="96"/>
      <c r="D247" s="60"/>
      <c r="E247" s="60"/>
      <c r="F247" s="60"/>
      <c r="G247" s="144"/>
      <c r="H247" s="60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30"/>
      <c r="V247" s="30"/>
      <c r="W247" s="30"/>
      <c r="X247" s="30"/>
      <c r="Y247" s="30"/>
      <c r="Z247" s="30"/>
    </row>
    <row r="248" ht="14.25" hidden="1" customHeight="1">
      <c r="A248" s="30"/>
      <c r="B248" s="30"/>
      <c r="C248" s="96"/>
      <c r="D248" s="60"/>
      <c r="E248" s="60"/>
      <c r="F248" s="60"/>
      <c r="G248" s="144"/>
      <c r="H248" s="60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30"/>
      <c r="V248" s="30"/>
      <c r="W248" s="30"/>
      <c r="X248" s="30"/>
      <c r="Y248" s="30"/>
      <c r="Z248" s="30"/>
    </row>
    <row r="249" ht="14.25" hidden="1" customHeight="1">
      <c r="A249" s="30"/>
      <c r="B249" s="30"/>
      <c r="C249" s="96"/>
      <c r="D249" s="60"/>
      <c r="E249" s="60"/>
      <c r="F249" s="60"/>
      <c r="G249" s="144"/>
      <c r="H249" s="60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30"/>
      <c r="V249" s="30"/>
      <c r="W249" s="30"/>
      <c r="X249" s="30"/>
      <c r="Y249" s="30"/>
      <c r="Z249" s="30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29:C30"/>
    <mergeCell ref="C31:C32"/>
    <mergeCell ref="C9:C10"/>
    <mergeCell ref="C13:C14"/>
    <mergeCell ref="C18:C19"/>
    <mergeCell ref="C20:C21"/>
    <mergeCell ref="C22:C23"/>
    <mergeCell ref="C24:C25"/>
    <mergeCell ref="C26:C27"/>
    <mergeCell ref="D31:D32"/>
    <mergeCell ref="E31:E32"/>
    <mergeCell ref="C33:C34"/>
    <mergeCell ref="D33:D34"/>
    <mergeCell ref="E33:E34"/>
    <mergeCell ref="D35:D36"/>
    <mergeCell ref="E35:E36"/>
    <mergeCell ref="C40:C41"/>
    <mergeCell ref="C42:C43"/>
    <mergeCell ref="D42:D43"/>
    <mergeCell ref="E42:E43"/>
    <mergeCell ref="C44:C45"/>
    <mergeCell ref="D44:D45"/>
    <mergeCell ref="C37:C38"/>
    <mergeCell ref="C46:C47"/>
    <mergeCell ref="D46:D47"/>
    <mergeCell ref="E46:E47"/>
    <mergeCell ref="C48:C49"/>
    <mergeCell ref="D48:D49"/>
    <mergeCell ref="C35:C36"/>
    <mergeCell ref="D37:D38"/>
    <mergeCell ref="E37:E38"/>
    <mergeCell ref="B40:B49"/>
    <mergeCell ref="D40:D41"/>
    <mergeCell ref="E40:E41"/>
    <mergeCell ref="E44:E45"/>
    <mergeCell ref="E48:E49"/>
    <mergeCell ref="D9:D10"/>
    <mergeCell ref="E9:E10"/>
    <mergeCell ref="C11:C12"/>
    <mergeCell ref="D11:D12"/>
    <mergeCell ref="D13:D14"/>
    <mergeCell ref="E13:E14"/>
    <mergeCell ref="B2:H2"/>
    <mergeCell ref="B3:H3"/>
    <mergeCell ref="B7:B16"/>
    <mergeCell ref="C7:C8"/>
    <mergeCell ref="D7:D8"/>
    <mergeCell ref="E7:E8"/>
    <mergeCell ref="E11:E12"/>
    <mergeCell ref="E15:E16"/>
    <mergeCell ref="C15:C16"/>
    <mergeCell ref="D15:D16"/>
    <mergeCell ref="D18:D19"/>
    <mergeCell ref="E18:E19"/>
    <mergeCell ref="D20:D21"/>
    <mergeCell ref="E20:E21"/>
    <mergeCell ref="E22:E23"/>
    <mergeCell ref="B18:B27"/>
    <mergeCell ref="B29:B38"/>
    <mergeCell ref="D22:D23"/>
    <mergeCell ref="D24:D25"/>
    <mergeCell ref="E24:E25"/>
    <mergeCell ref="D26:D27"/>
    <mergeCell ref="E26:E27"/>
    <mergeCell ref="D29:D30"/>
    <mergeCell ref="E29:E3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1.0"/>
    <col customWidth="1" min="2" max="2" width="4.29"/>
    <col customWidth="1" min="3" max="3" width="50.43"/>
    <col customWidth="1" min="4" max="4" width="27.0"/>
    <col customWidth="1" min="5" max="5" width="17.43"/>
    <col customWidth="1" min="6" max="6" width="25.71"/>
    <col customWidth="1" min="7" max="7" width="20.71"/>
    <col customWidth="1" min="8" max="9" width="17.0"/>
    <col customWidth="1" min="10" max="10" width="15.0"/>
    <col customWidth="1" min="11" max="11" width="16.29"/>
    <col customWidth="1" min="12" max="12" width="20.43"/>
    <col customWidth="1" min="13" max="20" width="8.71"/>
    <col customWidth="1" min="21" max="21" width="9.29"/>
    <col customWidth="1" hidden="1" min="22" max="50" width="9.29"/>
  </cols>
  <sheetData>
    <row r="1" ht="33.75" customHeight="1">
      <c r="A1" s="30"/>
      <c r="B1" s="30"/>
      <c r="C1" s="93"/>
      <c r="D1" s="30"/>
      <c r="E1" s="32"/>
      <c r="F1" s="32"/>
      <c r="G1" s="32"/>
      <c r="H1" s="32"/>
      <c r="I1" s="32"/>
      <c r="J1" s="32"/>
      <c r="K1" s="32"/>
      <c r="L1" s="32"/>
      <c r="M1" s="162"/>
      <c r="N1" s="32"/>
      <c r="O1" s="32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</row>
    <row r="2" ht="37.5" customHeight="1">
      <c r="A2" s="35"/>
      <c r="B2" s="30"/>
      <c r="C2" s="95"/>
      <c r="D2" s="37"/>
      <c r="E2" s="37"/>
      <c r="F2" s="37"/>
      <c r="G2" s="37"/>
      <c r="H2" s="37"/>
      <c r="I2" s="37"/>
      <c r="J2" s="37"/>
      <c r="K2" s="37"/>
      <c r="L2" s="37"/>
      <c r="M2" s="163"/>
      <c r="N2" s="163"/>
      <c r="O2" s="163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</row>
    <row r="3" ht="42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</row>
    <row r="4" ht="27.75" customHeight="1">
      <c r="A4" s="30"/>
      <c r="B4" s="30"/>
      <c r="C4" s="118" t="s">
        <v>141</v>
      </c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</row>
    <row r="5" ht="18.75" customHeight="1">
      <c r="A5" s="30"/>
      <c r="B5" s="30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83" t="s">
        <v>90</v>
      </c>
      <c r="W5" s="83" t="s">
        <v>91</v>
      </c>
      <c r="X5" s="83" t="s">
        <v>92</v>
      </c>
      <c r="Y5" s="83" t="s">
        <v>93</v>
      </c>
      <c r="Z5" s="83" t="s">
        <v>94</v>
      </c>
      <c r="AA5" s="83" t="s">
        <v>95</v>
      </c>
      <c r="AB5" s="83" t="s">
        <v>96</v>
      </c>
      <c r="AC5" s="83" t="s">
        <v>97</v>
      </c>
      <c r="AD5" s="83" t="s">
        <v>98</v>
      </c>
      <c r="AE5" s="83" t="s">
        <v>142</v>
      </c>
      <c r="AF5" s="83" t="s">
        <v>143</v>
      </c>
      <c r="AG5" s="83" t="s">
        <v>144</v>
      </c>
      <c r="AH5" s="83" t="s">
        <v>90</v>
      </c>
      <c r="AI5" s="83" t="s">
        <v>91</v>
      </c>
      <c r="AJ5" s="83" t="s">
        <v>92</v>
      </c>
      <c r="AK5" s="83" t="s">
        <v>93</v>
      </c>
      <c r="AL5" s="83" t="s">
        <v>94</v>
      </c>
      <c r="AM5" s="83" t="s">
        <v>95</v>
      </c>
      <c r="AN5" s="83" t="s">
        <v>96</v>
      </c>
      <c r="AO5" s="83" t="s">
        <v>97</v>
      </c>
      <c r="AP5" s="83" t="s">
        <v>98</v>
      </c>
      <c r="AQ5" s="83" t="s">
        <v>142</v>
      </c>
      <c r="AR5" s="83" t="s">
        <v>143</v>
      </c>
      <c r="AS5" s="83" t="s">
        <v>144</v>
      </c>
      <c r="AT5" s="83" t="s">
        <v>90</v>
      </c>
      <c r="AU5" s="83" t="s">
        <v>91</v>
      </c>
      <c r="AV5" s="83" t="s">
        <v>92</v>
      </c>
      <c r="AW5" s="83" t="s">
        <v>93</v>
      </c>
      <c r="AX5" s="83"/>
    </row>
    <row r="6" ht="30.0" customHeight="1">
      <c r="A6" s="30"/>
      <c r="B6" s="39"/>
      <c r="C6" s="70" t="s">
        <v>145</v>
      </c>
      <c r="D6" s="70" t="s">
        <v>146</v>
      </c>
      <c r="E6" s="70"/>
      <c r="F6" s="70" t="s">
        <v>147</v>
      </c>
      <c r="G6" s="70" t="s">
        <v>148</v>
      </c>
      <c r="H6" s="70" t="s">
        <v>149</v>
      </c>
      <c r="I6" s="70" t="s">
        <v>150</v>
      </c>
      <c r="J6" s="70" t="s">
        <v>151</v>
      </c>
      <c r="K6" s="70" t="s">
        <v>152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82">
        <v>1.0</v>
      </c>
      <c r="W6" s="82">
        <v>1.0</v>
      </c>
      <c r="X6" s="82">
        <v>1.0</v>
      </c>
      <c r="Y6" s="82">
        <v>1.0</v>
      </c>
      <c r="Z6" s="82">
        <v>2.0</v>
      </c>
      <c r="AA6" s="82">
        <v>2.0</v>
      </c>
      <c r="AB6" s="82">
        <v>2.0</v>
      </c>
      <c r="AC6" s="82">
        <v>2.0</v>
      </c>
      <c r="AD6" s="82">
        <v>2.0</v>
      </c>
      <c r="AE6" s="82">
        <v>2.0</v>
      </c>
      <c r="AF6" s="82">
        <v>2.0</v>
      </c>
      <c r="AG6" s="82">
        <v>2.0</v>
      </c>
      <c r="AH6" s="82">
        <v>2.0</v>
      </c>
      <c r="AI6" s="82">
        <v>2.0</v>
      </c>
      <c r="AJ6" s="82">
        <v>2.0</v>
      </c>
      <c r="AK6" s="82">
        <v>2.0</v>
      </c>
      <c r="AL6" s="82">
        <v>3.0</v>
      </c>
      <c r="AM6" s="82">
        <v>3.0</v>
      </c>
      <c r="AN6" s="82">
        <v>3.0</v>
      </c>
      <c r="AO6" s="82">
        <v>3.0</v>
      </c>
      <c r="AP6" s="82">
        <v>3.0</v>
      </c>
      <c r="AQ6" s="82">
        <v>3.0</v>
      </c>
      <c r="AR6" s="82">
        <v>3.0</v>
      </c>
      <c r="AS6" s="82">
        <v>3.0</v>
      </c>
      <c r="AT6" s="82">
        <v>3.0</v>
      </c>
      <c r="AU6" s="82">
        <v>3.0</v>
      </c>
      <c r="AV6" s="82">
        <v>3.0</v>
      </c>
      <c r="AW6" s="82">
        <v>3.0</v>
      </c>
      <c r="AX6" s="82"/>
    </row>
    <row r="7" ht="30.0" customHeight="1">
      <c r="A7" s="30"/>
      <c r="B7" s="30"/>
      <c r="C7" s="120" t="s">
        <v>153</v>
      </c>
      <c r="D7" s="71" t="s">
        <v>154</v>
      </c>
      <c r="E7" s="71" t="s">
        <v>105</v>
      </c>
      <c r="F7" s="71" t="s">
        <v>155</v>
      </c>
      <c r="G7" s="71" t="s">
        <v>156</v>
      </c>
      <c r="H7" s="47" t="s">
        <v>157</v>
      </c>
      <c r="I7" s="47" t="s">
        <v>158</v>
      </c>
      <c r="J7" s="47" t="s">
        <v>159</v>
      </c>
      <c r="K7" s="71" t="s">
        <v>160</v>
      </c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</row>
    <row r="8" ht="34.5" customHeight="1">
      <c r="A8" s="30"/>
      <c r="B8" s="30"/>
      <c r="C8" s="122"/>
      <c r="D8" s="165"/>
      <c r="E8" s="123" t="str">
        <f>IF(ISERROR(VLOOKUP(D8,'Matriz SWOT'!$J$5:$K$24,2,FALSE)),"",VLOOKUP(D8,'Matriz SWOT'!$J$5:$K$24,2,FALSE))</f>
        <v/>
      </c>
      <c r="F8" s="166"/>
      <c r="G8" s="124" t="str">
        <f t="shared" ref="G8:G107" si="1">IF(F8=0,"",VLOOKUP(F8,#REF!,2,FALSE))</f>
        <v/>
      </c>
      <c r="H8" s="167">
        <v>44571.0</v>
      </c>
      <c r="I8" s="168"/>
      <c r="J8" s="169"/>
      <c r="K8" s="123"/>
      <c r="L8" s="119"/>
      <c r="M8" s="83" t="str">
        <f t="shared" ref="M8:M57" si="2">#REF!</f>
        <v>#REF!</v>
      </c>
      <c r="N8" s="119"/>
      <c r="O8" s="83">
        <v>1.0</v>
      </c>
      <c r="P8" s="85" t="str">
        <f>VLOOKUP(LARGE('Matriz SWOT'!$I$5:$I$24,$O8),'Matriz SWOT'!$I$5:$J$24,2,FALSE)</f>
        <v/>
      </c>
      <c r="Q8" s="119"/>
      <c r="R8" s="170"/>
      <c r="S8" s="170"/>
      <c r="T8" s="119"/>
      <c r="U8" s="119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</row>
    <row r="9" ht="34.5" customHeight="1">
      <c r="A9" s="30"/>
      <c r="B9" s="30"/>
      <c r="C9" s="125"/>
      <c r="D9" s="165"/>
      <c r="E9" s="123" t="str">
        <f>IF(ISERROR(VLOOKUP(D9,'Matriz SWOT'!$J$5:$K$24,2,FALSE)),"",VLOOKUP(D9,'Matriz SWOT'!$J$5:$K$24,2,FALSE))</f>
        <v/>
      </c>
      <c r="F9" s="166"/>
      <c r="G9" s="124" t="str">
        <f t="shared" si="1"/>
        <v/>
      </c>
      <c r="H9" s="167"/>
      <c r="I9" s="168"/>
      <c r="J9" s="169"/>
      <c r="K9" s="123"/>
      <c r="L9" s="119"/>
      <c r="M9" s="83" t="str">
        <f t="shared" si="2"/>
        <v>#REF!</v>
      </c>
      <c r="N9" s="119"/>
      <c r="O9" s="83">
        <v>2.0</v>
      </c>
      <c r="P9" s="85" t="str">
        <f>VLOOKUP(LARGE('Matriz SWOT'!$I$5:$I$24,$O9),'Matriz SWOT'!$I$5:$J$24,2,FALSE)</f>
        <v/>
      </c>
      <c r="Q9" s="119"/>
      <c r="R9" s="119"/>
      <c r="S9" s="119"/>
      <c r="T9" s="119"/>
      <c r="U9" s="119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</row>
    <row r="10" ht="34.5" customHeight="1">
      <c r="A10" s="30"/>
      <c r="B10" s="30"/>
      <c r="C10" s="125"/>
      <c r="D10" s="171"/>
      <c r="E10" s="123" t="str">
        <f>IF(ISERROR(VLOOKUP(D10,'Matriz SWOT'!$J$5:$K$24,2,FALSE)),"",VLOOKUP(D10,'Matriz SWOT'!$J$5:$K$24,2,FALSE))</f>
        <v/>
      </c>
      <c r="F10" s="166"/>
      <c r="G10" s="124" t="str">
        <f t="shared" si="1"/>
        <v/>
      </c>
      <c r="H10" s="167"/>
      <c r="I10" s="168"/>
      <c r="J10" s="169"/>
      <c r="K10" s="123"/>
      <c r="L10" s="119"/>
      <c r="M10" s="83" t="str">
        <f t="shared" si="2"/>
        <v>#REF!</v>
      </c>
      <c r="N10" s="119"/>
      <c r="O10" s="83">
        <v>3.0</v>
      </c>
      <c r="P10" s="85" t="str">
        <f>VLOOKUP(LARGE('Matriz SWOT'!$I$5:$I$24,$O10),'Matriz SWOT'!$I$5:$J$24,2,FALSE)</f>
        <v/>
      </c>
      <c r="Q10" s="119"/>
      <c r="R10" s="119"/>
      <c r="S10" s="119"/>
      <c r="T10" s="119"/>
      <c r="U10" s="119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</row>
    <row r="11" ht="34.5" customHeight="1">
      <c r="A11" s="30"/>
      <c r="B11" s="30"/>
      <c r="C11" s="125"/>
      <c r="D11" s="171"/>
      <c r="E11" s="123" t="str">
        <f>IF(ISERROR(VLOOKUP(D11,'Matriz SWOT'!$J$5:$K$24,2,FALSE)),"",VLOOKUP(D11,'Matriz SWOT'!$J$5:$K$24,2,FALSE))</f>
        <v/>
      </c>
      <c r="F11" s="166"/>
      <c r="G11" s="124" t="str">
        <f t="shared" si="1"/>
        <v/>
      </c>
      <c r="H11" s="167"/>
      <c r="I11" s="168"/>
      <c r="J11" s="169"/>
      <c r="K11" s="123"/>
      <c r="L11" s="119"/>
      <c r="M11" s="83" t="str">
        <f t="shared" si="2"/>
        <v>#REF!</v>
      </c>
      <c r="N11" s="119"/>
      <c r="O11" s="83">
        <v>4.0</v>
      </c>
      <c r="P11" s="85" t="str">
        <f>VLOOKUP(LARGE('Matriz SWOT'!$I$5:$I$24,$O11),'Matriz SWOT'!$I$5:$J$24,2,FALSE)</f>
        <v/>
      </c>
      <c r="Q11" s="119"/>
      <c r="R11" s="119"/>
      <c r="S11" s="119"/>
      <c r="T11" s="119"/>
      <c r="U11" s="119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ht="34.5" customHeight="1">
      <c r="A12" s="30"/>
      <c r="B12" s="30"/>
      <c r="C12" s="125"/>
      <c r="D12" s="171"/>
      <c r="E12" s="123" t="str">
        <f>IF(ISERROR(VLOOKUP(D12,'Matriz SWOT'!$J$5:$K$24,2,FALSE)),"",VLOOKUP(D12,'Matriz SWOT'!$J$5:$K$24,2,FALSE))</f>
        <v/>
      </c>
      <c r="F12" s="166"/>
      <c r="G12" s="124" t="str">
        <f t="shared" si="1"/>
        <v/>
      </c>
      <c r="H12" s="167"/>
      <c r="I12" s="168"/>
      <c r="J12" s="169"/>
      <c r="K12" s="123"/>
      <c r="L12" s="119"/>
      <c r="M12" s="83" t="str">
        <f t="shared" si="2"/>
        <v>#REF!</v>
      </c>
      <c r="N12" s="119"/>
      <c r="O12" s="83">
        <v>5.0</v>
      </c>
      <c r="P12" s="85" t="str">
        <f>VLOOKUP(LARGE('Matriz SWOT'!$I$5:$I$24,$O12),'Matriz SWOT'!$I$5:$J$24,2,FALSE)</f>
        <v/>
      </c>
      <c r="Q12" s="119"/>
      <c r="R12" s="119"/>
      <c r="S12" s="119"/>
      <c r="T12" s="119"/>
      <c r="U12" s="119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ht="34.5" customHeight="1">
      <c r="A13" s="30"/>
      <c r="B13" s="30"/>
      <c r="C13" s="125"/>
      <c r="D13" s="171"/>
      <c r="E13" s="123" t="str">
        <f>IF(ISERROR(VLOOKUP(D13,'Matriz SWOT'!$J$5:$K$24,2,FALSE)),"",VLOOKUP(D13,'Matriz SWOT'!$J$5:$K$24,2,FALSE))</f>
        <v/>
      </c>
      <c r="F13" s="166"/>
      <c r="G13" s="124" t="str">
        <f t="shared" si="1"/>
        <v/>
      </c>
      <c r="H13" s="167"/>
      <c r="I13" s="168"/>
      <c r="J13" s="169"/>
      <c r="K13" s="123"/>
      <c r="L13" s="119"/>
      <c r="M13" s="83" t="str">
        <f t="shared" si="2"/>
        <v>#REF!</v>
      </c>
      <c r="N13" s="119"/>
      <c r="O13" s="83">
        <v>6.0</v>
      </c>
      <c r="P13" s="85" t="str">
        <f>VLOOKUP(LARGE('Matriz SWOT'!$I$5:$I$24,$O13),'Matriz SWOT'!$I$5:$J$24,2,FALSE)</f>
        <v/>
      </c>
      <c r="Q13" s="119"/>
      <c r="R13" s="119"/>
      <c r="S13" s="119"/>
      <c r="T13" s="119"/>
      <c r="U13" s="119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ht="34.5" customHeight="1">
      <c r="A14" s="60"/>
      <c r="B14" s="30"/>
      <c r="C14" s="125"/>
      <c r="D14" s="171"/>
      <c r="E14" s="123" t="str">
        <f>IF(ISERROR(VLOOKUP(D14,'Matriz SWOT'!$J$5:$K$24,2,FALSE)),"",VLOOKUP(D14,'Matriz SWOT'!$J$5:$K$24,2,FALSE))</f>
        <v/>
      </c>
      <c r="F14" s="166"/>
      <c r="G14" s="124" t="str">
        <f t="shared" si="1"/>
        <v/>
      </c>
      <c r="H14" s="167"/>
      <c r="I14" s="168"/>
      <c r="J14" s="169"/>
      <c r="K14" s="123"/>
      <c r="L14" s="119"/>
      <c r="M14" s="83" t="str">
        <f t="shared" si="2"/>
        <v>#REF!</v>
      </c>
      <c r="N14" s="119"/>
      <c r="O14" s="83">
        <v>7.0</v>
      </c>
      <c r="P14" s="85" t="str">
        <f>VLOOKUP(LARGE('Matriz SWOT'!$I$5:$I$24,$O14),'Matriz SWOT'!$I$5:$J$24,2,FALSE)</f>
        <v/>
      </c>
      <c r="Q14" s="119"/>
      <c r="R14" s="119"/>
      <c r="S14" s="119"/>
      <c r="T14" s="119"/>
      <c r="U14" s="119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</row>
    <row r="15" ht="34.5" customHeight="1">
      <c r="A15" s="60"/>
      <c r="B15" s="30"/>
      <c r="C15" s="125"/>
      <c r="D15" s="171"/>
      <c r="E15" s="123" t="str">
        <f>IF(ISERROR(VLOOKUP(D15,'Matriz SWOT'!$J$5:$K$24,2,FALSE)),"",VLOOKUP(D15,'Matriz SWOT'!$J$5:$K$24,2,FALSE))</f>
        <v/>
      </c>
      <c r="F15" s="166"/>
      <c r="G15" s="124" t="str">
        <f t="shared" si="1"/>
        <v/>
      </c>
      <c r="H15" s="167"/>
      <c r="I15" s="168"/>
      <c r="J15" s="169"/>
      <c r="K15" s="123"/>
      <c r="L15" s="119"/>
      <c r="M15" s="83" t="str">
        <f t="shared" si="2"/>
        <v>#REF!</v>
      </c>
      <c r="N15" s="119"/>
      <c r="O15" s="83">
        <v>8.0</v>
      </c>
      <c r="P15" s="85" t="str">
        <f>VLOOKUP(LARGE('Matriz SWOT'!$I$5:$I$24,$O15),'Matriz SWOT'!$I$5:$J$24,2,FALSE)</f>
        <v/>
      </c>
      <c r="Q15" s="119"/>
      <c r="R15" s="119"/>
      <c r="S15" s="119"/>
      <c r="T15" s="119"/>
      <c r="U15" s="119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</row>
    <row r="16" ht="34.5" customHeight="1">
      <c r="A16" s="30"/>
      <c r="B16" s="30"/>
      <c r="C16" s="125"/>
      <c r="D16" s="171"/>
      <c r="E16" s="123" t="str">
        <f>IF(ISERROR(VLOOKUP(D16,'Matriz SWOT'!$J$5:$K$24,2,FALSE)),"",VLOOKUP(D16,'Matriz SWOT'!$J$5:$K$24,2,FALSE))</f>
        <v/>
      </c>
      <c r="F16" s="166"/>
      <c r="G16" s="124" t="str">
        <f t="shared" si="1"/>
        <v/>
      </c>
      <c r="H16" s="167"/>
      <c r="I16" s="168"/>
      <c r="J16" s="169"/>
      <c r="K16" s="123"/>
      <c r="L16" s="119"/>
      <c r="M16" s="83" t="str">
        <f t="shared" si="2"/>
        <v>#REF!</v>
      </c>
      <c r="N16" s="119"/>
      <c r="O16" s="83">
        <v>9.0</v>
      </c>
      <c r="P16" s="85" t="str">
        <f>VLOOKUP(LARGE('Matriz SWOT'!$I$5:$I$24,$O16),'Matriz SWOT'!$I$5:$J$24,2,FALSE)</f>
        <v/>
      </c>
      <c r="Q16" s="119"/>
      <c r="R16" s="119"/>
      <c r="S16" s="119"/>
      <c r="T16" s="119"/>
      <c r="U16" s="119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</row>
    <row r="17" ht="34.5" customHeight="1">
      <c r="A17" s="30"/>
      <c r="B17" s="30"/>
      <c r="C17" s="125"/>
      <c r="D17" s="171"/>
      <c r="E17" s="123" t="str">
        <f>IF(ISERROR(VLOOKUP(D17,'Matriz SWOT'!$J$5:$K$24,2,FALSE)),"",VLOOKUP(D17,'Matriz SWOT'!$J$5:$K$24,2,FALSE))</f>
        <v/>
      </c>
      <c r="F17" s="166"/>
      <c r="G17" s="124" t="str">
        <f t="shared" si="1"/>
        <v/>
      </c>
      <c r="H17" s="167"/>
      <c r="I17" s="168"/>
      <c r="J17" s="169"/>
      <c r="K17" s="123"/>
      <c r="L17" s="119"/>
      <c r="M17" s="83" t="str">
        <f t="shared" si="2"/>
        <v>#REF!</v>
      </c>
      <c r="N17" s="119"/>
      <c r="O17" s="83">
        <v>10.0</v>
      </c>
      <c r="P17" s="85" t="str">
        <f>VLOOKUP(LARGE('Matriz SWOT'!$I$5:$I$24,$O17),'Matriz SWOT'!$I$5:$J$24,2,FALSE)</f>
        <v/>
      </c>
      <c r="Q17" s="119"/>
      <c r="R17" s="119"/>
      <c r="S17" s="119"/>
      <c r="T17" s="119"/>
      <c r="U17" s="119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</row>
    <row r="18" ht="34.5" customHeight="1">
      <c r="A18" s="30"/>
      <c r="B18" s="30"/>
      <c r="C18" s="125"/>
      <c r="D18" s="171"/>
      <c r="E18" s="123" t="str">
        <f>IF(ISERROR(VLOOKUP(D18,'Matriz SWOT'!$J$5:$K$24,2,FALSE)),"",VLOOKUP(D18,'Matriz SWOT'!$J$5:$K$24,2,FALSE))</f>
        <v/>
      </c>
      <c r="F18" s="166"/>
      <c r="G18" s="124" t="str">
        <f t="shared" si="1"/>
        <v/>
      </c>
      <c r="H18" s="167"/>
      <c r="I18" s="168"/>
      <c r="J18" s="169"/>
      <c r="K18" s="123"/>
      <c r="L18" s="119"/>
      <c r="M18" s="83" t="str">
        <f t="shared" si="2"/>
        <v>#REF!</v>
      </c>
      <c r="N18" s="119"/>
      <c r="O18" s="83">
        <v>11.0</v>
      </c>
      <c r="P18" s="85" t="str">
        <f>VLOOKUP(LARGE('Matriz SWOT'!$I$5:$I$24,$O18),'Matriz SWOT'!$I$5:$J$24,2,FALSE)</f>
        <v/>
      </c>
      <c r="Q18" s="119"/>
      <c r="R18" s="119"/>
      <c r="S18" s="119"/>
      <c r="T18" s="119"/>
      <c r="U18" s="119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</row>
    <row r="19" ht="34.5" customHeight="1">
      <c r="A19" s="30"/>
      <c r="B19" s="30"/>
      <c r="C19" s="125"/>
      <c r="D19" s="171"/>
      <c r="E19" s="123" t="str">
        <f>IF(ISERROR(VLOOKUP(D19,'Matriz SWOT'!$J$5:$K$24,2,FALSE)),"",VLOOKUP(D19,'Matriz SWOT'!$J$5:$K$24,2,FALSE))</f>
        <v/>
      </c>
      <c r="F19" s="166"/>
      <c r="G19" s="124" t="str">
        <f t="shared" si="1"/>
        <v/>
      </c>
      <c r="H19" s="167"/>
      <c r="I19" s="168"/>
      <c r="J19" s="169"/>
      <c r="K19" s="123"/>
      <c r="L19" s="119"/>
      <c r="M19" s="83" t="str">
        <f t="shared" si="2"/>
        <v>#REF!</v>
      </c>
      <c r="N19" s="119"/>
      <c r="O19" s="83">
        <v>12.0</v>
      </c>
      <c r="P19" s="85" t="str">
        <f>VLOOKUP(LARGE('Matriz SWOT'!$I$5:$I$24,$O19),'Matriz SWOT'!$I$5:$J$24,2,FALSE)</f>
        <v/>
      </c>
      <c r="Q19" s="119"/>
      <c r="R19" s="119"/>
      <c r="S19" s="119"/>
      <c r="T19" s="119"/>
      <c r="U19" s="119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</row>
    <row r="20" ht="34.5" customHeight="1">
      <c r="A20" s="30"/>
      <c r="B20" s="30"/>
      <c r="C20" s="125"/>
      <c r="D20" s="171"/>
      <c r="E20" s="123" t="str">
        <f>IF(ISERROR(VLOOKUP(D20,'Matriz SWOT'!$J$5:$K$24,2,FALSE)),"",VLOOKUP(D20,'Matriz SWOT'!$J$5:$K$24,2,FALSE))</f>
        <v/>
      </c>
      <c r="F20" s="166"/>
      <c r="G20" s="124" t="str">
        <f t="shared" si="1"/>
        <v/>
      </c>
      <c r="H20" s="167"/>
      <c r="I20" s="168"/>
      <c r="J20" s="169"/>
      <c r="K20" s="123"/>
      <c r="L20" s="119"/>
      <c r="M20" s="83" t="str">
        <f t="shared" si="2"/>
        <v>#REF!</v>
      </c>
      <c r="N20" s="119"/>
      <c r="O20" s="83">
        <v>13.0</v>
      </c>
      <c r="P20" s="85" t="str">
        <f>VLOOKUP(LARGE('Matriz SWOT'!$I$5:$I$24,$O20),'Matriz SWOT'!$I$5:$J$24,2,FALSE)</f>
        <v/>
      </c>
      <c r="Q20" s="119"/>
      <c r="R20" s="119"/>
      <c r="S20" s="119"/>
      <c r="T20" s="119"/>
      <c r="U20" s="119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</row>
    <row r="21" ht="34.5" customHeight="1">
      <c r="A21" s="30"/>
      <c r="B21" s="30"/>
      <c r="C21" s="125"/>
      <c r="D21" s="171"/>
      <c r="E21" s="123" t="str">
        <f>IF(ISERROR(VLOOKUP(D21,'Matriz SWOT'!$J$5:$K$24,2,FALSE)),"",VLOOKUP(D21,'Matriz SWOT'!$J$5:$K$24,2,FALSE))</f>
        <v/>
      </c>
      <c r="F21" s="166"/>
      <c r="G21" s="124" t="str">
        <f t="shared" si="1"/>
        <v/>
      </c>
      <c r="H21" s="167"/>
      <c r="I21" s="168"/>
      <c r="J21" s="169"/>
      <c r="K21" s="123"/>
      <c r="L21" s="119"/>
      <c r="M21" s="83" t="str">
        <f t="shared" si="2"/>
        <v>#REF!</v>
      </c>
      <c r="N21" s="119"/>
      <c r="O21" s="83">
        <v>14.0</v>
      </c>
      <c r="P21" s="85" t="str">
        <f>VLOOKUP(LARGE('Matriz SWOT'!$I$5:$I$24,$O21),'Matriz SWOT'!$I$5:$J$24,2,FALSE)</f>
        <v/>
      </c>
      <c r="Q21" s="119"/>
      <c r="R21" s="119"/>
      <c r="S21" s="119"/>
      <c r="T21" s="119"/>
      <c r="U21" s="119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</row>
    <row r="22" ht="34.5" customHeight="1">
      <c r="A22" s="30"/>
      <c r="B22" s="30"/>
      <c r="C22" s="125"/>
      <c r="D22" s="171"/>
      <c r="E22" s="123" t="str">
        <f>IF(ISERROR(VLOOKUP(D22,'Matriz SWOT'!$J$5:$K$24,2,FALSE)),"",VLOOKUP(D22,'Matriz SWOT'!$J$5:$K$24,2,FALSE))</f>
        <v/>
      </c>
      <c r="F22" s="166"/>
      <c r="G22" s="124" t="str">
        <f t="shared" si="1"/>
        <v/>
      </c>
      <c r="H22" s="167"/>
      <c r="I22" s="168"/>
      <c r="J22" s="169"/>
      <c r="K22" s="123"/>
      <c r="L22" s="119"/>
      <c r="M22" s="83" t="str">
        <f t="shared" si="2"/>
        <v>#REF!</v>
      </c>
      <c r="N22" s="119"/>
      <c r="O22" s="83">
        <v>15.0</v>
      </c>
      <c r="P22" s="85" t="str">
        <f>VLOOKUP(LARGE('Matriz SWOT'!$I$5:$I$24,$O22),'Matriz SWOT'!$I$5:$J$24,2,FALSE)</f>
        <v/>
      </c>
      <c r="Q22" s="119"/>
      <c r="R22" s="119"/>
      <c r="S22" s="119"/>
      <c r="T22" s="119"/>
      <c r="U22" s="119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</row>
    <row r="23" ht="34.5" customHeight="1">
      <c r="A23" s="60"/>
      <c r="B23" s="30"/>
      <c r="C23" s="125"/>
      <c r="D23" s="171"/>
      <c r="E23" s="123" t="str">
        <f>IF(ISERROR(VLOOKUP(D23,'Matriz SWOT'!$J$5:$K$24,2,FALSE)),"",VLOOKUP(D23,'Matriz SWOT'!$J$5:$K$24,2,FALSE))</f>
        <v/>
      </c>
      <c r="F23" s="166"/>
      <c r="G23" s="124" t="str">
        <f t="shared" si="1"/>
        <v/>
      </c>
      <c r="H23" s="167"/>
      <c r="I23" s="168"/>
      <c r="J23" s="169"/>
      <c r="K23" s="123"/>
      <c r="L23" s="119"/>
      <c r="M23" s="83" t="str">
        <f t="shared" si="2"/>
        <v>#REF!</v>
      </c>
      <c r="N23" s="119"/>
      <c r="O23" s="83">
        <v>16.0</v>
      </c>
      <c r="P23" s="85" t="str">
        <f>VLOOKUP(LARGE('Matriz SWOT'!$I$5:$I$24,$O23),'Matriz SWOT'!$I$5:$J$24,2,FALSE)</f>
        <v/>
      </c>
      <c r="Q23" s="119"/>
      <c r="R23" s="119"/>
      <c r="S23" s="119"/>
      <c r="T23" s="119"/>
      <c r="U23" s="119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</row>
    <row r="24" ht="34.5" customHeight="1">
      <c r="A24" s="60"/>
      <c r="B24" s="30"/>
      <c r="C24" s="125"/>
      <c r="D24" s="171"/>
      <c r="E24" s="123" t="str">
        <f>IF(ISERROR(VLOOKUP(D24,'Matriz SWOT'!$J$5:$K$24,2,FALSE)),"",VLOOKUP(D24,'Matriz SWOT'!$J$5:$K$24,2,FALSE))</f>
        <v/>
      </c>
      <c r="F24" s="166"/>
      <c r="G24" s="124" t="str">
        <f t="shared" si="1"/>
        <v/>
      </c>
      <c r="H24" s="167"/>
      <c r="I24" s="168"/>
      <c r="J24" s="169"/>
      <c r="K24" s="123"/>
      <c r="L24" s="119"/>
      <c r="M24" s="83" t="str">
        <f t="shared" si="2"/>
        <v>#REF!</v>
      </c>
      <c r="N24" s="119"/>
      <c r="O24" s="83">
        <v>17.0</v>
      </c>
      <c r="P24" s="85" t="str">
        <f>VLOOKUP(LARGE('Matriz SWOT'!$I$5:$I$24,$O24),'Matriz SWOT'!$I$5:$J$24,2,FALSE)</f>
        <v/>
      </c>
      <c r="Q24" s="119"/>
      <c r="R24" s="119"/>
      <c r="S24" s="119"/>
      <c r="T24" s="119"/>
      <c r="U24" s="119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</row>
    <row r="25" ht="34.5" customHeight="1">
      <c r="A25" s="30"/>
      <c r="B25" s="30"/>
      <c r="C25" s="125"/>
      <c r="D25" s="171"/>
      <c r="E25" s="123" t="str">
        <f>IF(ISERROR(VLOOKUP(D25,'Matriz SWOT'!$J$5:$K$24,2,FALSE)),"",VLOOKUP(D25,'Matriz SWOT'!$J$5:$K$24,2,FALSE))</f>
        <v/>
      </c>
      <c r="F25" s="166"/>
      <c r="G25" s="124" t="str">
        <f t="shared" si="1"/>
        <v/>
      </c>
      <c r="H25" s="167"/>
      <c r="I25" s="168"/>
      <c r="J25" s="169"/>
      <c r="K25" s="123"/>
      <c r="L25" s="119"/>
      <c r="M25" s="83" t="str">
        <f t="shared" si="2"/>
        <v>#REF!</v>
      </c>
      <c r="N25" s="119"/>
      <c r="O25" s="83">
        <v>18.0</v>
      </c>
      <c r="P25" s="85" t="str">
        <f>VLOOKUP(LARGE('Matriz SWOT'!$I$5:$I$24,$O25),'Matriz SWOT'!$I$5:$J$24,2,FALSE)</f>
        <v/>
      </c>
      <c r="Q25" s="119"/>
      <c r="R25" s="119"/>
      <c r="S25" s="119"/>
      <c r="T25" s="119"/>
      <c r="U25" s="119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</row>
    <row r="26" ht="34.5" customHeight="1">
      <c r="A26" s="30"/>
      <c r="B26" s="30"/>
      <c r="C26" s="125"/>
      <c r="D26" s="171"/>
      <c r="E26" s="123" t="str">
        <f>IF(ISERROR(VLOOKUP(D26,'Matriz SWOT'!$J$5:$K$24,2,FALSE)),"",VLOOKUP(D26,'Matriz SWOT'!$J$5:$K$24,2,FALSE))</f>
        <v/>
      </c>
      <c r="F26" s="166"/>
      <c r="G26" s="124" t="str">
        <f t="shared" si="1"/>
        <v/>
      </c>
      <c r="H26" s="167"/>
      <c r="I26" s="168"/>
      <c r="J26" s="169"/>
      <c r="K26" s="123"/>
      <c r="L26" s="119"/>
      <c r="M26" s="83" t="str">
        <f t="shared" si="2"/>
        <v>#REF!</v>
      </c>
      <c r="N26" s="119"/>
      <c r="O26" s="83">
        <v>19.0</v>
      </c>
      <c r="P26" s="85" t="str">
        <f>VLOOKUP(LARGE('Matriz SWOT'!$I$5:$I$24,$O26),'Matriz SWOT'!$I$5:$J$24,2,FALSE)</f>
        <v/>
      </c>
      <c r="Q26" s="119"/>
      <c r="R26" s="119"/>
      <c r="S26" s="119"/>
      <c r="T26" s="119"/>
      <c r="U26" s="119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</row>
    <row r="27" ht="34.5" customHeight="1">
      <c r="A27" s="30"/>
      <c r="B27" s="30"/>
      <c r="C27" s="125"/>
      <c r="D27" s="171"/>
      <c r="E27" s="123" t="str">
        <f>IF(ISERROR(VLOOKUP(D27,'Matriz SWOT'!$J$5:$K$24,2,FALSE)),"",VLOOKUP(D27,'Matriz SWOT'!$J$5:$K$24,2,FALSE))</f>
        <v/>
      </c>
      <c r="F27" s="166"/>
      <c r="G27" s="124" t="str">
        <f t="shared" si="1"/>
        <v/>
      </c>
      <c r="H27" s="167"/>
      <c r="I27" s="168"/>
      <c r="J27" s="169"/>
      <c r="K27" s="123"/>
      <c r="L27" s="119"/>
      <c r="M27" s="83" t="str">
        <f t="shared" si="2"/>
        <v>#REF!</v>
      </c>
      <c r="N27" s="119"/>
      <c r="O27" s="83">
        <v>20.0</v>
      </c>
      <c r="P27" s="85" t="str">
        <f>VLOOKUP(LARGE('Matriz SWOT'!$I$5:$I$24,$O27),'Matriz SWOT'!$I$5:$J$24,2,FALSE)</f>
        <v/>
      </c>
      <c r="Q27" s="119"/>
      <c r="R27" s="119"/>
      <c r="S27" s="119"/>
      <c r="T27" s="119"/>
      <c r="U27" s="119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</row>
    <row r="28" ht="34.5" customHeight="1">
      <c r="A28" s="30"/>
      <c r="B28" s="30"/>
      <c r="C28" s="125"/>
      <c r="D28" s="171"/>
      <c r="E28" s="123" t="str">
        <f>IF(ISERROR(VLOOKUP(D28,'Matriz SWOT'!$J$5:$K$24,2,FALSE)),"",VLOOKUP(D28,'Matriz SWOT'!$J$5:$K$24,2,FALSE))</f>
        <v/>
      </c>
      <c r="F28" s="166"/>
      <c r="G28" s="124" t="str">
        <f t="shared" si="1"/>
        <v/>
      </c>
      <c r="H28" s="167"/>
      <c r="I28" s="168"/>
      <c r="J28" s="169"/>
      <c r="K28" s="123"/>
      <c r="L28" s="119"/>
      <c r="M28" s="83" t="str">
        <f t="shared" si="2"/>
        <v>#REF!</v>
      </c>
      <c r="N28" s="119"/>
      <c r="O28" s="119"/>
      <c r="P28" s="170"/>
      <c r="Q28" s="119"/>
      <c r="R28" s="119"/>
      <c r="S28" s="119"/>
      <c r="T28" s="119"/>
      <c r="U28" s="119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</row>
    <row r="29" ht="34.5" customHeight="1">
      <c r="A29" s="30"/>
      <c r="B29" s="30"/>
      <c r="C29" s="125"/>
      <c r="D29" s="171"/>
      <c r="E29" s="123" t="str">
        <f>IF(ISERROR(VLOOKUP(D29,'Matriz SWOT'!$J$5:$K$24,2,FALSE)),"",VLOOKUP(D29,'Matriz SWOT'!$J$5:$K$24,2,FALSE))</f>
        <v/>
      </c>
      <c r="F29" s="166"/>
      <c r="G29" s="124" t="str">
        <f t="shared" si="1"/>
        <v/>
      </c>
      <c r="H29" s="167"/>
      <c r="I29" s="168"/>
      <c r="J29" s="169"/>
      <c r="K29" s="123"/>
      <c r="L29" s="119"/>
      <c r="M29" s="83" t="str">
        <f t="shared" si="2"/>
        <v>#REF!</v>
      </c>
      <c r="N29" s="119"/>
      <c r="O29" s="119"/>
      <c r="P29" s="170"/>
      <c r="Q29" s="119"/>
      <c r="R29" s="119"/>
      <c r="S29" s="119"/>
      <c r="T29" s="119"/>
      <c r="U29" s="119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</row>
    <row r="30" ht="34.5" customHeight="1">
      <c r="A30" s="30"/>
      <c r="B30" s="30"/>
      <c r="C30" s="125"/>
      <c r="D30" s="171"/>
      <c r="E30" s="123" t="str">
        <f>IF(ISERROR(VLOOKUP(D30,'Matriz SWOT'!$J$5:$K$24,2,FALSE)),"",VLOOKUP(D30,'Matriz SWOT'!$J$5:$K$24,2,FALSE))</f>
        <v/>
      </c>
      <c r="F30" s="166"/>
      <c r="G30" s="124" t="str">
        <f t="shared" si="1"/>
        <v/>
      </c>
      <c r="H30" s="167"/>
      <c r="I30" s="168"/>
      <c r="J30" s="169"/>
      <c r="K30" s="123"/>
      <c r="L30" s="119"/>
      <c r="M30" s="83" t="str">
        <f t="shared" si="2"/>
        <v>#REF!</v>
      </c>
      <c r="N30" s="119"/>
      <c r="O30" s="119"/>
      <c r="P30" s="170"/>
      <c r="Q30" s="119"/>
      <c r="R30" s="119"/>
      <c r="S30" s="119"/>
      <c r="T30" s="119"/>
      <c r="U30" s="119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</row>
    <row r="31" ht="34.5" customHeight="1">
      <c r="A31" s="30"/>
      <c r="B31" s="30"/>
      <c r="C31" s="125"/>
      <c r="D31" s="171"/>
      <c r="E31" s="123" t="str">
        <f>IF(ISERROR(VLOOKUP(D31,'Matriz SWOT'!$J$5:$K$24,2,FALSE)),"",VLOOKUP(D31,'Matriz SWOT'!$J$5:$K$24,2,FALSE))</f>
        <v/>
      </c>
      <c r="F31" s="166"/>
      <c r="G31" s="124" t="str">
        <f t="shared" si="1"/>
        <v/>
      </c>
      <c r="H31" s="167"/>
      <c r="I31" s="168"/>
      <c r="J31" s="169"/>
      <c r="K31" s="123"/>
      <c r="L31" s="119"/>
      <c r="M31" s="83" t="str">
        <f t="shared" si="2"/>
        <v>#REF!</v>
      </c>
      <c r="N31" s="119"/>
      <c r="O31" s="119"/>
      <c r="P31" s="170"/>
      <c r="Q31" s="119"/>
      <c r="R31" s="119"/>
      <c r="S31" s="119"/>
      <c r="T31" s="119"/>
      <c r="U31" s="119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</row>
    <row r="32" ht="34.5" customHeight="1">
      <c r="A32" s="30"/>
      <c r="B32" s="30"/>
      <c r="C32" s="125"/>
      <c r="D32" s="171"/>
      <c r="E32" s="123" t="str">
        <f>IF(ISERROR(VLOOKUP(D32,'Matriz SWOT'!$J$5:$K$24,2,FALSE)),"",VLOOKUP(D32,'Matriz SWOT'!$J$5:$K$24,2,FALSE))</f>
        <v/>
      </c>
      <c r="F32" s="166"/>
      <c r="G32" s="124" t="str">
        <f t="shared" si="1"/>
        <v/>
      </c>
      <c r="H32" s="167"/>
      <c r="I32" s="168"/>
      <c r="J32" s="169"/>
      <c r="K32" s="123"/>
      <c r="L32" s="119"/>
      <c r="M32" s="83" t="str">
        <f t="shared" si="2"/>
        <v>#REF!</v>
      </c>
      <c r="N32" s="119"/>
      <c r="O32" s="119"/>
      <c r="P32" s="170"/>
      <c r="Q32" s="119"/>
      <c r="R32" s="119"/>
      <c r="S32" s="119"/>
      <c r="T32" s="119"/>
      <c r="U32" s="119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</row>
    <row r="33" ht="34.5" customHeight="1">
      <c r="A33" s="30"/>
      <c r="B33" s="30"/>
      <c r="C33" s="125"/>
      <c r="D33" s="171"/>
      <c r="E33" s="123" t="str">
        <f>IF(ISERROR(VLOOKUP(D33,'Matriz SWOT'!$J$5:$K$24,2,FALSE)),"",VLOOKUP(D33,'Matriz SWOT'!$J$5:$K$24,2,FALSE))</f>
        <v/>
      </c>
      <c r="F33" s="166"/>
      <c r="G33" s="124" t="str">
        <f t="shared" si="1"/>
        <v/>
      </c>
      <c r="H33" s="167"/>
      <c r="I33" s="168"/>
      <c r="J33" s="169"/>
      <c r="K33" s="123"/>
      <c r="L33" s="119"/>
      <c r="M33" s="83" t="str">
        <f t="shared" si="2"/>
        <v>#REF!</v>
      </c>
      <c r="N33" s="119"/>
      <c r="O33" s="119"/>
      <c r="P33" s="170"/>
      <c r="Q33" s="119"/>
      <c r="R33" s="119"/>
      <c r="S33" s="119"/>
      <c r="T33" s="119"/>
      <c r="U33" s="119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</row>
    <row r="34" ht="34.5" customHeight="1">
      <c r="A34" s="30"/>
      <c r="B34" s="30"/>
      <c r="C34" s="125"/>
      <c r="D34" s="171"/>
      <c r="E34" s="123" t="str">
        <f>IF(ISERROR(VLOOKUP(D34,'Matriz SWOT'!$J$5:$K$24,2,FALSE)),"",VLOOKUP(D34,'Matriz SWOT'!$J$5:$K$24,2,FALSE))</f>
        <v/>
      </c>
      <c r="F34" s="166"/>
      <c r="G34" s="124" t="str">
        <f t="shared" si="1"/>
        <v/>
      </c>
      <c r="H34" s="167"/>
      <c r="I34" s="168"/>
      <c r="J34" s="169"/>
      <c r="K34" s="123"/>
      <c r="L34" s="119"/>
      <c r="M34" s="83" t="str">
        <f t="shared" si="2"/>
        <v>#REF!</v>
      </c>
      <c r="N34" s="119"/>
      <c r="O34" s="119"/>
      <c r="P34" s="170"/>
      <c r="Q34" s="119"/>
      <c r="R34" s="119"/>
      <c r="S34" s="119"/>
      <c r="T34" s="119"/>
      <c r="U34" s="119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</row>
    <row r="35" ht="34.5" customHeight="1">
      <c r="A35" s="30"/>
      <c r="B35" s="30"/>
      <c r="C35" s="125"/>
      <c r="D35" s="171"/>
      <c r="E35" s="123" t="str">
        <f>IF(ISERROR(VLOOKUP(D35,'Matriz SWOT'!$J$5:$K$24,2,FALSE)),"",VLOOKUP(D35,'Matriz SWOT'!$J$5:$K$24,2,FALSE))</f>
        <v/>
      </c>
      <c r="F35" s="166"/>
      <c r="G35" s="124" t="str">
        <f t="shared" si="1"/>
        <v/>
      </c>
      <c r="H35" s="167"/>
      <c r="I35" s="168"/>
      <c r="J35" s="169"/>
      <c r="K35" s="123"/>
      <c r="L35" s="119"/>
      <c r="M35" s="83" t="str">
        <f t="shared" si="2"/>
        <v>#REF!</v>
      </c>
      <c r="N35" s="119"/>
      <c r="O35" s="119"/>
      <c r="P35" s="170"/>
      <c r="Q35" s="119"/>
      <c r="R35" s="119"/>
      <c r="S35" s="119"/>
      <c r="T35" s="119"/>
      <c r="U35" s="119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</row>
    <row r="36" ht="34.5" customHeight="1">
      <c r="A36" s="30"/>
      <c r="B36" s="30"/>
      <c r="C36" s="125"/>
      <c r="D36" s="171"/>
      <c r="E36" s="123" t="str">
        <f>IF(ISERROR(VLOOKUP(D36,'Matriz SWOT'!$J$5:$K$24,2,FALSE)),"",VLOOKUP(D36,'Matriz SWOT'!$J$5:$K$24,2,FALSE))</f>
        <v/>
      </c>
      <c r="F36" s="166"/>
      <c r="G36" s="124" t="str">
        <f t="shared" si="1"/>
        <v/>
      </c>
      <c r="H36" s="167"/>
      <c r="I36" s="168"/>
      <c r="J36" s="169"/>
      <c r="K36" s="123"/>
      <c r="L36" s="119"/>
      <c r="M36" s="83" t="str">
        <f t="shared" si="2"/>
        <v>#REF!</v>
      </c>
      <c r="N36" s="119"/>
      <c r="O36" s="119"/>
      <c r="P36" s="170"/>
      <c r="Q36" s="119"/>
      <c r="R36" s="119"/>
      <c r="S36" s="119"/>
      <c r="T36" s="119"/>
      <c r="U36" s="119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</row>
    <row r="37" ht="34.5" customHeight="1">
      <c r="A37" s="30"/>
      <c r="B37" s="30"/>
      <c r="C37" s="125"/>
      <c r="D37" s="171"/>
      <c r="E37" s="123" t="str">
        <f>IF(ISERROR(VLOOKUP(D37,'Matriz SWOT'!$J$5:$K$24,2,FALSE)),"",VLOOKUP(D37,'Matriz SWOT'!$J$5:$K$24,2,FALSE))</f>
        <v/>
      </c>
      <c r="F37" s="166"/>
      <c r="G37" s="124" t="str">
        <f t="shared" si="1"/>
        <v/>
      </c>
      <c r="H37" s="167"/>
      <c r="I37" s="168"/>
      <c r="J37" s="169"/>
      <c r="K37" s="123"/>
      <c r="L37" s="119"/>
      <c r="M37" s="83" t="str">
        <f t="shared" si="2"/>
        <v>#REF!</v>
      </c>
      <c r="N37" s="119"/>
      <c r="O37" s="119"/>
      <c r="P37" s="170"/>
      <c r="Q37" s="119"/>
      <c r="R37" s="119"/>
      <c r="S37" s="119"/>
      <c r="T37" s="119"/>
      <c r="U37" s="119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</row>
    <row r="38" ht="34.5" customHeight="1">
      <c r="A38" s="30"/>
      <c r="B38" s="30"/>
      <c r="C38" s="125"/>
      <c r="D38" s="171"/>
      <c r="E38" s="123" t="str">
        <f>IF(ISERROR(VLOOKUP(D38,'Matriz SWOT'!$J$5:$K$24,2,FALSE)),"",VLOOKUP(D38,'Matriz SWOT'!$J$5:$K$24,2,FALSE))</f>
        <v/>
      </c>
      <c r="F38" s="166"/>
      <c r="G38" s="124" t="str">
        <f t="shared" si="1"/>
        <v/>
      </c>
      <c r="H38" s="167"/>
      <c r="I38" s="168"/>
      <c r="J38" s="169"/>
      <c r="K38" s="123"/>
      <c r="L38" s="119"/>
      <c r="M38" s="83" t="str">
        <f t="shared" si="2"/>
        <v>#REF!</v>
      </c>
      <c r="N38" s="119"/>
      <c r="O38" s="119"/>
      <c r="P38" s="170"/>
      <c r="Q38" s="119"/>
      <c r="R38" s="119"/>
      <c r="S38" s="119"/>
      <c r="T38" s="119"/>
      <c r="U38" s="119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</row>
    <row r="39" ht="34.5" customHeight="1">
      <c r="A39" s="30"/>
      <c r="B39" s="30"/>
      <c r="C39" s="125"/>
      <c r="D39" s="171"/>
      <c r="E39" s="123" t="str">
        <f>IF(ISERROR(VLOOKUP(D39,'Matriz SWOT'!$J$5:$K$24,2,FALSE)),"",VLOOKUP(D39,'Matriz SWOT'!$J$5:$K$24,2,FALSE))</f>
        <v/>
      </c>
      <c r="F39" s="166"/>
      <c r="G39" s="124" t="str">
        <f t="shared" si="1"/>
        <v/>
      </c>
      <c r="H39" s="167"/>
      <c r="I39" s="168"/>
      <c r="J39" s="169"/>
      <c r="K39" s="123"/>
      <c r="L39" s="119"/>
      <c r="M39" s="83" t="str">
        <f t="shared" si="2"/>
        <v>#REF!</v>
      </c>
      <c r="N39" s="119"/>
      <c r="O39" s="119"/>
      <c r="P39" s="170"/>
      <c r="Q39" s="119"/>
      <c r="R39" s="119"/>
      <c r="S39" s="119"/>
      <c r="T39" s="119"/>
      <c r="U39" s="119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</row>
    <row r="40" ht="34.5" customHeight="1">
      <c r="A40" s="30"/>
      <c r="B40" s="30"/>
      <c r="C40" s="125"/>
      <c r="D40" s="171"/>
      <c r="E40" s="123" t="str">
        <f>IF(ISERROR(VLOOKUP(D40,'Matriz SWOT'!$J$5:$K$24,2,FALSE)),"",VLOOKUP(D40,'Matriz SWOT'!$J$5:$K$24,2,FALSE))</f>
        <v/>
      </c>
      <c r="F40" s="166"/>
      <c r="G40" s="124" t="str">
        <f t="shared" si="1"/>
        <v/>
      </c>
      <c r="H40" s="167"/>
      <c r="I40" s="168"/>
      <c r="J40" s="169"/>
      <c r="K40" s="123"/>
      <c r="L40" s="119"/>
      <c r="M40" s="83" t="str">
        <f t="shared" si="2"/>
        <v>#REF!</v>
      </c>
      <c r="N40" s="119"/>
      <c r="O40" s="119"/>
      <c r="P40" s="170"/>
      <c r="Q40" s="119"/>
      <c r="R40" s="119"/>
      <c r="S40" s="119"/>
      <c r="T40" s="119"/>
      <c r="U40" s="119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</row>
    <row r="41" ht="34.5" customHeight="1">
      <c r="A41" s="30"/>
      <c r="B41" s="30"/>
      <c r="C41" s="125"/>
      <c r="D41" s="171"/>
      <c r="E41" s="123" t="str">
        <f>IF(ISERROR(VLOOKUP(D41,'Matriz SWOT'!$J$5:$K$24,2,FALSE)),"",VLOOKUP(D41,'Matriz SWOT'!$J$5:$K$24,2,FALSE))</f>
        <v/>
      </c>
      <c r="F41" s="166"/>
      <c r="G41" s="124" t="str">
        <f t="shared" si="1"/>
        <v/>
      </c>
      <c r="H41" s="167"/>
      <c r="I41" s="168"/>
      <c r="J41" s="169"/>
      <c r="K41" s="123"/>
      <c r="L41" s="119"/>
      <c r="M41" s="83" t="str">
        <f t="shared" si="2"/>
        <v>#REF!</v>
      </c>
      <c r="N41" s="119"/>
      <c r="O41" s="119"/>
      <c r="P41" s="170"/>
      <c r="Q41" s="119"/>
      <c r="R41" s="119"/>
      <c r="S41" s="119"/>
      <c r="T41" s="119"/>
      <c r="U41" s="119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</row>
    <row r="42" ht="34.5" customHeight="1">
      <c r="A42" s="30"/>
      <c r="B42" s="30"/>
      <c r="C42" s="125"/>
      <c r="D42" s="171"/>
      <c r="E42" s="123" t="str">
        <f>IF(ISERROR(VLOOKUP(D42,'Matriz SWOT'!$J$5:$K$24,2,FALSE)),"",VLOOKUP(D42,'Matriz SWOT'!$J$5:$K$24,2,FALSE))</f>
        <v/>
      </c>
      <c r="F42" s="166"/>
      <c r="G42" s="124" t="str">
        <f t="shared" si="1"/>
        <v/>
      </c>
      <c r="H42" s="167"/>
      <c r="I42" s="168"/>
      <c r="J42" s="169"/>
      <c r="K42" s="123"/>
      <c r="L42" s="119"/>
      <c r="M42" s="83" t="str">
        <f t="shared" si="2"/>
        <v>#REF!</v>
      </c>
      <c r="N42" s="119"/>
      <c r="O42" s="119"/>
      <c r="P42" s="170"/>
      <c r="Q42" s="119"/>
      <c r="R42" s="119"/>
      <c r="S42" s="119"/>
      <c r="T42" s="119"/>
      <c r="U42" s="119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</row>
    <row r="43" ht="34.5" customHeight="1">
      <c r="A43" s="30"/>
      <c r="B43" s="30"/>
      <c r="C43" s="125"/>
      <c r="D43" s="171"/>
      <c r="E43" s="123" t="str">
        <f>IF(ISERROR(VLOOKUP(D43,'Matriz SWOT'!$J$5:$K$24,2,FALSE)),"",VLOOKUP(D43,'Matriz SWOT'!$J$5:$K$24,2,FALSE))</f>
        <v/>
      </c>
      <c r="F43" s="166"/>
      <c r="G43" s="124" t="str">
        <f t="shared" si="1"/>
        <v/>
      </c>
      <c r="H43" s="167"/>
      <c r="I43" s="168"/>
      <c r="J43" s="169"/>
      <c r="K43" s="123"/>
      <c r="L43" s="119"/>
      <c r="M43" s="83" t="str">
        <f t="shared" si="2"/>
        <v>#REF!</v>
      </c>
      <c r="N43" s="119"/>
      <c r="O43" s="119"/>
      <c r="P43" s="170"/>
      <c r="Q43" s="119"/>
      <c r="R43" s="119"/>
      <c r="S43" s="119"/>
      <c r="T43" s="119"/>
      <c r="U43" s="119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</row>
    <row r="44" ht="34.5" customHeight="1">
      <c r="A44" s="30"/>
      <c r="B44" s="30"/>
      <c r="C44" s="125"/>
      <c r="D44" s="171"/>
      <c r="E44" s="123" t="str">
        <f>IF(ISERROR(VLOOKUP(D44,'Matriz SWOT'!$J$5:$K$24,2,FALSE)),"",VLOOKUP(D44,'Matriz SWOT'!$J$5:$K$24,2,FALSE))</f>
        <v/>
      </c>
      <c r="F44" s="166"/>
      <c r="G44" s="124" t="str">
        <f t="shared" si="1"/>
        <v/>
      </c>
      <c r="H44" s="167"/>
      <c r="I44" s="168"/>
      <c r="J44" s="169"/>
      <c r="K44" s="123"/>
      <c r="L44" s="119"/>
      <c r="M44" s="83" t="str">
        <f t="shared" si="2"/>
        <v>#REF!</v>
      </c>
      <c r="N44" s="119"/>
      <c r="O44" s="119"/>
      <c r="P44" s="170"/>
      <c r="Q44" s="119"/>
      <c r="R44" s="119"/>
      <c r="S44" s="119"/>
      <c r="T44" s="119"/>
      <c r="U44" s="119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</row>
    <row r="45" ht="34.5" customHeight="1">
      <c r="A45" s="30"/>
      <c r="B45" s="30"/>
      <c r="C45" s="125"/>
      <c r="D45" s="171"/>
      <c r="E45" s="123" t="str">
        <f>IF(ISERROR(VLOOKUP(D45,'Matriz SWOT'!$J$5:$K$24,2,FALSE)),"",VLOOKUP(D45,'Matriz SWOT'!$J$5:$K$24,2,FALSE))</f>
        <v/>
      </c>
      <c r="F45" s="166"/>
      <c r="G45" s="124" t="str">
        <f t="shared" si="1"/>
        <v/>
      </c>
      <c r="H45" s="167"/>
      <c r="I45" s="168"/>
      <c r="J45" s="169"/>
      <c r="K45" s="123"/>
      <c r="L45" s="119"/>
      <c r="M45" s="83" t="str">
        <f t="shared" si="2"/>
        <v>#REF!</v>
      </c>
      <c r="N45" s="119"/>
      <c r="O45" s="119"/>
      <c r="P45" s="170"/>
      <c r="Q45" s="119"/>
      <c r="R45" s="119"/>
      <c r="S45" s="119"/>
      <c r="T45" s="119"/>
      <c r="U45" s="119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</row>
    <row r="46" ht="34.5" customHeight="1">
      <c r="A46" s="30"/>
      <c r="B46" s="30"/>
      <c r="C46" s="125"/>
      <c r="D46" s="171"/>
      <c r="E46" s="123" t="str">
        <f>IF(ISERROR(VLOOKUP(D46,'Matriz SWOT'!$J$5:$K$24,2,FALSE)),"",VLOOKUP(D46,'Matriz SWOT'!$J$5:$K$24,2,FALSE))</f>
        <v/>
      </c>
      <c r="F46" s="166"/>
      <c r="G46" s="124" t="str">
        <f t="shared" si="1"/>
        <v/>
      </c>
      <c r="H46" s="167"/>
      <c r="I46" s="168"/>
      <c r="J46" s="169"/>
      <c r="K46" s="123"/>
      <c r="L46" s="119"/>
      <c r="M46" s="83" t="str">
        <f t="shared" si="2"/>
        <v>#REF!</v>
      </c>
      <c r="N46" s="119"/>
      <c r="O46" s="119"/>
      <c r="P46" s="170"/>
      <c r="Q46" s="119"/>
      <c r="R46" s="119"/>
      <c r="S46" s="119"/>
      <c r="T46" s="119"/>
      <c r="U46" s="119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</row>
    <row r="47" ht="34.5" customHeight="1">
      <c r="A47" s="30"/>
      <c r="B47" s="30"/>
      <c r="C47" s="125"/>
      <c r="D47" s="171"/>
      <c r="E47" s="123" t="str">
        <f>IF(ISERROR(VLOOKUP(D47,'Matriz SWOT'!$J$5:$K$24,2,FALSE)),"",VLOOKUP(D47,'Matriz SWOT'!$J$5:$K$24,2,FALSE))</f>
        <v/>
      </c>
      <c r="F47" s="166"/>
      <c r="G47" s="124" t="str">
        <f t="shared" si="1"/>
        <v/>
      </c>
      <c r="H47" s="167"/>
      <c r="I47" s="168"/>
      <c r="J47" s="169"/>
      <c r="K47" s="123"/>
      <c r="L47" s="119"/>
      <c r="M47" s="83" t="str">
        <f t="shared" si="2"/>
        <v>#REF!</v>
      </c>
      <c r="N47" s="119"/>
      <c r="O47" s="119"/>
      <c r="P47" s="170"/>
      <c r="Q47" s="119"/>
      <c r="R47" s="119"/>
      <c r="S47" s="119"/>
      <c r="T47" s="119"/>
      <c r="U47" s="119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</row>
    <row r="48" ht="34.5" customHeight="1">
      <c r="A48" s="30"/>
      <c r="B48" s="30"/>
      <c r="C48" s="125"/>
      <c r="D48" s="171"/>
      <c r="E48" s="123" t="str">
        <f>IF(ISERROR(VLOOKUP(D48,'Matriz SWOT'!$J$5:$K$24,2,FALSE)),"",VLOOKUP(D48,'Matriz SWOT'!$J$5:$K$24,2,FALSE))</f>
        <v/>
      </c>
      <c r="F48" s="166"/>
      <c r="G48" s="124" t="str">
        <f t="shared" si="1"/>
        <v/>
      </c>
      <c r="H48" s="167"/>
      <c r="I48" s="168"/>
      <c r="J48" s="169"/>
      <c r="K48" s="123"/>
      <c r="L48" s="119"/>
      <c r="M48" s="83" t="str">
        <f t="shared" si="2"/>
        <v>#REF!</v>
      </c>
      <c r="N48" s="119"/>
      <c r="O48" s="119"/>
      <c r="P48" s="170"/>
      <c r="Q48" s="119"/>
      <c r="R48" s="119"/>
      <c r="S48" s="119"/>
      <c r="T48" s="119"/>
      <c r="U48" s="119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</row>
    <row r="49" ht="34.5" customHeight="1">
      <c r="A49" s="30"/>
      <c r="B49" s="30"/>
      <c r="C49" s="125"/>
      <c r="D49" s="171"/>
      <c r="E49" s="123" t="str">
        <f>IF(ISERROR(VLOOKUP(D49,'Matriz SWOT'!$J$5:$K$24,2,FALSE)),"",VLOOKUP(D49,'Matriz SWOT'!$J$5:$K$24,2,FALSE))</f>
        <v/>
      </c>
      <c r="F49" s="166"/>
      <c r="G49" s="124" t="str">
        <f t="shared" si="1"/>
        <v/>
      </c>
      <c r="H49" s="167"/>
      <c r="I49" s="168"/>
      <c r="J49" s="169"/>
      <c r="K49" s="123"/>
      <c r="L49" s="119"/>
      <c r="M49" s="83" t="str">
        <f t="shared" si="2"/>
        <v>#REF!</v>
      </c>
      <c r="N49" s="119"/>
      <c r="O49" s="119"/>
      <c r="P49" s="170"/>
      <c r="Q49" s="119"/>
      <c r="R49" s="119"/>
      <c r="S49" s="119"/>
      <c r="T49" s="119"/>
      <c r="U49" s="119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</row>
    <row r="50" ht="34.5" customHeight="1">
      <c r="A50" s="30"/>
      <c r="B50" s="30"/>
      <c r="C50" s="125"/>
      <c r="D50" s="171"/>
      <c r="E50" s="123" t="str">
        <f>IF(ISERROR(VLOOKUP(D50,'Matriz SWOT'!$J$5:$K$24,2,FALSE)),"",VLOOKUP(D50,'Matriz SWOT'!$J$5:$K$24,2,FALSE))</f>
        <v/>
      </c>
      <c r="F50" s="166"/>
      <c r="G50" s="124" t="str">
        <f t="shared" si="1"/>
        <v/>
      </c>
      <c r="H50" s="167"/>
      <c r="I50" s="168"/>
      <c r="J50" s="169"/>
      <c r="K50" s="123"/>
      <c r="L50" s="119"/>
      <c r="M50" s="83" t="str">
        <f t="shared" si="2"/>
        <v>#REF!</v>
      </c>
      <c r="N50" s="119"/>
      <c r="O50" s="119"/>
      <c r="P50" s="170"/>
      <c r="Q50" s="119"/>
      <c r="R50" s="119"/>
      <c r="S50" s="119"/>
      <c r="T50" s="119"/>
      <c r="U50" s="119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</row>
    <row r="51" ht="34.5" customHeight="1">
      <c r="A51" s="30"/>
      <c r="B51" s="30"/>
      <c r="C51" s="125"/>
      <c r="D51" s="171"/>
      <c r="E51" s="123" t="str">
        <f>IF(ISERROR(VLOOKUP(D51,'Matriz SWOT'!$J$5:$K$24,2,FALSE)),"",VLOOKUP(D51,'Matriz SWOT'!$J$5:$K$24,2,FALSE))</f>
        <v/>
      </c>
      <c r="F51" s="166"/>
      <c r="G51" s="124" t="str">
        <f t="shared" si="1"/>
        <v/>
      </c>
      <c r="H51" s="167"/>
      <c r="I51" s="168"/>
      <c r="J51" s="169"/>
      <c r="K51" s="123"/>
      <c r="L51" s="119"/>
      <c r="M51" s="83" t="str">
        <f t="shared" si="2"/>
        <v>#REF!</v>
      </c>
      <c r="N51" s="119"/>
      <c r="O51" s="119"/>
      <c r="P51" s="170"/>
      <c r="Q51" s="119"/>
      <c r="R51" s="119"/>
      <c r="S51" s="119"/>
      <c r="T51" s="119"/>
      <c r="U51" s="119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</row>
    <row r="52" ht="34.5" customHeight="1">
      <c r="A52" s="30"/>
      <c r="B52" s="30"/>
      <c r="C52" s="125"/>
      <c r="D52" s="171"/>
      <c r="E52" s="123" t="str">
        <f>IF(ISERROR(VLOOKUP(D52,'Matriz SWOT'!$J$5:$K$24,2,FALSE)),"",VLOOKUP(D52,'Matriz SWOT'!$J$5:$K$24,2,FALSE))</f>
        <v/>
      </c>
      <c r="F52" s="166"/>
      <c r="G52" s="124" t="str">
        <f t="shared" si="1"/>
        <v/>
      </c>
      <c r="H52" s="167"/>
      <c r="I52" s="168"/>
      <c r="J52" s="169"/>
      <c r="K52" s="123"/>
      <c r="L52" s="119"/>
      <c r="M52" s="83" t="str">
        <f t="shared" si="2"/>
        <v>#REF!</v>
      </c>
      <c r="N52" s="119"/>
      <c r="O52" s="119"/>
      <c r="P52" s="170"/>
      <c r="Q52" s="119"/>
      <c r="R52" s="119"/>
      <c r="S52" s="119"/>
      <c r="T52" s="119"/>
      <c r="U52" s="119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</row>
    <row r="53" ht="34.5" customHeight="1">
      <c r="A53" s="30"/>
      <c r="B53" s="30"/>
      <c r="C53" s="125"/>
      <c r="D53" s="171"/>
      <c r="E53" s="123" t="str">
        <f>IF(ISERROR(VLOOKUP(D53,'Matriz SWOT'!$J$5:$K$24,2,FALSE)),"",VLOOKUP(D53,'Matriz SWOT'!$J$5:$K$24,2,FALSE))</f>
        <v/>
      </c>
      <c r="F53" s="166"/>
      <c r="G53" s="124" t="str">
        <f t="shared" si="1"/>
        <v/>
      </c>
      <c r="H53" s="167"/>
      <c r="I53" s="168"/>
      <c r="J53" s="169"/>
      <c r="K53" s="123"/>
      <c r="L53" s="119"/>
      <c r="M53" s="83" t="str">
        <f t="shared" si="2"/>
        <v>#REF!</v>
      </c>
      <c r="N53" s="119"/>
      <c r="O53" s="119"/>
      <c r="P53" s="170"/>
      <c r="Q53" s="119"/>
      <c r="R53" s="119"/>
      <c r="S53" s="119"/>
      <c r="T53" s="119"/>
      <c r="U53" s="119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</row>
    <row r="54" ht="34.5" customHeight="1">
      <c r="A54" s="30"/>
      <c r="B54" s="30"/>
      <c r="C54" s="125"/>
      <c r="D54" s="171"/>
      <c r="E54" s="123" t="str">
        <f>IF(ISERROR(VLOOKUP(D54,'Matriz SWOT'!$J$5:$K$24,2,FALSE)),"",VLOOKUP(D54,'Matriz SWOT'!$J$5:$K$24,2,FALSE))</f>
        <v/>
      </c>
      <c r="F54" s="166"/>
      <c r="G54" s="124" t="str">
        <f t="shared" si="1"/>
        <v/>
      </c>
      <c r="H54" s="167"/>
      <c r="I54" s="168"/>
      <c r="J54" s="169"/>
      <c r="K54" s="123"/>
      <c r="L54" s="119"/>
      <c r="M54" s="83" t="str">
        <f t="shared" si="2"/>
        <v>#REF!</v>
      </c>
      <c r="N54" s="119"/>
      <c r="O54" s="119"/>
      <c r="P54" s="170"/>
      <c r="Q54" s="119"/>
      <c r="R54" s="119"/>
      <c r="S54" s="119"/>
      <c r="T54" s="119"/>
      <c r="U54" s="119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</row>
    <row r="55" ht="34.5" customHeight="1">
      <c r="A55" s="60"/>
      <c r="B55" s="30"/>
      <c r="C55" s="125"/>
      <c r="D55" s="171"/>
      <c r="E55" s="123" t="str">
        <f>IF(ISERROR(VLOOKUP(D55,'Matriz SWOT'!$J$5:$K$24,2,FALSE)),"",VLOOKUP(D55,'Matriz SWOT'!$J$5:$K$24,2,FALSE))</f>
        <v/>
      </c>
      <c r="F55" s="166"/>
      <c r="G55" s="124" t="str">
        <f t="shared" si="1"/>
        <v/>
      </c>
      <c r="H55" s="167"/>
      <c r="I55" s="168"/>
      <c r="J55" s="169"/>
      <c r="K55" s="123"/>
      <c r="L55" s="119"/>
      <c r="M55" s="83" t="str">
        <f t="shared" si="2"/>
        <v>#REF!</v>
      </c>
      <c r="N55" s="119"/>
      <c r="O55" s="119"/>
      <c r="P55" s="170"/>
      <c r="Q55" s="119"/>
      <c r="R55" s="119"/>
      <c r="S55" s="119"/>
      <c r="T55" s="119"/>
      <c r="U55" s="119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</row>
    <row r="56" ht="34.5" customHeight="1">
      <c r="A56" s="60"/>
      <c r="B56" s="30"/>
      <c r="C56" s="125"/>
      <c r="D56" s="171"/>
      <c r="E56" s="123" t="str">
        <f>IF(ISERROR(VLOOKUP(D56,'Matriz SWOT'!$J$5:$K$24,2,FALSE)),"",VLOOKUP(D56,'Matriz SWOT'!$J$5:$K$24,2,FALSE))</f>
        <v/>
      </c>
      <c r="F56" s="166"/>
      <c r="G56" s="124" t="str">
        <f t="shared" si="1"/>
        <v/>
      </c>
      <c r="H56" s="167"/>
      <c r="I56" s="168"/>
      <c r="J56" s="169"/>
      <c r="K56" s="123"/>
      <c r="L56" s="119"/>
      <c r="M56" s="83" t="str">
        <f t="shared" si="2"/>
        <v>#REF!</v>
      </c>
      <c r="N56" s="119"/>
      <c r="O56" s="119"/>
      <c r="P56" s="170"/>
      <c r="Q56" s="119"/>
      <c r="R56" s="119"/>
      <c r="S56" s="119"/>
      <c r="T56" s="119"/>
      <c r="U56" s="119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</row>
    <row r="57" ht="34.5" customHeight="1">
      <c r="A57" s="60"/>
      <c r="B57" s="30"/>
      <c r="C57" s="125"/>
      <c r="D57" s="171"/>
      <c r="E57" s="123" t="str">
        <f>IF(ISERROR(VLOOKUP(D57,'Matriz SWOT'!$J$5:$K$24,2,FALSE)),"",VLOOKUP(D57,'Matriz SWOT'!$J$5:$K$24,2,FALSE))</f>
        <v/>
      </c>
      <c r="F57" s="166"/>
      <c r="G57" s="124" t="str">
        <f t="shared" si="1"/>
        <v/>
      </c>
      <c r="H57" s="167"/>
      <c r="I57" s="168"/>
      <c r="J57" s="169"/>
      <c r="K57" s="123"/>
      <c r="L57" s="119"/>
      <c r="M57" s="83" t="str">
        <f t="shared" si="2"/>
        <v>#REF!</v>
      </c>
      <c r="N57" s="119"/>
      <c r="O57" s="119"/>
      <c r="P57" s="170"/>
      <c r="Q57" s="119"/>
      <c r="R57" s="119"/>
      <c r="S57" s="119"/>
      <c r="T57" s="119"/>
      <c r="U57" s="119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</row>
    <row r="58" ht="34.5" customHeight="1">
      <c r="A58" s="30"/>
      <c r="B58" s="30"/>
      <c r="C58" s="125"/>
      <c r="D58" s="171"/>
      <c r="E58" s="123" t="str">
        <f>IF(ISERROR(VLOOKUP(D58,'Matriz SWOT'!$J$5:$K$24,2,FALSE)),"",VLOOKUP(D58,'Matriz SWOT'!$J$5:$K$24,2,FALSE))</f>
        <v/>
      </c>
      <c r="F58" s="166"/>
      <c r="G58" s="124" t="str">
        <f t="shared" si="1"/>
        <v/>
      </c>
      <c r="H58" s="167"/>
      <c r="I58" s="168"/>
      <c r="J58" s="169"/>
      <c r="K58" s="123"/>
      <c r="L58" s="119"/>
      <c r="M58" s="119"/>
      <c r="N58" s="119"/>
      <c r="O58" s="119"/>
      <c r="P58" s="170"/>
      <c r="Q58" s="119"/>
      <c r="R58" s="119"/>
      <c r="S58" s="119"/>
      <c r="T58" s="119"/>
      <c r="U58" s="119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</row>
    <row r="59" ht="34.5" customHeight="1">
      <c r="A59" s="30"/>
      <c r="B59" s="30"/>
      <c r="C59" s="125"/>
      <c r="D59" s="171"/>
      <c r="E59" s="123" t="str">
        <f>IF(ISERROR(VLOOKUP(D59,'Matriz SWOT'!$J$5:$K$24,2,FALSE)),"",VLOOKUP(D59,'Matriz SWOT'!$J$5:$K$24,2,FALSE))</f>
        <v/>
      </c>
      <c r="F59" s="166"/>
      <c r="G59" s="124" t="str">
        <f t="shared" si="1"/>
        <v/>
      </c>
      <c r="H59" s="167"/>
      <c r="I59" s="168"/>
      <c r="J59" s="169"/>
      <c r="K59" s="123"/>
      <c r="L59" s="119"/>
      <c r="M59" s="119"/>
      <c r="N59" s="119"/>
      <c r="O59" s="119"/>
      <c r="P59" s="170"/>
      <c r="Q59" s="119"/>
      <c r="R59" s="119"/>
      <c r="S59" s="119"/>
      <c r="T59" s="119"/>
      <c r="U59" s="119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</row>
    <row r="60" ht="34.5" customHeight="1">
      <c r="A60" s="30"/>
      <c r="B60" s="30"/>
      <c r="C60" s="125"/>
      <c r="D60" s="171"/>
      <c r="E60" s="123" t="str">
        <f>IF(ISERROR(VLOOKUP(D60,'Matriz SWOT'!$J$5:$K$24,2,FALSE)),"",VLOOKUP(D60,'Matriz SWOT'!$J$5:$K$24,2,FALSE))</f>
        <v/>
      </c>
      <c r="F60" s="166"/>
      <c r="G60" s="124" t="str">
        <f t="shared" si="1"/>
        <v/>
      </c>
      <c r="H60" s="167"/>
      <c r="I60" s="168"/>
      <c r="J60" s="169"/>
      <c r="K60" s="123"/>
      <c r="L60" s="119"/>
      <c r="M60" s="119"/>
      <c r="N60" s="119"/>
      <c r="O60" s="119"/>
      <c r="P60" s="170"/>
      <c r="Q60" s="119"/>
      <c r="R60" s="119"/>
      <c r="S60" s="119"/>
      <c r="T60" s="119"/>
      <c r="U60" s="119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</row>
    <row r="61" ht="34.5" customHeight="1">
      <c r="A61" s="30"/>
      <c r="B61" s="30"/>
      <c r="C61" s="125"/>
      <c r="D61" s="171"/>
      <c r="E61" s="123" t="str">
        <f>IF(ISERROR(VLOOKUP(D61,'Matriz SWOT'!$J$5:$K$24,2,FALSE)),"",VLOOKUP(D61,'Matriz SWOT'!$J$5:$K$24,2,FALSE))</f>
        <v/>
      </c>
      <c r="F61" s="166"/>
      <c r="G61" s="124" t="str">
        <f t="shared" si="1"/>
        <v/>
      </c>
      <c r="H61" s="167"/>
      <c r="I61" s="168"/>
      <c r="J61" s="169"/>
      <c r="K61" s="123"/>
      <c r="L61" s="119"/>
      <c r="M61" s="119"/>
      <c r="N61" s="119"/>
      <c r="O61" s="119"/>
      <c r="P61" s="170"/>
      <c r="Q61" s="119"/>
      <c r="R61" s="119"/>
      <c r="S61" s="119"/>
      <c r="T61" s="119"/>
      <c r="U61" s="119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</row>
    <row r="62" ht="34.5" customHeight="1">
      <c r="A62" s="30"/>
      <c r="B62" s="30"/>
      <c r="C62" s="125"/>
      <c r="D62" s="171"/>
      <c r="E62" s="123" t="str">
        <f>IF(ISERROR(VLOOKUP(D62,'Matriz SWOT'!$J$5:$K$24,2,FALSE)),"",VLOOKUP(D62,'Matriz SWOT'!$J$5:$K$24,2,FALSE))</f>
        <v/>
      </c>
      <c r="F62" s="166"/>
      <c r="G62" s="124" t="str">
        <f t="shared" si="1"/>
        <v/>
      </c>
      <c r="H62" s="167"/>
      <c r="I62" s="168"/>
      <c r="J62" s="169"/>
      <c r="K62" s="123"/>
      <c r="L62" s="119"/>
      <c r="M62" s="119"/>
      <c r="N62" s="119"/>
      <c r="O62" s="119"/>
      <c r="P62" s="170"/>
      <c r="Q62" s="119"/>
      <c r="R62" s="119"/>
      <c r="S62" s="119"/>
      <c r="T62" s="119"/>
      <c r="U62" s="119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</row>
    <row r="63" ht="34.5" customHeight="1">
      <c r="A63" s="30"/>
      <c r="B63" s="30"/>
      <c r="C63" s="125"/>
      <c r="D63" s="171"/>
      <c r="E63" s="123" t="str">
        <f>IF(ISERROR(VLOOKUP(D63,'Matriz SWOT'!$J$5:$K$24,2,FALSE)),"",VLOOKUP(D63,'Matriz SWOT'!$J$5:$K$24,2,FALSE))</f>
        <v/>
      </c>
      <c r="F63" s="166"/>
      <c r="G63" s="124" t="str">
        <f t="shared" si="1"/>
        <v/>
      </c>
      <c r="H63" s="167"/>
      <c r="I63" s="168"/>
      <c r="J63" s="169"/>
      <c r="K63" s="123"/>
      <c r="L63" s="119"/>
      <c r="M63" s="119"/>
      <c r="N63" s="119"/>
      <c r="O63" s="119"/>
      <c r="P63" s="170"/>
      <c r="Q63" s="119"/>
      <c r="R63" s="119"/>
      <c r="S63" s="119"/>
      <c r="T63" s="119"/>
      <c r="U63" s="119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</row>
    <row r="64" ht="34.5" customHeight="1">
      <c r="A64" s="30"/>
      <c r="B64" s="30"/>
      <c r="C64" s="125"/>
      <c r="D64" s="171"/>
      <c r="E64" s="123" t="str">
        <f>IF(ISERROR(VLOOKUP(D64,'Matriz SWOT'!$J$5:$K$24,2,FALSE)),"",VLOOKUP(D64,'Matriz SWOT'!$J$5:$K$24,2,FALSE))</f>
        <v/>
      </c>
      <c r="F64" s="166"/>
      <c r="G64" s="124" t="str">
        <f t="shared" si="1"/>
        <v/>
      </c>
      <c r="H64" s="167"/>
      <c r="I64" s="168"/>
      <c r="J64" s="169"/>
      <c r="K64" s="123"/>
      <c r="L64" s="119"/>
      <c r="M64" s="119"/>
      <c r="N64" s="119"/>
      <c r="O64" s="119"/>
      <c r="P64" s="170"/>
      <c r="Q64" s="119"/>
      <c r="R64" s="119"/>
      <c r="S64" s="119"/>
      <c r="T64" s="119"/>
      <c r="U64" s="119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</row>
    <row r="65" ht="34.5" customHeight="1">
      <c r="A65" s="30"/>
      <c r="B65" s="30"/>
      <c r="C65" s="125"/>
      <c r="D65" s="171"/>
      <c r="E65" s="123" t="str">
        <f>IF(ISERROR(VLOOKUP(D65,'Matriz SWOT'!$J$5:$K$24,2,FALSE)),"",VLOOKUP(D65,'Matriz SWOT'!$J$5:$K$24,2,FALSE))</f>
        <v/>
      </c>
      <c r="F65" s="166"/>
      <c r="G65" s="124" t="str">
        <f t="shared" si="1"/>
        <v/>
      </c>
      <c r="H65" s="167"/>
      <c r="I65" s="168"/>
      <c r="J65" s="169"/>
      <c r="K65" s="123"/>
      <c r="L65" s="119"/>
      <c r="M65" s="119"/>
      <c r="N65" s="119"/>
      <c r="O65" s="119"/>
      <c r="P65" s="170"/>
      <c r="Q65" s="119"/>
      <c r="R65" s="119"/>
      <c r="S65" s="119"/>
      <c r="T65" s="119"/>
      <c r="U65" s="119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</row>
    <row r="66" ht="34.5" customHeight="1">
      <c r="A66" s="30"/>
      <c r="B66" s="30"/>
      <c r="C66" s="125"/>
      <c r="D66" s="171"/>
      <c r="E66" s="123" t="str">
        <f>IF(ISERROR(VLOOKUP(D66,'Matriz SWOT'!$J$5:$K$24,2,FALSE)),"",VLOOKUP(D66,'Matriz SWOT'!$J$5:$K$24,2,FALSE))</f>
        <v/>
      </c>
      <c r="F66" s="166"/>
      <c r="G66" s="124" t="str">
        <f t="shared" si="1"/>
        <v/>
      </c>
      <c r="H66" s="167"/>
      <c r="I66" s="168"/>
      <c r="J66" s="169"/>
      <c r="K66" s="123"/>
      <c r="L66" s="119"/>
      <c r="M66" s="119"/>
      <c r="N66" s="119"/>
      <c r="O66" s="119"/>
      <c r="P66" s="170"/>
      <c r="Q66" s="119"/>
      <c r="R66" s="119"/>
      <c r="S66" s="119"/>
      <c r="T66" s="119"/>
      <c r="U66" s="119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</row>
    <row r="67" ht="34.5" customHeight="1">
      <c r="A67" s="30"/>
      <c r="B67" s="30"/>
      <c r="C67" s="125"/>
      <c r="D67" s="171"/>
      <c r="E67" s="123" t="str">
        <f>IF(ISERROR(VLOOKUP(D67,'Matriz SWOT'!$J$5:$K$24,2,FALSE)),"",VLOOKUP(D67,'Matriz SWOT'!$J$5:$K$24,2,FALSE))</f>
        <v/>
      </c>
      <c r="F67" s="166"/>
      <c r="G67" s="124" t="str">
        <f t="shared" si="1"/>
        <v/>
      </c>
      <c r="H67" s="167"/>
      <c r="I67" s="168"/>
      <c r="J67" s="169"/>
      <c r="K67" s="123"/>
      <c r="L67" s="119"/>
      <c r="M67" s="119"/>
      <c r="N67" s="119"/>
      <c r="O67" s="119"/>
      <c r="P67" s="170"/>
      <c r="Q67" s="119"/>
      <c r="R67" s="119"/>
      <c r="S67" s="119"/>
      <c r="T67" s="119"/>
      <c r="U67" s="119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</row>
    <row r="68" ht="34.5" customHeight="1">
      <c r="A68" s="30"/>
      <c r="B68" s="30"/>
      <c r="C68" s="125"/>
      <c r="D68" s="171"/>
      <c r="E68" s="123" t="str">
        <f>IF(ISERROR(VLOOKUP(D68,'Matriz SWOT'!$J$5:$K$24,2,FALSE)),"",VLOOKUP(D68,'Matriz SWOT'!$J$5:$K$24,2,FALSE))</f>
        <v/>
      </c>
      <c r="F68" s="166"/>
      <c r="G68" s="124" t="str">
        <f t="shared" si="1"/>
        <v/>
      </c>
      <c r="H68" s="167"/>
      <c r="I68" s="168"/>
      <c r="J68" s="169"/>
      <c r="K68" s="123"/>
      <c r="L68" s="119"/>
      <c r="M68" s="119"/>
      <c r="N68" s="119"/>
      <c r="O68" s="119"/>
      <c r="P68" s="170"/>
      <c r="Q68" s="119"/>
      <c r="R68" s="119"/>
      <c r="S68" s="119"/>
      <c r="T68" s="119"/>
      <c r="U68" s="119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</row>
    <row r="69" ht="34.5" customHeight="1">
      <c r="A69" s="30"/>
      <c r="B69" s="30"/>
      <c r="C69" s="125"/>
      <c r="D69" s="171"/>
      <c r="E69" s="123" t="str">
        <f>IF(ISERROR(VLOOKUP(D69,'Matriz SWOT'!$J$5:$K$24,2,FALSE)),"",VLOOKUP(D69,'Matriz SWOT'!$J$5:$K$24,2,FALSE))</f>
        <v/>
      </c>
      <c r="F69" s="166"/>
      <c r="G69" s="124" t="str">
        <f t="shared" si="1"/>
        <v/>
      </c>
      <c r="H69" s="167"/>
      <c r="I69" s="168"/>
      <c r="J69" s="169"/>
      <c r="K69" s="123"/>
      <c r="L69" s="119"/>
      <c r="M69" s="119"/>
      <c r="N69" s="119"/>
      <c r="O69" s="119"/>
      <c r="P69" s="170"/>
      <c r="Q69" s="119"/>
      <c r="R69" s="119"/>
      <c r="S69" s="119"/>
      <c r="T69" s="119"/>
      <c r="U69" s="119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</row>
    <row r="70" ht="34.5" customHeight="1">
      <c r="A70" s="30"/>
      <c r="B70" s="30"/>
      <c r="C70" s="125"/>
      <c r="D70" s="171"/>
      <c r="E70" s="123" t="str">
        <f>IF(ISERROR(VLOOKUP(D70,'Matriz SWOT'!$J$5:$K$24,2,FALSE)),"",VLOOKUP(D70,'Matriz SWOT'!$J$5:$K$24,2,FALSE))</f>
        <v/>
      </c>
      <c r="F70" s="166"/>
      <c r="G70" s="124" t="str">
        <f t="shared" si="1"/>
        <v/>
      </c>
      <c r="H70" s="167"/>
      <c r="I70" s="168"/>
      <c r="J70" s="169"/>
      <c r="K70" s="123"/>
      <c r="L70" s="119"/>
      <c r="M70" s="119"/>
      <c r="N70" s="119"/>
      <c r="O70" s="119"/>
      <c r="P70" s="170"/>
      <c r="Q70" s="119"/>
      <c r="R70" s="119"/>
      <c r="S70" s="119"/>
      <c r="T70" s="119"/>
      <c r="U70" s="119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</row>
    <row r="71" ht="34.5" customHeight="1">
      <c r="A71" s="30"/>
      <c r="B71" s="30"/>
      <c r="C71" s="125"/>
      <c r="D71" s="171"/>
      <c r="E71" s="123" t="str">
        <f>IF(ISERROR(VLOOKUP(D71,'Matriz SWOT'!$J$5:$K$24,2,FALSE)),"",VLOOKUP(D71,'Matriz SWOT'!$J$5:$K$24,2,FALSE))</f>
        <v/>
      </c>
      <c r="F71" s="166"/>
      <c r="G71" s="124" t="str">
        <f t="shared" si="1"/>
        <v/>
      </c>
      <c r="H71" s="167"/>
      <c r="I71" s="168"/>
      <c r="J71" s="169"/>
      <c r="K71" s="123"/>
      <c r="L71" s="119"/>
      <c r="M71" s="119"/>
      <c r="N71" s="119"/>
      <c r="O71" s="119"/>
      <c r="P71" s="170"/>
      <c r="Q71" s="119"/>
      <c r="R71" s="119"/>
      <c r="S71" s="119"/>
      <c r="T71" s="119"/>
      <c r="U71" s="119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</row>
    <row r="72" ht="34.5" customHeight="1">
      <c r="A72" s="30"/>
      <c r="B72" s="30"/>
      <c r="C72" s="125"/>
      <c r="D72" s="171"/>
      <c r="E72" s="123" t="str">
        <f>IF(ISERROR(VLOOKUP(D72,'Matriz SWOT'!$J$5:$K$24,2,FALSE)),"",VLOOKUP(D72,'Matriz SWOT'!$J$5:$K$24,2,FALSE))</f>
        <v/>
      </c>
      <c r="F72" s="166"/>
      <c r="G72" s="124" t="str">
        <f t="shared" si="1"/>
        <v/>
      </c>
      <c r="H72" s="167"/>
      <c r="I72" s="168"/>
      <c r="J72" s="169"/>
      <c r="K72" s="123"/>
      <c r="L72" s="119"/>
      <c r="M72" s="119"/>
      <c r="N72" s="119"/>
      <c r="O72" s="119"/>
      <c r="P72" s="170"/>
      <c r="Q72" s="119"/>
      <c r="R72" s="119"/>
      <c r="S72" s="119"/>
      <c r="T72" s="119"/>
      <c r="U72" s="119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</row>
    <row r="73" ht="34.5" customHeight="1">
      <c r="A73" s="30"/>
      <c r="B73" s="30"/>
      <c r="C73" s="125"/>
      <c r="D73" s="171"/>
      <c r="E73" s="123" t="str">
        <f>IF(ISERROR(VLOOKUP(D73,'Matriz SWOT'!$J$5:$K$24,2,FALSE)),"",VLOOKUP(D73,'Matriz SWOT'!$J$5:$K$24,2,FALSE))</f>
        <v/>
      </c>
      <c r="F73" s="166"/>
      <c r="G73" s="124" t="str">
        <f t="shared" si="1"/>
        <v/>
      </c>
      <c r="H73" s="167"/>
      <c r="I73" s="168"/>
      <c r="J73" s="169"/>
      <c r="K73" s="123"/>
      <c r="L73" s="119"/>
      <c r="M73" s="119"/>
      <c r="N73" s="119"/>
      <c r="O73" s="119"/>
      <c r="P73" s="170"/>
      <c r="Q73" s="119"/>
      <c r="R73" s="119"/>
      <c r="S73" s="119"/>
      <c r="T73" s="119"/>
      <c r="U73" s="119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</row>
    <row r="74" ht="34.5" customHeight="1">
      <c r="A74" s="30"/>
      <c r="B74" s="30"/>
      <c r="C74" s="125"/>
      <c r="D74" s="171"/>
      <c r="E74" s="123" t="str">
        <f>IF(ISERROR(VLOOKUP(D74,'Matriz SWOT'!$J$5:$K$24,2,FALSE)),"",VLOOKUP(D74,'Matriz SWOT'!$J$5:$K$24,2,FALSE))</f>
        <v/>
      </c>
      <c r="F74" s="166"/>
      <c r="G74" s="124" t="str">
        <f t="shared" si="1"/>
        <v/>
      </c>
      <c r="H74" s="167"/>
      <c r="I74" s="168"/>
      <c r="J74" s="169"/>
      <c r="K74" s="123"/>
      <c r="L74" s="119"/>
      <c r="M74" s="119"/>
      <c r="N74" s="119"/>
      <c r="O74" s="119"/>
      <c r="P74" s="170"/>
      <c r="Q74" s="119"/>
      <c r="R74" s="119"/>
      <c r="S74" s="119"/>
      <c r="T74" s="119"/>
      <c r="U74" s="119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</row>
    <row r="75" ht="34.5" customHeight="1">
      <c r="A75" s="30"/>
      <c r="B75" s="30"/>
      <c r="C75" s="125"/>
      <c r="D75" s="171"/>
      <c r="E75" s="123" t="str">
        <f>IF(ISERROR(VLOOKUP(D75,'Matriz SWOT'!$J$5:$K$24,2,FALSE)),"",VLOOKUP(D75,'Matriz SWOT'!$J$5:$K$24,2,FALSE))</f>
        <v/>
      </c>
      <c r="F75" s="166"/>
      <c r="G75" s="124" t="str">
        <f t="shared" si="1"/>
        <v/>
      </c>
      <c r="H75" s="167"/>
      <c r="I75" s="168"/>
      <c r="J75" s="169"/>
      <c r="K75" s="123"/>
      <c r="L75" s="119"/>
      <c r="M75" s="119"/>
      <c r="N75" s="119"/>
      <c r="O75" s="119"/>
      <c r="P75" s="170"/>
      <c r="Q75" s="119"/>
      <c r="R75" s="119"/>
      <c r="S75" s="119"/>
      <c r="T75" s="119"/>
      <c r="U75" s="119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</row>
    <row r="76" ht="34.5" customHeight="1">
      <c r="A76" s="30"/>
      <c r="B76" s="30"/>
      <c r="C76" s="125"/>
      <c r="D76" s="171"/>
      <c r="E76" s="123" t="str">
        <f>IF(ISERROR(VLOOKUP(D76,'Matriz SWOT'!$J$5:$K$24,2,FALSE)),"",VLOOKUP(D76,'Matriz SWOT'!$J$5:$K$24,2,FALSE))</f>
        <v/>
      </c>
      <c r="F76" s="166"/>
      <c r="G76" s="124" t="str">
        <f t="shared" si="1"/>
        <v/>
      </c>
      <c r="H76" s="167"/>
      <c r="I76" s="168"/>
      <c r="J76" s="169"/>
      <c r="K76" s="123"/>
      <c r="L76" s="119"/>
      <c r="M76" s="119"/>
      <c r="N76" s="119"/>
      <c r="O76" s="119"/>
      <c r="P76" s="170"/>
      <c r="Q76" s="119"/>
      <c r="R76" s="119"/>
      <c r="S76" s="119"/>
      <c r="T76" s="119"/>
      <c r="U76" s="119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</row>
    <row r="77" ht="34.5" customHeight="1">
      <c r="A77" s="30"/>
      <c r="B77" s="30"/>
      <c r="C77" s="125"/>
      <c r="D77" s="171"/>
      <c r="E77" s="123" t="str">
        <f>IF(ISERROR(VLOOKUP(D77,'Matriz SWOT'!$J$5:$K$24,2,FALSE)),"",VLOOKUP(D77,'Matriz SWOT'!$J$5:$K$24,2,FALSE))</f>
        <v/>
      </c>
      <c r="F77" s="166"/>
      <c r="G77" s="124" t="str">
        <f t="shared" si="1"/>
        <v/>
      </c>
      <c r="H77" s="167"/>
      <c r="I77" s="168"/>
      <c r="J77" s="169"/>
      <c r="K77" s="123"/>
      <c r="L77" s="119"/>
      <c r="M77" s="119"/>
      <c r="N77" s="119"/>
      <c r="O77" s="119"/>
      <c r="P77" s="170"/>
      <c r="Q77" s="119"/>
      <c r="R77" s="119"/>
      <c r="S77" s="119"/>
      <c r="T77" s="119"/>
      <c r="U77" s="119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</row>
    <row r="78" ht="34.5" customHeight="1">
      <c r="A78" s="30"/>
      <c r="B78" s="30"/>
      <c r="C78" s="125"/>
      <c r="D78" s="171"/>
      <c r="E78" s="123" t="str">
        <f>IF(ISERROR(VLOOKUP(D78,'Matriz SWOT'!$J$5:$K$24,2,FALSE)),"",VLOOKUP(D78,'Matriz SWOT'!$J$5:$K$24,2,FALSE))</f>
        <v/>
      </c>
      <c r="F78" s="166"/>
      <c r="G78" s="124" t="str">
        <f t="shared" si="1"/>
        <v/>
      </c>
      <c r="H78" s="167"/>
      <c r="I78" s="168"/>
      <c r="J78" s="169"/>
      <c r="K78" s="123"/>
      <c r="L78" s="119"/>
      <c r="M78" s="119"/>
      <c r="N78" s="119"/>
      <c r="O78" s="119"/>
      <c r="P78" s="170"/>
      <c r="Q78" s="119"/>
      <c r="R78" s="119"/>
      <c r="S78" s="119"/>
      <c r="T78" s="119"/>
      <c r="U78" s="119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</row>
    <row r="79" ht="34.5" customHeight="1">
      <c r="A79" s="30"/>
      <c r="B79" s="30"/>
      <c r="C79" s="125"/>
      <c r="D79" s="171"/>
      <c r="E79" s="123" t="str">
        <f>IF(ISERROR(VLOOKUP(D79,'Matriz SWOT'!$J$5:$K$24,2,FALSE)),"",VLOOKUP(D79,'Matriz SWOT'!$J$5:$K$24,2,FALSE))</f>
        <v/>
      </c>
      <c r="F79" s="166"/>
      <c r="G79" s="124" t="str">
        <f t="shared" si="1"/>
        <v/>
      </c>
      <c r="H79" s="167"/>
      <c r="I79" s="168"/>
      <c r="J79" s="169"/>
      <c r="K79" s="123"/>
      <c r="L79" s="119"/>
      <c r="M79" s="119"/>
      <c r="N79" s="119"/>
      <c r="O79" s="119"/>
      <c r="P79" s="170"/>
      <c r="Q79" s="119"/>
      <c r="R79" s="119"/>
      <c r="S79" s="119"/>
      <c r="T79" s="119"/>
      <c r="U79" s="119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</row>
    <row r="80" ht="34.5" customHeight="1">
      <c r="A80" s="30"/>
      <c r="B80" s="30"/>
      <c r="C80" s="125"/>
      <c r="D80" s="171"/>
      <c r="E80" s="123" t="str">
        <f>IF(ISERROR(VLOOKUP(D80,'Matriz SWOT'!$J$5:$K$24,2,FALSE)),"",VLOOKUP(D80,'Matriz SWOT'!$J$5:$K$24,2,FALSE))</f>
        <v/>
      </c>
      <c r="F80" s="166"/>
      <c r="G80" s="124" t="str">
        <f t="shared" si="1"/>
        <v/>
      </c>
      <c r="H80" s="167"/>
      <c r="I80" s="168"/>
      <c r="J80" s="169"/>
      <c r="K80" s="123"/>
      <c r="L80" s="119"/>
      <c r="M80" s="119"/>
      <c r="N80" s="119"/>
      <c r="O80" s="119"/>
      <c r="P80" s="170"/>
      <c r="Q80" s="119"/>
      <c r="R80" s="119"/>
      <c r="S80" s="119"/>
      <c r="T80" s="119"/>
      <c r="U80" s="119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</row>
    <row r="81" ht="34.5" customHeight="1">
      <c r="A81" s="30"/>
      <c r="B81" s="30"/>
      <c r="C81" s="125"/>
      <c r="D81" s="171"/>
      <c r="E81" s="123" t="str">
        <f>IF(ISERROR(VLOOKUP(D81,'Matriz SWOT'!$J$5:$K$24,2,FALSE)),"",VLOOKUP(D81,'Matriz SWOT'!$J$5:$K$24,2,FALSE))</f>
        <v/>
      </c>
      <c r="F81" s="166"/>
      <c r="G81" s="124" t="str">
        <f t="shared" si="1"/>
        <v/>
      </c>
      <c r="H81" s="167"/>
      <c r="I81" s="168"/>
      <c r="J81" s="169"/>
      <c r="K81" s="123"/>
      <c r="L81" s="119"/>
      <c r="M81" s="119"/>
      <c r="N81" s="119"/>
      <c r="O81" s="119"/>
      <c r="P81" s="170"/>
      <c r="Q81" s="119"/>
      <c r="R81" s="119"/>
      <c r="S81" s="119"/>
      <c r="T81" s="119"/>
      <c r="U81" s="119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</row>
    <row r="82" ht="34.5" customHeight="1">
      <c r="A82" s="30"/>
      <c r="B82" s="30"/>
      <c r="C82" s="125"/>
      <c r="D82" s="171"/>
      <c r="E82" s="123" t="str">
        <f>IF(ISERROR(VLOOKUP(D82,'Matriz SWOT'!$J$5:$K$24,2,FALSE)),"",VLOOKUP(D82,'Matriz SWOT'!$J$5:$K$24,2,FALSE))</f>
        <v/>
      </c>
      <c r="F82" s="166"/>
      <c r="G82" s="124" t="str">
        <f t="shared" si="1"/>
        <v/>
      </c>
      <c r="H82" s="167"/>
      <c r="I82" s="168"/>
      <c r="J82" s="169"/>
      <c r="K82" s="123"/>
      <c r="L82" s="119"/>
      <c r="M82" s="119"/>
      <c r="N82" s="119"/>
      <c r="O82" s="119"/>
      <c r="P82" s="170"/>
      <c r="Q82" s="119"/>
      <c r="R82" s="119"/>
      <c r="S82" s="119"/>
      <c r="T82" s="119"/>
      <c r="U82" s="119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</row>
    <row r="83" ht="34.5" customHeight="1">
      <c r="A83" s="30"/>
      <c r="B83" s="30"/>
      <c r="C83" s="125"/>
      <c r="D83" s="171"/>
      <c r="E83" s="123" t="str">
        <f>IF(ISERROR(VLOOKUP(D83,'Matriz SWOT'!$J$5:$K$24,2,FALSE)),"",VLOOKUP(D83,'Matriz SWOT'!$J$5:$K$24,2,FALSE))</f>
        <v/>
      </c>
      <c r="F83" s="166"/>
      <c r="G83" s="124" t="str">
        <f t="shared" si="1"/>
        <v/>
      </c>
      <c r="H83" s="167"/>
      <c r="I83" s="168"/>
      <c r="J83" s="169"/>
      <c r="K83" s="123"/>
      <c r="L83" s="119"/>
      <c r="M83" s="119"/>
      <c r="N83" s="119"/>
      <c r="O83" s="119"/>
      <c r="P83" s="170"/>
      <c r="Q83" s="119"/>
      <c r="R83" s="119"/>
      <c r="S83" s="119"/>
      <c r="T83" s="119"/>
      <c r="U83" s="119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</row>
    <row r="84" ht="34.5" customHeight="1">
      <c r="A84" s="30"/>
      <c r="B84" s="30"/>
      <c r="C84" s="125"/>
      <c r="D84" s="171"/>
      <c r="E84" s="123" t="str">
        <f>IF(ISERROR(VLOOKUP(D84,'Matriz SWOT'!$J$5:$K$24,2,FALSE)),"",VLOOKUP(D84,'Matriz SWOT'!$J$5:$K$24,2,FALSE))</f>
        <v/>
      </c>
      <c r="F84" s="166"/>
      <c r="G84" s="124" t="str">
        <f t="shared" si="1"/>
        <v/>
      </c>
      <c r="H84" s="167"/>
      <c r="I84" s="168"/>
      <c r="J84" s="169"/>
      <c r="K84" s="123"/>
      <c r="L84" s="119"/>
      <c r="M84" s="119"/>
      <c r="N84" s="119"/>
      <c r="O84" s="119"/>
      <c r="P84" s="170"/>
      <c r="Q84" s="119"/>
      <c r="R84" s="119"/>
      <c r="S84" s="119"/>
      <c r="T84" s="119"/>
      <c r="U84" s="119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</row>
    <row r="85" ht="34.5" customHeight="1">
      <c r="A85" s="30"/>
      <c r="B85" s="30"/>
      <c r="C85" s="125"/>
      <c r="D85" s="171"/>
      <c r="E85" s="123" t="str">
        <f>IF(ISERROR(VLOOKUP(D85,'Matriz SWOT'!$J$5:$K$24,2,FALSE)),"",VLOOKUP(D85,'Matriz SWOT'!$J$5:$K$24,2,FALSE))</f>
        <v/>
      </c>
      <c r="F85" s="166"/>
      <c r="G85" s="124" t="str">
        <f t="shared" si="1"/>
        <v/>
      </c>
      <c r="H85" s="167"/>
      <c r="I85" s="168"/>
      <c r="J85" s="169"/>
      <c r="K85" s="123"/>
      <c r="L85" s="119"/>
      <c r="M85" s="119"/>
      <c r="N85" s="119"/>
      <c r="O85" s="119"/>
      <c r="P85" s="170"/>
      <c r="Q85" s="119"/>
      <c r="R85" s="119"/>
      <c r="S85" s="119"/>
      <c r="T85" s="119"/>
      <c r="U85" s="119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</row>
    <row r="86" ht="34.5" customHeight="1">
      <c r="A86" s="30"/>
      <c r="B86" s="30"/>
      <c r="C86" s="125"/>
      <c r="D86" s="171"/>
      <c r="E86" s="123" t="str">
        <f>IF(ISERROR(VLOOKUP(D86,'Matriz SWOT'!$J$5:$K$24,2,FALSE)),"",VLOOKUP(D86,'Matriz SWOT'!$J$5:$K$24,2,FALSE))</f>
        <v/>
      </c>
      <c r="F86" s="166"/>
      <c r="G86" s="124" t="str">
        <f t="shared" si="1"/>
        <v/>
      </c>
      <c r="H86" s="167"/>
      <c r="I86" s="168"/>
      <c r="J86" s="169"/>
      <c r="K86" s="123"/>
      <c r="L86" s="119"/>
      <c r="M86" s="119"/>
      <c r="N86" s="119"/>
      <c r="O86" s="119"/>
      <c r="P86" s="170"/>
      <c r="Q86" s="119"/>
      <c r="R86" s="119"/>
      <c r="S86" s="119"/>
      <c r="T86" s="119"/>
      <c r="U86" s="119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</row>
    <row r="87" ht="34.5" customHeight="1">
      <c r="A87" s="30"/>
      <c r="B87" s="30"/>
      <c r="C87" s="125"/>
      <c r="D87" s="171"/>
      <c r="E87" s="123" t="str">
        <f>IF(ISERROR(VLOOKUP(D87,'Matriz SWOT'!$J$5:$K$24,2,FALSE)),"",VLOOKUP(D87,'Matriz SWOT'!$J$5:$K$24,2,FALSE))</f>
        <v/>
      </c>
      <c r="F87" s="166"/>
      <c r="G87" s="124" t="str">
        <f t="shared" si="1"/>
        <v/>
      </c>
      <c r="H87" s="167"/>
      <c r="I87" s="168"/>
      <c r="J87" s="169"/>
      <c r="K87" s="123"/>
      <c r="L87" s="119"/>
      <c r="M87" s="119"/>
      <c r="N87" s="119"/>
      <c r="O87" s="119"/>
      <c r="P87" s="170"/>
      <c r="Q87" s="119"/>
      <c r="R87" s="119"/>
      <c r="S87" s="119"/>
      <c r="T87" s="119"/>
      <c r="U87" s="119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</row>
    <row r="88" ht="34.5" customHeight="1">
      <c r="A88" s="30"/>
      <c r="B88" s="30"/>
      <c r="C88" s="125"/>
      <c r="D88" s="171"/>
      <c r="E88" s="123" t="str">
        <f>IF(ISERROR(VLOOKUP(D88,'Matriz SWOT'!$J$5:$K$24,2,FALSE)),"",VLOOKUP(D88,'Matriz SWOT'!$J$5:$K$24,2,FALSE))</f>
        <v/>
      </c>
      <c r="F88" s="166"/>
      <c r="G88" s="124" t="str">
        <f t="shared" si="1"/>
        <v/>
      </c>
      <c r="H88" s="167"/>
      <c r="I88" s="168"/>
      <c r="J88" s="169"/>
      <c r="K88" s="123"/>
      <c r="L88" s="119"/>
      <c r="M88" s="119"/>
      <c r="N88" s="119"/>
      <c r="O88" s="119"/>
      <c r="P88" s="170"/>
      <c r="Q88" s="119"/>
      <c r="R88" s="119"/>
      <c r="S88" s="119"/>
      <c r="T88" s="119"/>
      <c r="U88" s="119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</row>
    <row r="89" ht="34.5" customHeight="1">
      <c r="A89" s="30"/>
      <c r="B89" s="30"/>
      <c r="C89" s="125"/>
      <c r="D89" s="171"/>
      <c r="E89" s="123" t="str">
        <f>IF(ISERROR(VLOOKUP(D89,'Matriz SWOT'!$J$5:$K$24,2,FALSE)),"",VLOOKUP(D89,'Matriz SWOT'!$J$5:$K$24,2,FALSE))</f>
        <v/>
      </c>
      <c r="F89" s="166"/>
      <c r="G89" s="124" t="str">
        <f t="shared" si="1"/>
        <v/>
      </c>
      <c r="H89" s="167"/>
      <c r="I89" s="168"/>
      <c r="J89" s="169"/>
      <c r="K89" s="123"/>
      <c r="L89" s="119"/>
      <c r="M89" s="119"/>
      <c r="N89" s="119"/>
      <c r="O89" s="119"/>
      <c r="P89" s="170"/>
      <c r="Q89" s="119"/>
      <c r="R89" s="119"/>
      <c r="S89" s="119"/>
      <c r="T89" s="119"/>
      <c r="U89" s="119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</row>
    <row r="90" ht="34.5" customHeight="1">
      <c r="A90" s="30"/>
      <c r="B90" s="30"/>
      <c r="C90" s="125"/>
      <c r="D90" s="171"/>
      <c r="E90" s="123" t="str">
        <f>IF(ISERROR(VLOOKUP(D90,'Matriz SWOT'!$J$5:$K$24,2,FALSE)),"",VLOOKUP(D90,'Matriz SWOT'!$J$5:$K$24,2,FALSE))</f>
        <v/>
      </c>
      <c r="F90" s="166"/>
      <c r="G90" s="124" t="str">
        <f t="shared" si="1"/>
        <v/>
      </c>
      <c r="H90" s="167"/>
      <c r="I90" s="168"/>
      <c r="J90" s="169"/>
      <c r="K90" s="123"/>
      <c r="L90" s="119"/>
      <c r="M90" s="119"/>
      <c r="N90" s="119"/>
      <c r="O90" s="119"/>
      <c r="P90" s="170"/>
      <c r="Q90" s="119"/>
      <c r="R90" s="119"/>
      <c r="S90" s="119"/>
      <c r="T90" s="119"/>
      <c r="U90" s="119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</row>
    <row r="91" ht="34.5" customHeight="1">
      <c r="A91" s="30"/>
      <c r="B91" s="30"/>
      <c r="C91" s="125"/>
      <c r="D91" s="171"/>
      <c r="E91" s="123" t="str">
        <f>IF(ISERROR(VLOOKUP(D91,'Matriz SWOT'!$J$5:$K$24,2,FALSE)),"",VLOOKUP(D91,'Matriz SWOT'!$J$5:$K$24,2,FALSE))</f>
        <v/>
      </c>
      <c r="F91" s="166"/>
      <c r="G91" s="124" t="str">
        <f t="shared" si="1"/>
        <v/>
      </c>
      <c r="H91" s="167"/>
      <c r="I91" s="168"/>
      <c r="J91" s="169"/>
      <c r="K91" s="123"/>
      <c r="L91" s="119"/>
      <c r="M91" s="119"/>
      <c r="N91" s="119"/>
      <c r="O91" s="119"/>
      <c r="P91" s="170"/>
      <c r="Q91" s="119"/>
      <c r="R91" s="119"/>
      <c r="S91" s="119"/>
      <c r="T91" s="119"/>
      <c r="U91" s="119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</row>
    <row r="92" ht="34.5" customHeight="1">
      <c r="A92" s="30"/>
      <c r="B92" s="30"/>
      <c r="C92" s="125"/>
      <c r="D92" s="171"/>
      <c r="E92" s="123" t="str">
        <f>IF(ISERROR(VLOOKUP(D92,'Matriz SWOT'!$J$5:$K$24,2,FALSE)),"",VLOOKUP(D92,'Matriz SWOT'!$J$5:$K$24,2,FALSE))</f>
        <v/>
      </c>
      <c r="F92" s="166"/>
      <c r="G92" s="124" t="str">
        <f t="shared" si="1"/>
        <v/>
      </c>
      <c r="H92" s="167"/>
      <c r="I92" s="168"/>
      <c r="J92" s="169"/>
      <c r="K92" s="123"/>
      <c r="L92" s="119"/>
      <c r="M92" s="119"/>
      <c r="N92" s="119"/>
      <c r="O92" s="119"/>
      <c r="P92" s="170"/>
      <c r="Q92" s="119"/>
      <c r="R92" s="119"/>
      <c r="S92" s="119"/>
      <c r="T92" s="119"/>
      <c r="U92" s="119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</row>
    <row r="93" ht="34.5" customHeight="1">
      <c r="A93" s="30"/>
      <c r="B93" s="30"/>
      <c r="C93" s="125"/>
      <c r="D93" s="171"/>
      <c r="E93" s="123" t="str">
        <f>IF(ISERROR(VLOOKUP(D93,'Matriz SWOT'!$J$5:$K$24,2,FALSE)),"",VLOOKUP(D93,'Matriz SWOT'!$J$5:$K$24,2,FALSE))</f>
        <v/>
      </c>
      <c r="F93" s="166"/>
      <c r="G93" s="124" t="str">
        <f t="shared" si="1"/>
        <v/>
      </c>
      <c r="H93" s="167"/>
      <c r="I93" s="168"/>
      <c r="J93" s="169"/>
      <c r="K93" s="123"/>
      <c r="L93" s="119"/>
      <c r="M93" s="119"/>
      <c r="N93" s="119"/>
      <c r="O93" s="119"/>
      <c r="P93" s="170"/>
      <c r="Q93" s="119"/>
      <c r="R93" s="119"/>
      <c r="S93" s="119"/>
      <c r="T93" s="119"/>
      <c r="U93" s="119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</row>
    <row r="94" ht="34.5" customHeight="1">
      <c r="A94" s="30"/>
      <c r="B94" s="30"/>
      <c r="C94" s="125"/>
      <c r="D94" s="171"/>
      <c r="E94" s="123" t="str">
        <f>IF(ISERROR(VLOOKUP(D94,'Matriz SWOT'!$J$5:$K$24,2,FALSE)),"",VLOOKUP(D94,'Matriz SWOT'!$J$5:$K$24,2,FALSE))</f>
        <v/>
      </c>
      <c r="F94" s="166"/>
      <c r="G94" s="124" t="str">
        <f t="shared" si="1"/>
        <v/>
      </c>
      <c r="H94" s="167"/>
      <c r="I94" s="168"/>
      <c r="J94" s="169"/>
      <c r="K94" s="123"/>
      <c r="L94" s="119"/>
      <c r="M94" s="119"/>
      <c r="N94" s="119"/>
      <c r="O94" s="119"/>
      <c r="P94" s="170"/>
      <c r="Q94" s="119"/>
      <c r="R94" s="119"/>
      <c r="S94" s="119"/>
      <c r="T94" s="119"/>
      <c r="U94" s="119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</row>
    <row r="95" ht="34.5" customHeight="1">
      <c r="A95" s="30"/>
      <c r="B95" s="30"/>
      <c r="C95" s="125"/>
      <c r="D95" s="171"/>
      <c r="E95" s="123" t="str">
        <f>IF(ISERROR(VLOOKUP(D95,'Matriz SWOT'!$J$5:$K$24,2,FALSE)),"",VLOOKUP(D95,'Matriz SWOT'!$J$5:$K$24,2,FALSE))</f>
        <v/>
      </c>
      <c r="F95" s="166"/>
      <c r="G95" s="124" t="str">
        <f t="shared" si="1"/>
        <v/>
      </c>
      <c r="H95" s="167"/>
      <c r="I95" s="168"/>
      <c r="J95" s="169"/>
      <c r="K95" s="123"/>
      <c r="L95" s="119"/>
      <c r="M95" s="119"/>
      <c r="N95" s="119"/>
      <c r="O95" s="119"/>
      <c r="P95" s="170"/>
      <c r="Q95" s="119"/>
      <c r="R95" s="119"/>
      <c r="S95" s="119"/>
      <c r="T95" s="119"/>
      <c r="U95" s="119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</row>
    <row r="96" ht="34.5" customHeight="1">
      <c r="A96" s="30"/>
      <c r="B96" s="30"/>
      <c r="C96" s="125"/>
      <c r="D96" s="171"/>
      <c r="E96" s="123" t="str">
        <f>IF(ISERROR(VLOOKUP(D96,'Matriz SWOT'!$J$5:$K$24,2,FALSE)),"",VLOOKUP(D96,'Matriz SWOT'!$J$5:$K$24,2,FALSE))</f>
        <v/>
      </c>
      <c r="F96" s="166"/>
      <c r="G96" s="124" t="str">
        <f t="shared" si="1"/>
        <v/>
      </c>
      <c r="H96" s="167"/>
      <c r="I96" s="168"/>
      <c r="J96" s="169"/>
      <c r="K96" s="123"/>
      <c r="L96" s="119"/>
      <c r="M96" s="119"/>
      <c r="N96" s="119"/>
      <c r="O96" s="119"/>
      <c r="P96" s="170"/>
      <c r="Q96" s="119"/>
      <c r="R96" s="119"/>
      <c r="S96" s="119"/>
      <c r="T96" s="119"/>
      <c r="U96" s="119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</row>
    <row r="97" ht="34.5" customHeight="1">
      <c r="A97" s="30"/>
      <c r="B97" s="30"/>
      <c r="C97" s="125"/>
      <c r="D97" s="171"/>
      <c r="E97" s="123" t="str">
        <f>IF(ISERROR(VLOOKUP(D97,'Matriz SWOT'!$J$5:$K$24,2,FALSE)),"",VLOOKUP(D97,'Matriz SWOT'!$J$5:$K$24,2,FALSE))</f>
        <v/>
      </c>
      <c r="F97" s="166"/>
      <c r="G97" s="124" t="str">
        <f t="shared" si="1"/>
        <v/>
      </c>
      <c r="H97" s="167"/>
      <c r="I97" s="168"/>
      <c r="J97" s="169"/>
      <c r="K97" s="123"/>
      <c r="L97" s="119"/>
      <c r="M97" s="119"/>
      <c r="N97" s="119"/>
      <c r="O97" s="119"/>
      <c r="P97" s="170"/>
      <c r="Q97" s="119"/>
      <c r="R97" s="119"/>
      <c r="S97" s="119"/>
      <c r="T97" s="119"/>
      <c r="U97" s="119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</row>
    <row r="98" ht="34.5" customHeight="1">
      <c r="A98" s="30"/>
      <c r="B98" s="30"/>
      <c r="C98" s="125"/>
      <c r="D98" s="171"/>
      <c r="E98" s="123" t="str">
        <f>IF(ISERROR(VLOOKUP(D98,'Matriz SWOT'!$J$5:$K$24,2,FALSE)),"",VLOOKUP(D98,'Matriz SWOT'!$J$5:$K$24,2,FALSE))</f>
        <v/>
      </c>
      <c r="F98" s="166"/>
      <c r="G98" s="124" t="str">
        <f t="shared" si="1"/>
        <v/>
      </c>
      <c r="H98" s="167"/>
      <c r="I98" s="168"/>
      <c r="J98" s="169"/>
      <c r="K98" s="123"/>
      <c r="L98" s="119"/>
      <c r="M98" s="119"/>
      <c r="N98" s="119"/>
      <c r="O98" s="119"/>
      <c r="P98" s="170"/>
      <c r="Q98" s="119"/>
      <c r="R98" s="119"/>
      <c r="S98" s="119"/>
      <c r="T98" s="119"/>
      <c r="U98" s="119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</row>
    <row r="99" ht="34.5" customHeight="1">
      <c r="A99" s="30"/>
      <c r="B99" s="30"/>
      <c r="C99" s="125"/>
      <c r="D99" s="171"/>
      <c r="E99" s="123" t="str">
        <f>IF(ISERROR(VLOOKUP(D99,'Matriz SWOT'!$J$5:$K$24,2,FALSE)),"",VLOOKUP(D99,'Matriz SWOT'!$J$5:$K$24,2,FALSE))</f>
        <v/>
      </c>
      <c r="F99" s="166"/>
      <c r="G99" s="124" t="str">
        <f t="shared" si="1"/>
        <v/>
      </c>
      <c r="H99" s="167"/>
      <c r="I99" s="168"/>
      <c r="J99" s="169"/>
      <c r="K99" s="123"/>
      <c r="L99" s="119"/>
      <c r="M99" s="119"/>
      <c r="N99" s="119"/>
      <c r="O99" s="119"/>
      <c r="P99" s="170"/>
      <c r="Q99" s="119"/>
      <c r="R99" s="119"/>
      <c r="S99" s="119"/>
      <c r="T99" s="119"/>
      <c r="U99" s="119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</row>
    <row r="100" ht="34.5" customHeight="1">
      <c r="A100" s="30"/>
      <c r="B100" s="30"/>
      <c r="C100" s="125"/>
      <c r="D100" s="171"/>
      <c r="E100" s="123" t="str">
        <f>IF(ISERROR(VLOOKUP(D100,'Matriz SWOT'!$J$5:$K$24,2,FALSE)),"",VLOOKUP(D100,'Matriz SWOT'!$J$5:$K$24,2,FALSE))</f>
        <v/>
      </c>
      <c r="F100" s="166"/>
      <c r="G100" s="124" t="str">
        <f t="shared" si="1"/>
        <v/>
      </c>
      <c r="H100" s="167"/>
      <c r="I100" s="168"/>
      <c r="J100" s="169"/>
      <c r="K100" s="123"/>
      <c r="L100" s="119"/>
      <c r="M100" s="119"/>
      <c r="N100" s="119"/>
      <c r="O100" s="119"/>
      <c r="P100" s="170"/>
      <c r="Q100" s="119"/>
      <c r="R100" s="119"/>
      <c r="S100" s="119"/>
      <c r="T100" s="119"/>
      <c r="U100" s="119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</row>
    <row r="101" ht="34.5" customHeight="1">
      <c r="A101" s="30"/>
      <c r="B101" s="30"/>
      <c r="C101" s="125"/>
      <c r="D101" s="171"/>
      <c r="E101" s="123" t="str">
        <f>IF(ISERROR(VLOOKUP(D101,'Matriz SWOT'!$J$5:$K$24,2,FALSE)),"",VLOOKUP(D101,'Matriz SWOT'!$J$5:$K$24,2,FALSE))</f>
        <v/>
      </c>
      <c r="F101" s="166"/>
      <c r="G101" s="124" t="str">
        <f t="shared" si="1"/>
        <v/>
      </c>
      <c r="H101" s="167"/>
      <c r="I101" s="168"/>
      <c r="J101" s="169"/>
      <c r="K101" s="123"/>
      <c r="L101" s="119"/>
      <c r="M101" s="119"/>
      <c r="N101" s="119"/>
      <c r="O101" s="119"/>
      <c r="P101" s="170"/>
      <c r="Q101" s="119"/>
      <c r="R101" s="119"/>
      <c r="S101" s="119"/>
      <c r="T101" s="119"/>
      <c r="U101" s="119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</row>
    <row r="102" ht="34.5" customHeight="1">
      <c r="A102" s="30"/>
      <c r="B102" s="30"/>
      <c r="C102" s="125"/>
      <c r="D102" s="171"/>
      <c r="E102" s="123" t="str">
        <f>IF(ISERROR(VLOOKUP(D102,'Matriz SWOT'!$J$5:$K$24,2,FALSE)),"",VLOOKUP(D102,'Matriz SWOT'!$J$5:$K$24,2,FALSE))</f>
        <v/>
      </c>
      <c r="F102" s="166"/>
      <c r="G102" s="124" t="str">
        <f t="shared" si="1"/>
        <v/>
      </c>
      <c r="H102" s="167"/>
      <c r="I102" s="168"/>
      <c r="J102" s="169"/>
      <c r="K102" s="123"/>
      <c r="L102" s="119"/>
      <c r="M102" s="119"/>
      <c r="N102" s="119"/>
      <c r="O102" s="119"/>
      <c r="P102" s="170"/>
      <c r="Q102" s="119"/>
      <c r="R102" s="119"/>
      <c r="S102" s="119"/>
      <c r="T102" s="119"/>
      <c r="U102" s="119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</row>
    <row r="103" ht="34.5" customHeight="1">
      <c r="A103" s="30"/>
      <c r="B103" s="30"/>
      <c r="C103" s="125"/>
      <c r="D103" s="171"/>
      <c r="E103" s="123" t="str">
        <f>IF(ISERROR(VLOOKUP(D103,'Matriz SWOT'!$J$5:$K$24,2,FALSE)),"",VLOOKUP(D103,'Matriz SWOT'!$J$5:$K$24,2,FALSE))</f>
        <v/>
      </c>
      <c r="F103" s="166"/>
      <c r="G103" s="124" t="str">
        <f t="shared" si="1"/>
        <v/>
      </c>
      <c r="H103" s="167"/>
      <c r="I103" s="168"/>
      <c r="J103" s="169"/>
      <c r="K103" s="123"/>
      <c r="L103" s="119"/>
      <c r="M103" s="119"/>
      <c r="N103" s="119"/>
      <c r="O103" s="119"/>
      <c r="P103" s="170"/>
      <c r="Q103" s="119"/>
      <c r="R103" s="119"/>
      <c r="S103" s="119"/>
      <c r="T103" s="119"/>
      <c r="U103" s="119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</row>
    <row r="104" ht="34.5" customHeight="1">
      <c r="A104" s="30"/>
      <c r="B104" s="30"/>
      <c r="C104" s="125"/>
      <c r="D104" s="171"/>
      <c r="E104" s="123" t="str">
        <f>IF(ISERROR(VLOOKUP(D104,'Matriz SWOT'!$J$5:$K$24,2,FALSE)),"",VLOOKUP(D104,'Matriz SWOT'!$J$5:$K$24,2,FALSE))</f>
        <v/>
      </c>
      <c r="F104" s="166"/>
      <c r="G104" s="124" t="str">
        <f t="shared" si="1"/>
        <v/>
      </c>
      <c r="H104" s="167"/>
      <c r="I104" s="168"/>
      <c r="J104" s="169"/>
      <c r="K104" s="123"/>
      <c r="L104" s="119"/>
      <c r="M104" s="119"/>
      <c r="N104" s="119"/>
      <c r="O104" s="119"/>
      <c r="P104" s="170"/>
      <c r="Q104" s="119"/>
      <c r="R104" s="119"/>
      <c r="S104" s="119"/>
      <c r="T104" s="119"/>
      <c r="U104" s="119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</row>
    <row r="105" ht="34.5" customHeight="1">
      <c r="A105" s="30"/>
      <c r="B105" s="30"/>
      <c r="C105" s="125"/>
      <c r="D105" s="171"/>
      <c r="E105" s="123" t="str">
        <f>IF(ISERROR(VLOOKUP(D105,'Matriz SWOT'!$J$5:$K$24,2,FALSE)),"",VLOOKUP(D105,'Matriz SWOT'!$J$5:$K$24,2,FALSE))</f>
        <v/>
      </c>
      <c r="F105" s="166"/>
      <c r="G105" s="124" t="str">
        <f t="shared" si="1"/>
        <v/>
      </c>
      <c r="H105" s="167"/>
      <c r="I105" s="168"/>
      <c r="J105" s="169"/>
      <c r="K105" s="123"/>
      <c r="L105" s="119"/>
      <c r="M105" s="119"/>
      <c r="N105" s="119"/>
      <c r="O105" s="119"/>
      <c r="P105" s="170"/>
      <c r="Q105" s="119"/>
      <c r="R105" s="119"/>
      <c r="S105" s="119"/>
      <c r="T105" s="119"/>
      <c r="U105" s="119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</row>
    <row r="106" ht="34.5" customHeight="1">
      <c r="A106" s="30"/>
      <c r="B106" s="30"/>
      <c r="C106" s="125"/>
      <c r="D106" s="171"/>
      <c r="E106" s="123" t="str">
        <f>IF(ISERROR(VLOOKUP(D106,'Matriz SWOT'!$J$5:$K$24,2,FALSE)),"",VLOOKUP(D106,'Matriz SWOT'!$J$5:$K$24,2,FALSE))</f>
        <v/>
      </c>
      <c r="F106" s="166"/>
      <c r="G106" s="124" t="str">
        <f t="shared" si="1"/>
        <v/>
      </c>
      <c r="H106" s="167"/>
      <c r="I106" s="168"/>
      <c r="J106" s="169"/>
      <c r="K106" s="123"/>
      <c r="L106" s="119"/>
      <c r="M106" s="119"/>
      <c r="N106" s="119"/>
      <c r="O106" s="119"/>
      <c r="P106" s="170"/>
      <c r="Q106" s="119"/>
      <c r="R106" s="119"/>
      <c r="S106" s="119"/>
      <c r="T106" s="119"/>
      <c r="U106" s="119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</row>
    <row r="107" ht="34.5" customHeight="1">
      <c r="A107" s="30"/>
      <c r="B107" s="30"/>
      <c r="C107" s="125"/>
      <c r="D107" s="171"/>
      <c r="E107" s="123" t="str">
        <f>IF(ISERROR(VLOOKUP(D107,'Matriz SWOT'!$J$5:$K$24,2,FALSE)),"",VLOOKUP(D107,'Matriz SWOT'!$J$5:$K$24,2,FALSE))</f>
        <v/>
      </c>
      <c r="F107" s="166"/>
      <c r="G107" s="124" t="str">
        <f t="shared" si="1"/>
        <v/>
      </c>
      <c r="H107" s="167"/>
      <c r="I107" s="168"/>
      <c r="J107" s="169"/>
      <c r="K107" s="123" t="str">
        <f>IF(J107=0,"",IF(J107="Concluído","Concluído",IF(AND(TODAY()&gt;I107,J107&lt;&gt;"Concluído"),"Atrasado",IF(AND(TODAY()&lt;H107,J107="Não iniciado"),"Aguardando",IF(AND(TODAY()&lt;H107,J107="Em andamento"),"Adiantado",IF(AND(TODAY()&gt;=H107,TODAY()&lt;=I107,J107="Em andamento"),"Em andamento","Atrasado"))))))</f>
        <v/>
      </c>
      <c r="L107" s="119"/>
      <c r="N107" s="119"/>
      <c r="O107" s="119"/>
      <c r="P107" s="170"/>
      <c r="Q107" s="119"/>
      <c r="R107" s="119"/>
      <c r="S107" s="119"/>
      <c r="T107" s="119"/>
      <c r="U107" s="119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</row>
    <row r="108" ht="30.0" customHeight="1">
      <c r="A108" s="30"/>
      <c r="B108" s="30"/>
      <c r="C108" s="68"/>
      <c r="F108" s="68"/>
      <c r="G108" s="68"/>
      <c r="L108" s="119"/>
      <c r="M108" s="119"/>
      <c r="N108" s="119"/>
      <c r="O108" s="119"/>
      <c r="P108" s="170"/>
      <c r="Q108" s="119"/>
      <c r="R108" s="119"/>
      <c r="S108" s="119"/>
      <c r="T108" s="119"/>
      <c r="U108" s="119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</row>
    <row r="109" ht="30.0" customHeight="1">
      <c r="A109" s="30"/>
      <c r="B109" s="30"/>
      <c r="C109" s="68"/>
      <c r="F109" s="68"/>
      <c r="G109" s="68"/>
      <c r="L109" s="119"/>
      <c r="M109" s="119"/>
      <c r="N109" s="119"/>
      <c r="O109" s="119"/>
      <c r="P109" s="170"/>
      <c r="Q109" s="119"/>
      <c r="R109" s="119"/>
      <c r="S109" s="119"/>
      <c r="T109" s="119"/>
      <c r="U109" s="119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</row>
    <row r="110" ht="30.0" customHeight="1">
      <c r="A110" s="30"/>
      <c r="B110" s="30"/>
      <c r="C110" s="68"/>
      <c r="F110" s="68"/>
      <c r="G110" s="68"/>
      <c r="L110" s="119"/>
      <c r="M110" s="119"/>
      <c r="N110" s="119"/>
      <c r="O110" s="119"/>
      <c r="P110" s="170"/>
      <c r="Q110" s="119"/>
      <c r="R110" s="119"/>
      <c r="S110" s="119"/>
      <c r="T110" s="119"/>
      <c r="U110" s="119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</row>
    <row r="111" ht="30.0" customHeight="1">
      <c r="A111" s="30"/>
      <c r="B111" s="30"/>
      <c r="C111" s="68"/>
      <c r="F111" s="68"/>
      <c r="G111" s="68"/>
      <c r="L111" s="119"/>
      <c r="M111" s="119"/>
      <c r="N111" s="119"/>
      <c r="O111" s="119"/>
      <c r="P111" s="170"/>
      <c r="Q111" s="119"/>
      <c r="R111" s="119"/>
      <c r="S111" s="119"/>
      <c r="T111" s="119"/>
      <c r="U111" s="119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</row>
    <row r="112" ht="30.0" customHeight="1">
      <c r="A112" s="30"/>
      <c r="B112" s="30"/>
      <c r="C112" s="68"/>
      <c r="F112" s="68"/>
      <c r="G112" s="68"/>
      <c r="L112" s="119"/>
      <c r="M112" s="119"/>
      <c r="N112" s="119"/>
      <c r="O112" s="119"/>
      <c r="P112" s="170"/>
      <c r="Q112" s="119"/>
      <c r="R112" s="119"/>
      <c r="S112" s="119"/>
      <c r="T112" s="119"/>
      <c r="U112" s="119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</row>
    <row r="113" ht="30.0" customHeight="1">
      <c r="A113" s="30"/>
      <c r="B113" s="30"/>
      <c r="L113" s="119"/>
      <c r="M113" s="119"/>
      <c r="N113" s="119"/>
      <c r="O113" s="119"/>
      <c r="P113" s="170"/>
      <c r="Q113" s="119"/>
      <c r="R113" s="119"/>
      <c r="S113" s="119"/>
      <c r="T113" s="119"/>
      <c r="U113" s="119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</row>
    <row r="114" ht="30.0" customHeight="1">
      <c r="A114" s="30"/>
      <c r="B114" s="30"/>
      <c r="L114" s="119"/>
      <c r="M114" s="119"/>
      <c r="N114" s="119"/>
      <c r="O114" s="119"/>
      <c r="P114" s="170"/>
      <c r="Q114" s="119"/>
      <c r="R114" s="119"/>
      <c r="S114" s="119"/>
      <c r="T114" s="119"/>
      <c r="U114" s="119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</row>
    <row r="115" ht="30.0" customHeight="1">
      <c r="A115" s="30"/>
      <c r="B115" s="30"/>
      <c r="L115" s="119"/>
      <c r="M115" s="119"/>
      <c r="N115" s="119"/>
      <c r="O115" s="119"/>
      <c r="P115" s="170"/>
      <c r="Q115" s="119"/>
      <c r="R115" s="119"/>
      <c r="S115" s="119"/>
      <c r="T115" s="119"/>
      <c r="U115" s="119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</row>
    <row r="116" ht="30.0" customHeight="1">
      <c r="A116" s="30"/>
      <c r="B116" s="30"/>
      <c r="L116" s="119"/>
      <c r="M116" s="119"/>
      <c r="N116" s="119"/>
      <c r="O116" s="119"/>
      <c r="P116" s="170"/>
      <c r="Q116" s="119"/>
      <c r="R116" s="119"/>
      <c r="S116" s="119"/>
      <c r="T116" s="119"/>
      <c r="U116" s="119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</row>
    <row r="117" ht="30.0" customHeight="1">
      <c r="A117" s="30"/>
      <c r="B117" s="30"/>
      <c r="L117" s="119"/>
      <c r="M117" s="119"/>
      <c r="N117" s="119"/>
      <c r="O117" s="119"/>
      <c r="P117" s="170"/>
      <c r="Q117" s="119"/>
      <c r="R117" s="119"/>
      <c r="S117" s="119"/>
      <c r="T117" s="119"/>
      <c r="U117" s="119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</row>
    <row r="118" ht="30.0" customHeight="1">
      <c r="A118" s="30"/>
      <c r="B118" s="30"/>
      <c r="L118" s="119"/>
      <c r="M118" s="119"/>
      <c r="N118" s="119"/>
      <c r="O118" s="119"/>
      <c r="P118" s="170"/>
      <c r="Q118" s="119"/>
      <c r="R118" s="119"/>
      <c r="S118" s="119"/>
      <c r="T118" s="119"/>
      <c r="U118" s="119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</row>
    <row r="119" ht="30.0" customHeight="1">
      <c r="A119" s="30"/>
      <c r="B119" s="30"/>
      <c r="J119" s="66"/>
      <c r="K119" s="66"/>
      <c r="L119" s="119"/>
      <c r="M119" s="119"/>
      <c r="N119" s="119"/>
      <c r="O119" s="119"/>
      <c r="P119" s="170"/>
      <c r="Q119" s="119"/>
      <c r="R119" s="119"/>
      <c r="S119" s="119"/>
      <c r="T119" s="119"/>
      <c r="U119" s="119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</row>
    <row r="120" ht="52.5" customHeight="1">
      <c r="A120" s="30"/>
      <c r="B120" s="30"/>
      <c r="J120" s="66"/>
      <c r="K120" s="66"/>
      <c r="L120" s="119"/>
      <c r="M120" s="119"/>
      <c r="N120" s="119"/>
      <c r="O120" s="119"/>
      <c r="P120" s="119"/>
      <c r="Q120" s="170"/>
      <c r="R120" s="119"/>
      <c r="S120" s="119"/>
      <c r="T120" s="119"/>
      <c r="U120" s="119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</row>
    <row r="121" ht="30.0" customHeight="1">
      <c r="A121" s="30"/>
      <c r="B121" s="30"/>
      <c r="J121" s="66"/>
      <c r="K121" s="66"/>
      <c r="L121" s="119"/>
      <c r="M121" s="119"/>
      <c r="N121" s="119"/>
      <c r="O121" s="119"/>
      <c r="P121" s="119"/>
      <c r="Q121" s="170"/>
      <c r="R121" s="119"/>
      <c r="S121" s="119"/>
      <c r="T121" s="119"/>
      <c r="U121" s="119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</row>
    <row r="122" ht="30.0" customHeight="1">
      <c r="A122" s="30"/>
      <c r="B122" s="30"/>
      <c r="J122" s="66"/>
      <c r="K122" s="66"/>
      <c r="L122" s="119"/>
      <c r="M122" s="119"/>
      <c r="N122" s="119"/>
      <c r="O122" s="119"/>
      <c r="P122" s="119"/>
      <c r="Q122" s="170"/>
      <c r="R122" s="119"/>
      <c r="S122" s="119"/>
      <c r="T122" s="119"/>
      <c r="U122" s="119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</row>
    <row r="123" ht="30.0" customHeight="1">
      <c r="A123" s="30"/>
      <c r="B123" s="30"/>
      <c r="J123" s="66"/>
      <c r="K123" s="66"/>
      <c r="L123" s="119"/>
      <c r="M123" s="119"/>
      <c r="N123" s="119"/>
      <c r="O123" s="119"/>
      <c r="P123" s="119"/>
      <c r="Q123" s="170"/>
      <c r="R123" s="119"/>
      <c r="S123" s="119"/>
      <c r="T123" s="119"/>
      <c r="U123" s="119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</row>
    <row r="124" ht="30.0" customHeight="1">
      <c r="A124" s="30"/>
      <c r="B124" s="30"/>
      <c r="J124" s="66"/>
      <c r="K124" s="66"/>
      <c r="L124" s="119"/>
      <c r="M124" s="119"/>
      <c r="N124" s="119"/>
      <c r="O124" s="119"/>
      <c r="P124" s="119"/>
      <c r="Q124" s="170"/>
      <c r="R124" s="119"/>
      <c r="S124" s="119"/>
      <c r="T124" s="119"/>
      <c r="U124" s="119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</row>
    <row r="125" ht="14.25" customHeight="1">
      <c r="A125" s="30"/>
      <c r="B125" s="30"/>
      <c r="C125" s="68"/>
      <c r="F125" s="68"/>
      <c r="G125" s="68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</row>
    <row r="126" ht="14.25" customHeight="1">
      <c r="A126" s="30"/>
      <c r="B126" s="30"/>
      <c r="C126" s="68"/>
      <c r="F126" s="68"/>
      <c r="G126" s="68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</row>
    <row r="127" ht="14.25" customHeight="1">
      <c r="A127" s="30"/>
      <c r="B127" s="30"/>
      <c r="C127" s="68"/>
      <c r="F127" s="68"/>
      <c r="G127" s="68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</row>
    <row r="128" ht="14.25" customHeight="1">
      <c r="A128" s="30"/>
      <c r="B128" s="30"/>
      <c r="C128" s="68"/>
      <c r="F128" s="68"/>
      <c r="G128" s="68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</row>
    <row r="129" ht="14.25" customHeight="1">
      <c r="A129" s="30"/>
      <c r="B129" s="30"/>
      <c r="C129" s="68"/>
      <c r="F129" s="68"/>
      <c r="G129" s="68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</row>
    <row r="130" ht="14.25" customHeight="1">
      <c r="A130" s="30"/>
      <c r="B130" s="30"/>
      <c r="C130" s="68"/>
      <c r="F130" s="68"/>
      <c r="G130" s="68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</row>
    <row r="131" ht="14.25" customHeight="1">
      <c r="A131" s="30"/>
      <c r="B131" s="30"/>
      <c r="C131" s="68"/>
      <c r="F131" s="68"/>
      <c r="G131" s="68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</row>
    <row r="132" ht="14.25" customHeight="1">
      <c r="A132" s="30"/>
      <c r="B132" s="30"/>
      <c r="C132" s="68"/>
      <c r="F132" s="68"/>
      <c r="G132" s="68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</row>
    <row r="133" ht="14.25" customHeight="1">
      <c r="A133" s="30"/>
      <c r="B133" s="30"/>
      <c r="C133" s="68"/>
      <c r="F133" s="68"/>
      <c r="G133" s="68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</row>
    <row r="134" ht="14.25" customHeight="1">
      <c r="A134" s="30"/>
      <c r="B134" s="30"/>
      <c r="C134" s="68"/>
      <c r="F134" s="68"/>
      <c r="G134" s="68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</row>
    <row r="135" ht="14.25" customHeight="1">
      <c r="A135" s="30"/>
      <c r="B135" s="30"/>
      <c r="C135" s="68"/>
      <c r="F135" s="68"/>
      <c r="G135" s="68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</row>
    <row r="136" ht="14.25" customHeight="1">
      <c r="A136" s="30"/>
      <c r="B136" s="30"/>
      <c r="C136" s="68"/>
      <c r="F136" s="68"/>
      <c r="G136" s="68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</row>
    <row r="137" ht="14.25" customHeight="1">
      <c r="A137" s="30"/>
      <c r="B137" s="30"/>
      <c r="C137" s="68"/>
      <c r="F137" s="68"/>
      <c r="G137" s="68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</row>
    <row r="138" ht="14.25" customHeight="1">
      <c r="A138" s="30"/>
      <c r="B138" s="30"/>
      <c r="C138" s="68"/>
      <c r="F138" s="68"/>
      <c r="G138" s="68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</row>
    <row r="139" ht="14.25" customHeight="1">
      <c r="A139" s="30"/>
      <c r="B139" s="30"/>
      <c r="C139" s="68"/>
      <c r="F139" s="68"/>
      <c r="G139" s="68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</row>
    <row r="140" ht="14.25" customHeight="1">
      <c r="A140" s="30"/>
      <c r="B140" s="30"/>
      <c r="C140" s="68"/>
      <c r="F140" s="68"/>
      <c r="G140" s="68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</row>
    <row r="141" ht="14.25" customHeight="1">
      <c r="A141" s="30"/>
      <c r="B141" s="30"/>
      <c r="C141" s="68"/>
      <c r="F141" s="68"/>
      <c r="G141" s="68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</row>
    <row r="142" ht="14.25" customHeight="1">
      <c r="A142" s="30"/>
      <c r="B142" s="30"/>
      <c r="C142" s="68"/>
      <c r="F142" s="68"/>
      <c r="G142" s="68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</row>
    <row r="143" ht="14.25" customHeight="1">
      <c r="A143" s="30"/>
      <c r="B143" s="30"/>
      <c r="C143" s="68"/>
      <c r="F143" s="68"/>
      <c r="G143" s="68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</row>
    <row r="144" ht="14.25" customHeight="1">
      <c r="A144" s="30"/>
      <c r="B144" s="30"/>
      <c r="C144" s="68"/>
      <c r="F144" s="68"/>
      <c r="G144" s="68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</row>
    <row r="145" ht="14.25" customHeight="1">
      <c r="A145" s="30"/>
      <c r="B145" s="30"/>
      <c r="C145" s="68"/>
      <c r="F145" s="68"/>
      <c r="G145" s="68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</row>
    <row r="146" ht="14.25" customHeight="1">
      <c r="A146" s="30"/>
      <c r="B146" s="30"/>
      <c r="C146" s="68"/>
      <c r="F146" s="68"/>
      <c r="G146" s="68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</row>
    <row r="147" ht="14.25" customHeight="1">
      <c r="A147" s="30"/>
      <c r="B147" s="30"/>
      <c r="C147" s="68"/>
      <c r="F147" s="68"/>
      <c r="G147" s="68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</row>
    <row r="148" ht="14.25" customHeight="1">
      <c r="A148" s="30"/>
      <c r="B148" s="30"/>
      <c r="C148" s="68"/>
      <c r="F148" s="68"/>
      <c r="G148" s="68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</row>
    <row r="149" ht="14.25" customHeight="1">
      <c r="A149" s="30"/>
      <c r="B149" s="30"/>
      <c r="C149" s="68"/>
      <c r="F149" s="68"/>
      <c r="G149" s="68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</row>
    <row r="150" ht="14.25" customHeight="1">
      <c r="A150" s="30"/>
      <c r="B150" s="30"/>
      <c r="C150" s="68"/>
      <c r="F150" s="68"/>
      <c r="G150" s="68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</row>
    <row r="151" ht="14.25" customHeight="1">
      <c r="A151" s="30"/>
      <c r="B151" s="30"/>
      <c r="C151" s="68"/>
      <c r="F151" s="68"/>
      <c r="G151" s="68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</row>
    <row r="152" ht="14.25" customHeight="1">
      <c r="A152" s="30"/>
      <c r="B152" s="30"/>
      <c r="C152" s="68"/>
      <c r="F152" s="68"/>
      <c r="G152" s="68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</row>
    <row r="153" ht="14.25" customHeight="1">
      <c r="A153" s="30"/>
      <c r="B153" s="30"/>
      <c r="C153" s="68"/>
      <c r="F153" s="68"/>
      <c r="G153" s="68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</row>
    <row r="154" ht="14.25" customHeight="1">
      <c r="A154" s="30"/>
      <c r="B154" s="30"/>
      <c r="C154" s="68"/>
      <c r="F154" s="68"/>
      <c r="G154" s="68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</row>
    <row r="155" ht="14.25" customHeight="1">
      <c r="A155" s="30"/>
      <c r="B155" s="30"/>
      <c r="C155" s="68"/>
      <c r="F155" s="68"/>
      <c r="G155" s="68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</row>
    <row r="156" ht="14.25" customHeight="1">
      <c r="A156" s="30"/>
      <c r="B156" s="30"/>
      <c r="C156" s="68"/>
      <c r="F156" s="68"/>
      <c r="G156" s="68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</row>
    <row r="157" ht="14.25" customHeight="1">
      <c r="A157" s="30"/>
      <c r="B157" s="30"/>
      <c r="C157" s="68"/>
      <c r="F157" s="68"/>
      <c r="G157" s="68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</row>
    <row r="158" ht="14.25" customHeight="1">
      <c r="A158" s="30"/>
      <c r="B158" s="30"/>
      <c r="C158" s="68"/>
      <c r="F158" s="68"/>
      <c r="G158" s="68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</row>
    <row r="159" ht="14.25" customHeight="1">
      <c r="A159" s="30"/>
      <c r="B159" s="30"/>
      <c r="C159" s="68"/>
      <c r="F159" s="68"/>
      <c r="G159" s="68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</row>
    <row r="160" ht="14.25" customHeight="1">
      <c r="A160" s="30"/>
      <c r="B160" s="30"/>
      <c r="C160" s="68"/>
      <c r="F160" s="68"/>
      <c r="G160" s="68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</row>
    <row r="161" ht="14.25" customHeight="1">
      <c r="A161" s="30"/>
      <c r="B161" s="30"/>
      <c r="C161" s="68"/>
      <c r="F161" s="68"/>
      <c r="G161" s="68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</row>
    <row r="162" ht="14.25" customHeight="1">
      <c r="A162" s="30"/>
      <c r="B162" s="30"/>
      <c r="C162" s="68"/>
      <c r="F162" s="68"/>
      <c r="G162" s="68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</row>
    <row r="163" ht="14.25" customHeight="1">
      <c r="A163" s="30"/>
      <c r="B163" s="30"/>
      <c r="C163" s="68"/>
      <c r="F163" s="68"/>
      <c r="G163" s="68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</row>
    <row r="164" ht="14.25" customHeight="1">
      <c r="A164" s="30"/>
      <c r="B164" s="30"/>
      <c r="C164" s="68"/>
      <c r="F164" s="68"/>
      <c r="G164" s="68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</row>
    <row r="165" ht="14.25" customHeight="1">
      <c r="A165" s="30"/>
      <c r="B165" s="30"/>
      <c r="C165" s="68"/>
      <c r="F165" s="68"/>
      <c r="G165" s="68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</row>
    <row r="166" ht="14.25" customHeight="1">
      <c r="A166" s="30"/>
      <c r="B166" s="30"/>
      <c r="C166" s="68"/>
      <c r="F166" s="68"/>
      <c r="G166" s="68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</row>
    <row r="167" ht="14.25" customHeight="1">
      <c r="A167" s="30"/>
      <c r="B167" s="30"/>
      <c r="C167" s="68"/>
      <c r="F167" s="68"/>
      <c r="G167" s="68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</row>
    <row r="168" ht="14.25" customHeight="1">
      <c r="A168" s="30"/>
      <c r="B168" s="30"/>
      <c r="C168" s="68"/>
      <c r="F168" s="68"/>
      <c r="G168" s="68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</row>
    <row r="169" ht="14.25" customHeight="1">
      <c r="A169" s="30"/>
      <c r="B169" s="30"/>
      <c r="C169" s="68"/>
      <c r="F169" s="68"/>
      <c r="G169" s="68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</row>
    <row r="170" ht="14.25" customHeight="1">
      <c r="A170" s="30"/>
      <c r="B170" s="30"/>
      <c r="C170" s="68"/>
      <c r="F170" s="68"/>
      <c r="G170" s="68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</row>
    <row r="171" ht="14.25" customHeight="1">
      <c r="A171" s="30"/>
      <c r="B171" s="30"/>
      <c r="C171" s="68"/>
      <c r="F171" s="68"/>
      <c r="G171" s="68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</row>
    <row r="172" ht="14.25" customHeight="1">
      <c r="A172" s="30"/>
      <c r="B172" s="30"/>
      <c r="C172" s="68"/>
      <c r="F172" s="68"/>
      <c r="G172" s="68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</row>
    <row r="173" ht="14.25" customHeight="1">
      <c r="A173" s="30"/>
      <c r="B173" s="30"/>
      <c r="C173" s="68"/>
      <c r="F173" s="68"/>
      <c r="G173" s="68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</row>
    <row r="174" ht="14.25" customHeight="1">
      <c r="A174" s="30"/>
      <c r="B174" s="30"/>
      <c r="C174" s="68"/>
      <c r="F174" s="68"/>
      <c r="G174" s="68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</row>
    <row r="175" ht="14.25" customHeight="1">
      <c r="A175" s="30"/>
      <c r="B175" s="30"/>
      <c r="C175" s="68"/>
      <c r="F175" s="68"/>
      <c r="G175" s="68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</row>
    <row r="176" ht="14.25" customHeight="1">
      <c r="A176" s="30"/>
      <c r="B176" s="30"/>
      <c r="C176" s="68"/>
      <c r="F176" s="68"/>
      <c r="G176" s="68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</row>
    <row r="177" ht="14.25" customHeight="1">
      <c r="A177" s="30"/>
      <c r="B177" s="30"/>
      <c r="C177" s="68"/>
      <c r="F177" s="68"/>
      <c r="G177" s="68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</row>
    <row r="178" ht="14.25" customHeight="1">
      <c r="A178" s="30"/>
      <c r="B178" s="30"/>
      <c r="C178" s="68"/>
      <c r="F178" s="68"/>
      <c r="G178" s="68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</row>
    <row r="179" ht="14.25" customHeight="1">
      <c r="A179" s="30"/>
      <c r="B179" s="30"/>
      <c r="C179" s="68"/>
      <c r="F179" s="68"/>
      <c r="G179" s="68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</row>
    <row r="180" ht="14.25" customHeight="1">
      <c r="A180" s="30"/>
      <c r="B180" s="30"/>
      <c r="C180" s="68"/>
      <c r="F180" s="68"/>
      <c r="G180" s="68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</row>
    <row r="181" ht="14.25" customHeight="1">
      <c r="A181" s="30"/>
      <c r="B181" s="30"/>
      <c r="C181" s="68"/>
      <c r="F181" s="68"/>
      <c r="G181" s="68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</row>
    <row r="182" ht="14.25" customHeight="1">
      <c r="A182" s="30"/>
      <c r="B182" s="30"/>
      <c r="C182" s="68"/>
      <c r="F182" s="68"/>
      <c r="G182" s="68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</row>
    <row r="183" ht="14.25" customHeight="1">
      <c r="A183" s="30"/>
      <c r="B183" s="30"/>
      <c r="C183" s="68"/>
      <c r="F183" s="68"/>
      <c r="G183" s="68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</row>
    <row r="184" ht="14.25" customHeight="1">
      <c r="A184" s="30"/>
      <c r="B184" s="30"/>
      <c r="C184" s="68"/>
      <c r="F184" s="68"/>
      <c r="G184" s="68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</row>
    <row r="185" ht="14.25" customHeight="1">
      <c r="A185" s="30"/>
      <c r="B185" s="30"/>
      <c r="C185" s="68"/>
      <c r="F185" s="68"/>
      <c r="G185" s="68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</row>
    <row r="186" ht="14.25" customHeight="1">
      <c r="A186" s="30"/>
      <c r="B186" s="30"/>
      <c r="C186" s="68"/>
      <c r="F186" s="68"/>
      <c r="G186" s="68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</row>
    <row r="187" ht="14.25" customHeight="1">
      <c r="A187" s="30"/>
      <c r="B187" s="30"/>
      <c r="C187" s="68"/>
      <c r="F187" s="68"/>
      <c r="G187" s="68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</row>
    <row r="188" ht="14.25" customHeight="1">
      <c r="A188" s="30"/>
      <c r="B188" s="30"/>
      <c r="C188" s="68"/>
      <c r="F188" s="68"/>
      <c r="G188" s="68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</row>
    <row r="189" ht="14.25" customHeight="1">
      <c r="A189" s="30"/>
      <c r="B189" s="30"/>
      <c r="C189" s="68"/>
      <c r="F189" s="68"/>
      <c r="G189" s="68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</row>
    <row r="190" ht="14.25" customHeight="1">
      <c r="A190" s="30"/>
      <c r="B190" s="30"/>
      <c r="C190" s="68"/>
      <c r="F190" s="68"/>
      <c r="G190" s="68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</row>
    <row r="191" ht="14.25" customHeight="1">
      <c r="A191" s="30"/>
      <c r="B191" s="30"/>
      <c r="C191" s="68"/>
      <c r="F191" s="68"/>
      <c r="G191" s="68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</row>
    <row r="192" ht="14.25" customHeight="1">
      <c r="A192" s="30"/>
      <c r="B192" s="30"/>
      <c r="C192" s="68"/>
      <c r="F192" s="68"/>
      <c r="G192" s="68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</row>
    <row r="193" ht="14.25" customHeight="1">
      <c r="A193" s="30"/>
      <c r="B193" s="30"/>
      <c r="C193" s="68"/>
      <c r="F193" s="68"/>
      <c r="G193" s="68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</row>
    <row r="194" ht="14.25" customHeight="1">
      <c r="A194" s="30"/>
      <c r="B194" s="30"/>
      <c r="C194" s="68"/>
      <c r="F194" s="68"/>
      <c r="G194" s="68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</row>
    <row r="195" ht="14.25" customHeight="1">
      <c r="A195" s="30"/>
      <c r="B195" s="30"/>
      <c r="C195" s="68"/>
      <c r="F195" s="68"/>
      <c r="G195" s="68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</row>
    <row r="196" ht="14.25" customHeight="1">
      <c r="A196" s="30"/>
      <c r="B196" s="30"/>
      <c r="C196" s="68"/>
      <c r="F196" s="68"/>
      <c r="G196" s="68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</row>
    <row r="197" ht="14.25" customHeight="1">
      <c r="A197" s="30"/>
      <c r="B197" s="30"/>
      <c r="C197" s="68"/>
      <c r="F197" s="68"/>
      <c r="G197" s="68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</row>
    <row r="198" ht="14.25" customHeight="1">
      <c r="A198" s="30"/>
      <c r="B198" s="30"/>
      <c r="C198" s="68"/>
      <c r="F198" s="68"/>
      <c r="G198" s="68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</row>
    <row r="199" ht="14.25" customHeight="1">
      <c r="A199" s="30"/>
      <c r="B199" s="30"/>
      <c r="C199" s="68"/>
      <c r="F199" s="68"/>
      <c r="G199" s="68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</row>
    <row r="200" ht="14.25" customHeight="1">
      <c r="A200" s="30"/>
      <c r="B200" s="30"/>
      <c r="C200" s="68"/>
      <c r="F200" s="68"/>
      <c r="G200" s="68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</row>
    <row r="201" ht="14.25" customHeight="1">
      <c r="A201" s="30"/>
      <c r="B201" s="30"/>
      <c r="C201" s="68"/>
      <c r="F201" s="68"/>
      <c r="G201" s="68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</row>
    <row r="202" ht="14.25" customHeight="1">
      <c r="A202" s="30"/>
      <c r="B202" s="30"/>
      <c r="C202" s="68"/>
      <c r="F202" s="68"/>
      <c r="G202" s="68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</row>
    <row r="203" ht="14.25" customHeight="1">
      <c r="A203" s="30"/>
      <c r="B203" s="30"/>
      <c r="C203" s="68"/>
      <c r="F203" s="68"/>
      <c r="G203" s="68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</row>
    <row r="204" ht="14.25" customHeight="1">
      <c r="A204" s="30"/>
      <c r="B204" s="30"/>
      <c r="C204" s="68"/>
      <c r="F204" s="68"/>
      <c r="G204" s="68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</row>
    <row r="205" ht="14.25" customHeight="1">
      <c r="A205" s="30"/>
      <c r="B205" s="30"/>
      <c r="C205" s="68"/>
      <c r="F205" s="68"/>
      <c r="G205" s="68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</row>
    <row r="206" ht="14.25" customHeight="1">
      <c r="A206" s="30"/>
      <c r="B206" s="30"/>
      <c r="C206" s="68"/>
      <c r="F206" s="68"/>
      <c r="G206" s="68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</row>
    <row r="207" ht="14.25" customHeight="1">
      <c r="A207" s="30"/>
      <c r="B207" s="30"/>
      <c r="C207" s="68"/>
      <c r="F207" s="68"/>
      <c r="G207" s="68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</row>
    <row r="208" ht="14.25" customHeight="1">
      <c r="A208" s="30"/>
      <c r="B208" s="30"/>
      <c r="C208" s="68"/>
      <c r="F208" s="68"/>
      <c r="G208" s="68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</row>
    <row r="209" ht="14.25" customHeight="1">
      <c r="A209" s="30"/>
      <c r="B209" s="30"/>
      <c r="C209" s="68"/>
      <c r="F209" s="68"/>
      <c r="G209" s="68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</row>
    <row r="210" ht="14.25" customHeight="1">
      <c r="A210" s="30"/>
      <c r="B210" s="30"/>
      <c r="C210" s="68"/>
      <c r="F210" s="68"/>
      <c r="G210" s="68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</row>
    <row r="211" ht="14.25" customHeight="1">
      <c r="A211" s="30"/>
      <c r="B211" s="30"/>
      <c r="C211" s="68"/>
      <c r="F211" s="68"/>
      <c r="G211" s="68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</row>
    <row r="212" ht="14.25" customHeight="1">
      <c r="A212" s="30"/>
      <c r="B212" s="30"/>
      <c r="C212" s="68"/>
      <c r="F212" s="68"/>
      <c r="G212" s="68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</row>
    <row r="213" ht="14.25" customHeight="1">
      <c r="A213" s="30"/>
      <c r="B213" s="30"/>
      <c r="C213" s="68"/>
      <c r="F213" s="68"/>
      <c r="G213" s="68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</row>
    <row r="214" ht="14.25" customHeight="1">
      <c r="A214" s="30"/>
      <c r="B214" s="30"/>
      <c r="C214" s="68"/>
      <c r="F214" s="68"/>
      <c r="G214" s="68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</row>
    <row r="215" ht="14.25" customHeight="1">
      <c r="A215" s="30"/>
      <c r="B215" s="30"/>
      <c r="C215" s="68"/>
      <c r="F215" s="68"/>
      <c r="G215" s="68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</row>
    <row r="216" ht="14.25" customHeight="1">
      <c r="A216" s="30"/>
      <c r="B216" s="30"/>
      <c r="C216" s="68"/>
      <c r="F216" s="68"/>
      <c r="G216" s="68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</row>
    <row r="217" ht="14.25" customHeight="1">
      <c r="A217" s="30"/>
      <c r="B217" s="30"/>
      <c r="C217" s="68"/>
      <c r="F217" s="68"/>
      <c r="G217" s="68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</row>
    <row r="218" ht="14.25" customHeight="1">
      <c r="A218" s="30"/>
      <c r="B218" s="30"/>
      <c r="C218" s="68"/>
      <c r="F218" s="68"/>
      <c r="G218" s="68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</row>
    <row r="219" ht="14.25" customHeight="1">
      <c r="A219" s="30"/>
      <c r="B219" s="30"/>
      <c r="C219" s="68"/>
      <c r="F219" s="68"/>
      <c r="G219" s="68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</row>
    <row r="220" ht="14.25" customHeight="1">
      <c r="A220" s="30"/>
      <c r="B220" s="30"/>
      <c r="C220" s="68"/>
      <c r="F220" s="68"/>
      <c r="G220" s="68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</row>
    <row r="221" ht="14.25" customHeight="1">
      <c r="A221" s="30"/>
      <c r="B221" s="30"/>
      <c r="C221" s="68"/>
      <c r="F221" s="68"/>
      <c r="G221" s="68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</row>
    <row r="222" ht="14.25" customHeight="1">
      <c r="A222" s="30"/>
      <c r="B222" s="30"/>
      <c r="C222" s="68"/>
      <c r="F222" s="68"/>
      <c r="G222" s="68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</row>
    <row r="223" ht="14.25" customHeight="1">
      <c r="A223" s="30"/>
      <c r="B223" s="30"/>
      <c r="C223" s="68"/>
      <c r="F223" s="68"/>
      <c r="G223" s="68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</row>
    <row r="224" ht="14.25" customHeight="1">
      <c r="A224" s="30"/>
      <c r="B224" s="30"/>
      <c r="C224" s="68"/>
      <c r="F224" s="68"/>
      <c r="G224" s="68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</row>
    <row r="225" ht="14.25" customHeight="1">
      <c r="A225" s="30"/>
      <c r="B225" s="30"/>
      <c r="C225" s="68"/>
      <c r="F225" s="68"/>
      <c r="G225" s="68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</row>
    <row r="226" ht="14.25" customHeight="1">
      <c r="A226" s="30"/>
      <c r="B226" s="30"/>
      <c r="C226" s="68"/>
      <c r="F226" s="68"/>
      <c r="G226" s="68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</row>
    <row r="227" ht="14.25" customHeight="1">
      <c r="A227" s="30"/>
      <c r="B227" s="30"/>
      <c r="C227" s="68"/>
      <c r="F227" s="68"/>
      <c r="G227" s="68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</row>
    <row r="228" ht="14.25" customHeight="1">
      <c r="A228" s="30"/>
      <c r="B228" s="30"/>
      <c r="C228" s="68"/>
      <c r="F228" s="68"/>
      <c r="G228" s="68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</row>
    <row r="229" ht="14.25" customHeight="1">
      <c r="A229" s="30"/>
      <c r="B229" s="30"/>
      <c r="C229" s="68"/>
      <c r="F229" s="68"/>
      <c r="G229" s="68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</row>
    <row r="230" ht="14.25" customHeight="1">
      <c r="A230" s="30"/>
      <c r="B230" s="30"/>
      <c r="C230" s="68"/>
      <c r="F230" s="68"/>
      <c r="G230" s="68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</row>
    <row r="231" ht="14.25" customHeight="1">
      <c r="A231" s="30"/>
      <c r="B231" s="30"/>
      <c r="C231" s="68"/>
      <c r="F231" s="68"/>
      <c r="G231" s="68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</row>
    <row r="232" ht="14.25" customHeight="1">
      <c r="A232" s="30"/>
      <c r="B232" s="30"/>
      <c r="C232" s="68"/>
      <c r="F232" s="68"/>
      <c r="G232" s="68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</row>
    <row r="233" ht="14.25" customHeight="1">
      <c r="A233" s="30"/>
      <c r="B233" s="30"/>
      <c r="C233" s="68"/>
      <c r="F233" s="68"/>
      <c r="G233" s="68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</row>
    <row r="234" ht="14.25" customHeight="1">
      <c r="A234" s="30"/>
      <c r="B234" s="30"/>
      <c r="C234" s="68"/>
      <c r="F234" s="68"/>
      <c r="G234" s="68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</row>
    <row r="235" ht="14.25" customHeight="1">
      <c r="A235" s="30"/>
      <c r="B235" s="30"/>
      <c r="C235" s="68"/>
      <c r="F235" s="68"/>
      <c r="G235" s="68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</row>
    <row r="236" ht="14.25" customHeight="1">
      <c r="A236" s="30"/>
      <c r="B236" s="30"/>
      <c r="C236" s="68"/>
      <c r="F236" s="68"/>
      <c r="G236" s="68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</row>
    <row r="237" ht="14.25" customHeight="1">
      <c r="A237" s="30"/>
      <c r="B237" s="30"/>
      <c r="C237" s="68"/>
      <c r="F237" s="68"/>
      <c r="G237" s="68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</row>
    <row r="238" ht="14.25" customHeight="1">
      <c r="A238" s="30"/>
      <c r="B238" s="30"/>
      <c r="C238" s="68"/>
      <c r="F238" s="68"/>
      <c r="G238" s="68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</row>
    <row r="239" ht="14.25" customHeight="1">
      <c r="A239" s="30"/>
      <c r="B239" s="30"/>
      <c r="C239" s="68"/>
      <c r="F239" s="68"/>
      <c r="G239" s="68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</row>
    <row r="240" ht="14.25" customHeight="1">
      <c r="A240" s="30"/>
      <c r="B240" s="30"/>
      <c r="C240" s="68"/>
      <c r="F240" s="68"/>
      <c r="G240" s="68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</row>
    <row r="241" ht="14.25" customHeight="1">
      <c r="A241" s="30"/>
      <c r="B241" s="30"/>
      <c r="C241" s="68"/>
      <c r="F241" s="68"/>
      <c r="G241" s="68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</row>
    <row r="242" ht="14.25" customHeight="1">
      <c r="A242" s="30"/>
      <c r="B242" s="30"/>
      <c r="C242" s="68"/>
      <c r="F242" s="68"/>
      <c r="G242" s="68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</row>
    <row r="243" ht="14.25" customHeight="1">
      <c r="A243" s="30"/>
      <c r="B243" s="30"/>
      <c r="C243" s="68"/>
      <c r="F243" s="68"/>
      <c r="G243" s="68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</row>
    <row r="244" ht="14.25" customHeight="1">
      <c r="A244" s="30"/>
      <c r="B244" s="30"/>
      <c r="C244" s="68"/>
      <c r="F244" s="68"/>
      <c r="G244" s="68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</row>
    <row r="245" ht="14.25" customHeight="1">
      <c r="A245" s="30"/>
      <c r="B245" s="30"/>
      <c r="C245" s="68"/>
      <c r="F245" s="68"/>
      <c r="G245" s="68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</row>
    <row r="246" ht="14.25" customHeight="1">
      <c r="A246" s="30"/>
      <c r="B246" s="30"/>
      <c r="C246" s="68"/>
      <c r="F246" s="68"/>
      <c r="G246" s="68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</row>
    <row r="247" ht="14.25" customHeight="1">
      <c r="A247" s="30"/>
      <c r="B247" s="30"/>
      <c r="C247" s="68"/>
      <c r="F247" s="68"/>
      <c r="G247" s="68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</row>
    <row r="248" ht="14.25" customHeight="1">
      <c r="A248" s="30"/>
      <c r="B248" s="30"/>
      <c r="C248" s="68"/>
      <c r="F248" s="68"/>
      <c r="G248" s="68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</row>
    <row r="249" ht="14.25" customHeight="1">
      <c r="A249" s="30"/>
      <c r="B249" s="30"/>
      <c r="C249" s="68"/>
      <c r="F249" s="68"/>
      <c r="G249" s="68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</row>
    <row r="250" ht="14.25" customHeight="1">
      <c r="A250" s="30"/>
      <c r="B250" s="30"/>
      <c r="C250" s="68"/>
      <c r="F250" s="68"/>
      <c r="G250" s="68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</row>
    <row r="251" ht="14.25" customHeight="1">
      <c r="A251" s="30"/>
      <c r="B251" s="30"/>
      <c r="C251" s="68"/>
      <c r="F251" s="68"/>
      <c r="G251" s="68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</row>
    <row r="252" ht="14.25" customHeight="1">
      <c r="A252" s="30"/>
      <c r="B252" s="30"/>
      <c r="C252" s="68"/>
      <c r="F252" s="68"/>
      <c r="G252" s="68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</row>
    <row r="253" ht="14.25" customHeight="1">
      <c r="A253" s="30"/>
      <c r="B253" s="30"/>
      <c r="C253" s="68"/>
      <c r="F253" s="68"/>
      <c r="G253" s="68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</row>
    <row r="254" ht="14.25" customHeight="1">
      <c r="A254" s="30"/>
      <c r="B254" s="30"/>
      <c r="C254" s="68"/>
      <c r="F254" s="68"/>
      <c r="G254" s="68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</row>
    <row r="255" ht="14.25" customHeight="1">
      <c r="A255" s="30"/>
      <c r="B255" s="30"/>
      <c r="C255" s="68"/>
      <c r="F255" s="68"/>
      <c r="G255" s="68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</row>
    <row r="256" ht="14.25" customHeight="1">
      <c r="A256" s="30"/>
      <c r="B256" s="30"/>
      <c r="C256" s="68"/>
      <c r="F256" s="68"/>
      <c r="G256" s="68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</row>
    <row r="257" ht="14.25" customHeight="1">
      <c r="A257" s="30"/>
      <c r="B257" s="30"/>
      <c r="C257" s="68"/>
      <c r="F257" s="68"/>
      <c r="G257" s="68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</row>
    <row r="258" ht="14.25" customHeight="1">
      <c r="A258" s="30"/>
      <c r="B258" s="30"/>
      <c r="C258" s="68"/>
      <c r="F258" s="68"/>
      <c r="G258" s="68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</row>
    <row r="259" ht="14.25" customHeight="1">
      <c r="A259" s="30"/>
      <c r="B259" s="30"/>
      <c r="C259" s="68"/>
      <c r="F259" s="68"/>
      <c r="G259" s="68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</row>
    <row r="260" ht="14.25" customHeight="1">
      <c r="A260" s="30"/>
      <c r="B260" s="30"/>
      <c r="C260" s="68"/>
      <c r="F260" s="68"/>
      <c r="G260" s="68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</row>
    <row r="261" ht="14.25" customHeight="1">
      <c r="A261" s="30"/>
      <c r="B261" s="30"/>
      <c r="C261" s="68"/>
      <c r="F261" s="68"/>
      <c r="G261" s="68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</row>
    <row r="262" ht="14.25" customHeight="1">
      <c r="A262" s="30"/>
      <c r="B262" s="30"/>
      <c r="C262" s="68"/>
      <c r="F262" s="68"/>
      <c r="G262" s="68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</row>
    <row r="263" ht="14.25" customHeight="1">
      <c r="A263" s="30"/>
      <c r="B263" s="30"/>
      <c r="C263" s="68"/>
      <c r="F263" s="68"/>
      <c r="G263" s="68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</row>
    <row r="264" ht="14.25" customHeight="1">
      <c r="A264" s="30"/>
      <c r="B264" s="30"/>
      <c r="C264" s="68"/>
      <c r="F264" s="68"/>
      <c r="G264" s="68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</row>
    <row r="265" ht="14.25" customHeight="1">
      <c r="A265" s="30"/>
      <c r="B265" s="30"/>
      <c r="C265" s="68"/>
      <c r="F265" s="68"/>
      <c r="G265" s="68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</row>
    <row r="266" ht="14.25" customHeight="1">
      <c r="A266" s="30"/>
      <c r="B266" s="30"/>
      <c r="C266" s="68"/>
      <c r="F266" s="68"/>
      <c r="G266" s="68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</row>
    <row r="267" ht="14.25" customHeight="1">
      <c r="A267" s="30"/>
      <c r="B267" s="30"/>
      <c r="C267" s="68"/>
      <c r="F267" s="68"/>
      <c r="G267" s="68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</row>
    <row r="268" ht="14.25" customHeight="1">
      <c r="A268" s="30"/>
      <c r="B268" s="30"/>
      <c r="C268" s="68"/>
      <c r="F268" s="68"/>
      <c r="G268" s="68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</row>
    <row r="269" ht="14.25" customHeight="1">
      <c r="A269" s="30"/>
      <c r="B269" s="30"/>
      <c r="C269" s="68"/>
      <c r="F269" s="68"/>
      <c r="G269" s="68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</row>
    <row r="270" ht="14.25" customHeight="1">
      <c r="A270" s="30"/>
      <c r="B270" s="30"/>
      <c r="C270" s="68"/>
      <c r="F270" s="68"/>
      <c r="G270" s="68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</row>
    <row r="271" ht="14.25" customHeight="1">
      <c r="A271" s="30"/>
      <c r="B271" s="30"/>
      <c r="C271" s="68"/>
      <c r="F271" s="68"/>
      <c r="G271" s="68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</row>
    <row r="272" ht="14.25" customHeight="1">
      <c r="A272" s="30"/>
      <c r="B272" s="30"/>
      <c r="C272" s="68"/>
      <c r="F272" s="68"/>
      <c r="G272" s="68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</row>
    <row r="273" ht="14.25" customHeight="1">
      <c r="A273" s="30"/>
      <c r="B273" s="30"/>
      <c r="C273" s="68"/>
      <c r="F273" s="68"/>
      <c r="G273" s="68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</row>
    <row r="274" ht="14.25" customHeight="1">
      <c r="A274" s="30"/>
      <c r="B274" s="30"/>
      <c r="C274" s="68"/>
      <c r="F274" s="68"/>
      <c r="G274" s="68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</row>
    <row r="275" ht="14.25" customHeight="1">
      <c r="A275" s="30"/>
      <c r="B275" s="30"/>
      <c r="C275" s="68"/>
      <c r="F275" s="68"/>
      <c r="G275" s="68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</row>
    <row r="276" ht="14.25" customHeight="1">
      <c r="A276" s="30"/>
      <c r="B276" s="30"/>
      <c r="C276" s="68"/>
      <c r="F276" s="68"/>
      <c r="G276" s="68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</row>
    <row r="277" ht="14.25" customHeight="1">
      <c r="A277" s="30"/>
      <c r="B277" s="30"/>
      <c r="C277" s="68"/>
      <c r="F277" s="68"/>
      <c r="G277" s="68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</row>
    <row r="278" ht="14.25" customHeight="1">
      <c r="A278" s="30"/>
      <c r="B278" s="30"/>
      <c r="C278" s="68"/>
      <c r="F278" s="68"/>
      <c r="G278" s="68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</row>
    <row r="279" ht="14.25" customHeight="1">
      <c r="A279" s="30"/>
      <c r="B279" s="30"/>
      <c r="C279" s="68"/>
      <c r="F279" s="68"/>
      <c r="G279" s="68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</row>
    <row r="280" ht="14.25" customHeight="1">
      <c r="A280" s="30"/>
      <c r="B280" s="30"/>
      <c r="C280" s="68"/>
      <c r="F280" s="68"/>
      <c r="G280" s="68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</row>
    <row r="281" ht="14.25" customHeight="1">
      <c r="A281" s="30"/>
      <c r="B281" s="30"/>
      <c r="C281" s="68"/>
      <c r="F281" s="68"/>
      <c r="G281" s="68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</row>
    <row r="282" ht="14.25" customHeight="1">
      <c r="A282" s="30"/>
      <c r="B282" s="30"/>
      <c r="C282" s="68"/>
      <c r="F282" s="68"/>
      <c r="G282" s="68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</row>
    <row r="283" ht="14.25" customHeight="1">
      <c r="A283" s="30"/>
      <c r="B283" s="30"/>
      <c r="C283" s="68"/>
      <c r="F283" s="68"/>
      <c r="G283" s="68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</row>
    <row r="284" ht="14.25" customHeight="1">
      <c r="A284" s="30"/>
      <c r="B284" s="30"/>
      <c r="C284" s="68"/>
      <c r="F284" s="68"/>
      <c r="G284" s="68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</row>
    <row r="285" ht="14.25" customHeight="1">
      <c r="A285" s="30"/>
      <c r="B285" s="30"/>
      <c r="C285" s="68"/>
      <c r="F285" s="68"/>
      <c r="G285" s="68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</row>
    <row r="286" ht="14.25" customHeight="1">
      <c r="A286" s="30"/>
      <c r="B286" s="30"/>
      <c r="C286" s="68"/>
      <c r="F286" s="68"/>
      <c r="G286" s="68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</row>
    <row r="287" ht="14.25" customHeight="1">
      <c r="A287" s="30"/>
      <c r="B287" s="30"/>
      <c r="C287" s="68"/>
      <c r="F287" s="68"/>
      <c r="G287" s="68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</row>
    <row r="288" ht="14.25" customHeight="1">
      <c r="A288" s="30"/>
      <c r="B288" s="30"/>
      <c r="C288" s="68"/>
      <c r="F288" s="68"/>
      <c r="G288" s="68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</row>
    <row r="289" ht="14.25" customHeight="1">
      <c r="A289" s="30"/>
      <c r="B289" s="30"/>
      <c r="C289" s="68"/>
      <c r="F289" s="68"/>
      <c r="G289" s="68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</row>
    <row r="290" ht="14.25" customHeight="1">
      <c r="A290" s="30"/>
      <c r="B290" s="30"/>
      <c r="C290" s="68"/>
      <c r="F290" s="68"/>
      <c r="G290" s="68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</row>
    <row r="291" ht="14.25" customHeight="1">
      <c r="A291" s="30"/>
      <c r="B291" s="30"/>
      <c r="C291" s="68"/>
      <c r="F291" s="68"/>
      <c r="G291" s="68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</row>
    <row r="292" ht="14.25" customHeight="1">
      <c r="A292" s="30"/>
      <c r="B292" s="30"/>
      <c r="C292" s="68"/>
      <c r="F292" s="68"/>
      <c r="G292" s="68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</row>
    <row r="293" ht="14.25" customHeight="1">
      <c r="A293" s="30"/>
      <c r="B293" s="30"/>
      <c r="C293" s="68"/>
      <c r="F293" s="68"/>
      <c r="G293" s="68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</row>
    <row r="294" ht="14.25" customHeight="1">
      <c r="A294" s="30"/>
      <c r="B294" s="30"/>
      <c r="C294" s="68"/>
      <c r="F294" s="68"/>
      <c r="G294" s="68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</row>
    <row r="295" ht="14.25" customHeight="1">
      <c r="A295" s="30"/>
      <c r="B295" s="30"/>
      <c r="C295" s="68"/>
      <c r="F295" s="68"/>
      <c r="G295" s="68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</row>
    <row r="296" ht="14.25" customHeight="1">
      <c r="A296" s="30"/>
      <c r="B296" s="30"/>
      <c r="C296" s="68"/>
      <c r="F296" s="68"/>
      <c r="G296" s="68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</row>
    <row r="297" ht="14.25" customHeight="1">
      <c r="A297" s="30"/>
      <c r="B297" s="30"/>
      <c r="C297" s="68"/>
      <c r="F297" s="68"/>
      <c r="G297" s="68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</row>
    <row r="298" ht="14.25" customHeight="1">
      <c r="A298" s="30"/>
      <c r="B298" s="30"/>
      <c r="C298" s="68"/>
      <c r="F298" s="68"/>
      <c r="G298" s="68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</row>
    <row r="299" ht="14.25" customHeight="1">
      <c r="A299" s="30"/>
      <c r="B299" s="30"/>
      <c r="C299" s="68"/>
      <c r="F299" s="68"/>
      <c r="G299" s="68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</row>
    <row r="300" ht="14.25" customHeight="1">
      <c r="A300" s="30"/>
      <c r="B300" s="30"/>
      <c r="C300" s="68"/>
      <c r="F300" s="68"/>
      <c r="G300" s="68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</row>
    <row r="301" ht="14.25" customHeight="1">
      <c r="A301" s="30"/>
      <c r="B301" s="30"/>
      <c r="C301" s="68"/>
      <c r="F301" s="68"/>
      <c r="G301" s="68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</row>
    <row r="302" ht="14.25" customHeight="1">
      <c r="A302" s="30"/>
      <c r="B302" s="30"/>
      <c r="C302" s="68"/>
      <c r="F302" s="68"/>
      <c r="G302" s="68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</row>
    <row r="303" ht="14.25" customHeight="1">
      <c r="A303" s="30"/>
      <c r="B303" s="30"/>
      <c r="C303" s="68"/>
      <c r="F303" s="68"/>
      <c r="G303" s="68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</row>
    <row r="304" ht="14.25" customHeight="1">
      <c r="A304" s="30"/>
      <c r="B304" s="30"/>
      <c r="C304" s="68"/>
      <c r="F304" s="68"/>
      <c r="G304" s="68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</row>
    <row r="305" ht="14.25" customHeight="1">
      <c r="A305" s="30"/>
      <c r="B305" s="30"/>
      <c r="C305" s="68"/>
      <c r="F305" s="68"/>
      <c r="G305" s="68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</row>
    <row r="306" ht="14.25" customHeight="1">
      <c r="A306" s="30"/>
      <c r="B306" s="30"/>
      <c r="C306" s="68"/>
      <c r="F306" s="68"/>
      <c r="G306" s="68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</row>
    <row r="307" ht="14.25" customHeight="1">
      <c r="A307" s="30"/>
      <c r="B307" s="30"/>
      <c r="C307" s="68"/>
      <c r="F307" s="68"/>
      <c r="G307" s="68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C2"/>
    <mergeCell ref="C4:K4"/>
  </mergeCells>
  <conditionalFormatting sqref="E8:E107">
    <cfRule type="containsText" dxfId="4" priority="1" operator="containsText" text="o">
      <formula>NOT(ISERROR(SEARCH(("o"),(E8))))</formula>
    </cfRule>
  </conditionalFormatting>
  <conditionalFormatting sqref="E8:E107">
    <cfRule type="containsText" dxfId="5" priority="2" operator="containsText" text="a">
      <formula>NOT(ISERROR(SEARCH(("a"),(E8))))</formula>
    </cfRule>
  </conditionalFormatting>
  <conditionalFormatting sqref="K8:K107">
    <cfRule type="containsText" dxfId="5" priority="3" operator="containsText" text="Atrasado">
      <formula>NOT(ISERROR(SEARCH(("Atrasado"),(K8))))</formula>
    </cfRule>
  </conditionalFormatting>
  <conditionalFormatting sqref="K8:K107">
    <cfRule type="containsText" dxfId="4" priority="4" operator="containsText" text="o">
      <formula>NOT(ISERROR(SEARCH(("o"),(K8))))</formula>
    </cfRule>
  </conditionalFormatting>
  <dataValidations>
    <dataValidation type="list" allowBlank="1" showErrorMessage="1" sqref="J8:J107">
      <formula1>"Concluído,Em andamento,Não iniciado"</formula1>
    </dataValidation>
    <dataValidation type="list" allowBlank="1" showErrorMessage="1" sqref="F8:F107">
      <formula1>OFFSET($M$8,,,50-COUNTIF($M$8:$M$57,"=0"))</formula1>
    </dataValidation>
    <dataValidation type="list" allowBlank="1" showErrorMessage="1" sqref="D8:D107">
      <formula1>OFFSET($P$8,,,20-COUNTBLANK($P$8:$P$27))</formula1>
    </dataValidation>
    <dataValidation type="date" operator="greaterThan" allowBlank="1" showInputMessage="1" showErrorMessage="1" prompt="Erro - Você precisa inserir uma data válida. Verifique se o valor digitado está correto." sqref="H8:I107">
      <formula1>42369.0</formula1>
    </dataValidation>
  </dataValidations>
  <printOptions verticalCentered="1"/>
  <pageMargins bottom="0.7480314960629921" footer="0.0" header="0.0" left="0.2362204724409449" right="0.2362204724409449" top="0.7480314960629921"/>
  <pageSetup fitToHeight="0" paperSize="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4.29"/>
    <col customWidth="1" min="3" max="3" width="22.71"/>
    <col customWidth="1" min="4" max="4" width="21.43"/>
    <col customWidth="1" min="5" max="5" width="22.71"/>
    <col customWidth="1" min="6" max="6" width="19.43"/>
    <col customWidth="1" min="7" max="7" width="2.71"/>
    <col customWidth="1" min="8" max="8" width="22.71"/>
    <col customWidth="1" min="9" max="9" width="21.43"/>
    <col customWidth="1" min="10" max="10" width="22.71"/>
    <col customWidth="1" min="11" max="11" width="19.43"/>
    <col customWidth="1" min="12" max="18" width="8.71"/>
    <col customWidth="1" min="19" max="19" width="9.29"/>
    <col customWidth="1" hidden="1" min="20" max="48" width="9.29"/>
  </cols>
  <sheetData>
    <row r="1" ht="33.75" customHeight="1">
      <c r="A1" s="30"/>
      <c r="B1" s="30"/>
      <c r="C1" s="172"/>
      <c r="D1" s="3"/>
      <c r="E1" s="32"/>
      <c r="F1" s="32"/>
      <c r="G1" s="32"/>
      <c r="H1" s="32"/>
      <c r="I1" s="32"/>
      <c r="J1" s="32"/>
      <c r="K1" s="32"/>
      <c r="L1" s="162"/>
      <c r="M1" s="162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</row>
    <row r="2" ht="37.5" customHeight="1">
      <c r="A2" s="35"/>
      <c r="B2" s="30"/>
      <c r="C2" s="5"/>
      <c r="E2" s="37"/>
      <c r="F2" s="37"/>
      <c r="G2" s="37"/>
      <c r="H2" s="37"/>
      <c r="I2" s="37"/>
      <c r="J2" s="37"/>
      <c r="K2" s="38"/>
      <c r="L2" s="163"/>
      <c r="M2" s="163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</row>
    <row r="3" ht="42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</row>
    <row r="4" ht="30.0" customHeight="1">
      <c r="A4" s="30"/>
      <c r="B4" s="30"/>
      <c r="C4" s="173" t="s">
        <v>161</v>
      </c>
      <c r="D4" s="8"/>
      <c r="E4" s="8"/>
      <c r="F4" s="174"/>
      <c r="G4" s="175"/>
      <c r="H4" s="175"/>
      <c r="I4" s="176"/>
      <c r="J4" s="176"/>
      <c r="K4" s="177"/>
      <c r="L4" s="83"/>
      <c r="M4" s="178"/>
      <c r="N4" s="83"/>
      <c r="O4" s="83"/>
      <c r="P4" s="83"/>
      <c r="Q4" s="83"/>
      <c r="R4" s="83"/>
      <c r="S4" s="83"/>
      <c r="T4" s="66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</row>
    <row r="5" ht="7.5" customHeight="1">
      <c r="A5" s="30"/>
      <c r="B5" s="30"/>
      <c r="C5" s="179"/>
      <c r="D5" s="66"/>
      <c r="E5" s="66"/>
      <c r="F5" s="66"/>
      <c r="G5" s="83"/>
      <c r="H5" s="83"/>
      <c r="I5" s="66"/>
      <c r="J5" s="66"/>
      <c r="K5" s="180"/>
      <c r="L5" s="83"/>
      <c r="M5" s="83"/>
      <c r="N5" s="83" t="s">
        <v>162</v>
      </c>
      <c r="O5" s="83"/>
      <c r="P5" s="83"/>
      <c r="Q5" s="83"/>
      <c r="R5" s="83"/>
      <c r="S5" s="83"/>
      <c r="T5" s="66"/>
      <c r="U5" s="83" t="s">
        <v>90</v>
      </c>
      <c r="V5" s="83" t="s">
        <v>91</v>
      </c>
      <c r="W5" s="83" t="s">
        <v>92</v>
      </c>
      <c r="X5" s="83" t="s">
        <v>93</v>
      </c>
      <c r="Y5" s="83" t="s">
        <v>94</v>
      </c>
      <c r="Z5" s="83" t="s">
        <v>95</v>
      </c>
      <c r="AA5" s="83" t="s">
        <v>96</v>
      </c>
      <c r="AB5" s="83" t="s">
        <v>97</v>
      </c>
      <c r="AC5" s="83" t="s">
        <v>98</v>
      </c>
      <c r="AD5" s="83" t="s">
        <v>142</v>
      </c>
      <c r="AE5" s="83" t="s">
        <v>143</v>
      </c>
      <c r="AF5" s="83" t="s">
        <v>144</v>
      </c>
      <c r="AG5" s="83" t="s">
        <v>90</v>
      </c>
      <c r="AH5" s="83" t="s">
        <v>91</v>
      </c>
      <c r="AI5" s="83" t="s">
        <v>92</v>
      </c>
      <c r="AJ5" s="83" t="s">
        <v>93</v>
      </c>
      <c r="AK5" s="83" t="s">
        <v>94</v>
      </c>
      <c r="AL5" s="83" t="s">
        <v>95</v>
      </c>
      <c r="AM5" s="83" t="s">
        <v>96</v>
      </c>
      <c r="AN5" s="83" t="s">
        <v>97</v>
      </c>
      <c r="AO5" s="83" t="s">
        <v>98</v>
      </c>
      <c r="AP5" s="83" t="s">
        <v>142</v>
      </c>
      <c r="AQ5" s="83" t="s">
        <v>143</v>
      </c>
      <c r="AR5" s="83" t="s">
        <v>144</v>
      </c>
      <c r="AS5" s="83" t="s">
        <v>90</v>
      </c>
      <c r="AT5" s="83" t="s">
        <v>91</v>
      </c>
      <c r="AU5" s="83" t="s">
        <v>92</v>
      </c>
      <c r="AV5" s="83" t="s">
        <v>93</v>
      </c>
    </row>
    <row r="6" ht="36.75" customHeight="1">
      <c r="A6" s="30"/>
      <c r="B6" s="30"/>
      <c r="C6" s="181" t="s">
        <v>163</v>
      </c>
      <c r="D6" s="182"/>
      <c r="E6" s="183"/>
      <c r="F6" s="183"/>
      <c r="G6" s="183"/>
      <c r="H6" s="183"/>
      <c r="I6" s="183"/>
      <c r="J6" s="183"/>
      <c r="K6" s="184"/>
      <c r="L6" s="82"/>
      <c r="M6" s="82"/>
      <c r="N6" s="83" t="s">
        <v>164</v>
      </c>
      <c r="O6" s="83"/>
      <c r="P6" s="83"/>
      <c r="Q6" s="83">
        <f>100/160</f>
        <v>0.625</v>
      </c>
      <c r="R6" s="83" t="s">
        <v>165</v>
      </c>
      <c r="S6" s="82"/>
      <c r="T6" s="69"/>
      <c r="U6" s="82">
        <v>1.0</v>
      </c>
      <c r="V6" s="82">
        <v>1.0</v>
      </c>
      <c r="W6" s="82">
        <v>1.0</v>
      </c>
      <c r="X6" s="82">
        <v>1.0</v>
      </c>
      <c r="Y6" s="82">
        <v>2.0</v>
      </c>
      <c r="Z6" s="82">
        <v>2.0</v>
      </c>
      <c r="AA6" s="82">
        <v>2.0</v>
      </c>
      <c r="AB6" s="82">
        <v>2.0</v>
      </c>
      <c r="AC6" s="82">
        <v>2.0</v>
      </c>
      <c r="AD6" s="82">
        <v>2.0</v>
      </c>
      <c r="AE6" s="82">
        <v>2.0</v>
      </c>
      <c r="AF6" s="82">
        <v>2.0</v>
      </c>
      <c r="AG6" s="82">
        <v>2.0</v>
      </c>
      <c r="AH6" s="82">
        <v>2.0</v>
      </c>
      <c r="AI6" s="82">
        <v>2.0</v>
      </c>
      <c r="AJ6" s="82">
        <v>2.0</v>
      </c>
      <c r="AK6" s="82">
        <v>3.0</v>
      </c>
      <c r="AL6" s="82">
        <v>3.0</v>
      </c>
      <c r="AM6" s="82">
        <v>3.0</v>
      </c>
      <c r="AN6" s="82">
        <v>3.0</v>
      </c>
      <c r="AO6" s="82">
        <v>3.0</v>
      </c>
      <c r="AP6" s="82">
        <v>3.0</v>
      </c>
      <c r="AQ6" s="82">
        <v>3.0</v>
      </c>
      <c r="AR6" s="82">
        <v>3.0</v>
      </c>
      <c r="AS6" s="82">
        <v>3.0</v>
      </c>
      <c r="AT6" s="82">
        <v>3.0</v>
      </c>
      <c r="AU6" s="82">
        <v>3.0</v>
      </c>
      <c r="AV6" s="82">
        <v>3.0</v>
      </c>
    </row>
    <row r="7" ht="30.0" customHeight="1">
      <c r="A7" s="30"/>
      <c r="B7" s="30"/>
      <c r="C7" s="185">
        <f>IF(ISERROR((('Resultados SWOT Gráficos'!D19+'Resultados SWOT Gráficos'!D21)/SUM('Resultados SWOT Gráficos'!D19:F22)-('Resultados SWOT Gráficos'!D20+'Resultados SWOT Gráficos'!D22)/SUM('Resultados SWOT Gráficos'!D19:F22))*2),0,(('Resultados SWOT Gráficos'!D19+'Resultados SWOT Gráficos'!D21)/SUM('Resultados SWOT Gráficos'!D19:F22)-('Resultados SWOT Gráficos'!D20+'Resultados SWOT Gráficos'!D22)/SUM('Resultados SWOT Gráficos'!D19:F22))*2)</f>
        <v>2</v>
      </c>
      <c r="D7" s="186"/>
      <c r="K7" s="187"/>
      <c r="L7" s="83"/>
      <c r="M7" s="83"/>
      <c r="N7" s="83" t="s">
        <v>166</v>
      </c>
      <c r="O7" s="83"/>
      <c r="P7" s="83"/>
      <c r="Q7" s="83"/>
      <c r="R7" s="83"/>
      <c r="S7" s="83"/>
      <c r="T7" s="66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</row>
    <row r="8" ht="48.0" customHeight="1">
      <c r="A8" s="30"/>
      <c r="B8" s="30"/>
      <c r="C8" s="188"/>
      <c r="D8" s="189"/>
      <c r="E8" s="190"/>
      <c r="F8" s="190"/>
      <c r="G8" s="190"/>
      <c r="H8" s="190"/>
      <c r="I8" s="190"/>
      <c r="J8" s="190"/>
      <c r="K8" s="191"/>
      <c r="L8" s="83"/>
      <c r="M8" s="83"/>
      <c r="N8" s="83" t="s">
        <v>167</v>
      </c>
      <c r="O8" s="83"/>
      <c r="P8" s="83"/>
      <c r="Q8" s="83"/>
      <c r="R8" s="83"/>
      <c r="S8" s="83"/>
      <c r="T8" s="66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</row>
    <row r="9" ht="39.75" customHeight="1">
      <c r="A9" s="30"/>
      <c r="B9" s="30"/>
      <c r="C9" s="192" t="str">
        <f>IF(C7&lt;=-1,N6,IF(C7&lt;=-0.3,N7,IF(C7&lt;=0.3,N8,IF(C7&lt;=1,N5,IF(C7&lt;=2,N9,"")))))</f>
        <v>Muito Favorável - Se a sua análise está correta, vale muito a pena continuar a fazer exatamente o que você está fazendo apenas adicionando ações de melhorias de forças e oportunidades e medidas de contenção de possíveis fraquezas e ameaças.</v>
      </c>
      <c r="D9" s="63"/>
      <c r="E9" s="63"/>
      <c r="F9" s="63"/>
      <c r="G9" s="63"/>
      <c r="H9" s="63"/>
      <c r="I9" s="63"/>
      <c r="J9" s="63"/>
      <c r="K9" s="193"/>
      <c r="L9" s="83"/>
      <c r="M9" s="83"/>
      <c r="N9" s="83" t="s">
        <v>168</v>
      </c>
      <c r="O9" s="83"/>
      <c r="P9" s="83"/>
      <c r="Q9" s="83"/>
      <c r="R9" s="83"/>
      <c r="S9" s="83"/>
      <c r="T9" s="66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</row>
    <row r="10" ht="15.0" customHeight="1">
      <c r="A10" s="30"/>
      <c r="B10" s="30"/>
      <c r="C10" s="179"/>
      <c r="D10" s="66"/>
      <c r="E10" s="66"/>
      <c r="F10" s="66"/>
      <c r="G10" s="66"/>
      <c r="H10" s="66"/>
      <c r="I10" s="66"/>
      <c r="J10" s="66"/>
      <c r="K10" s="180"/>
      <c r="L10" s="83"/>
      <c r="M10" s="83"/>
      <c r="N10" s="83"/>
      <c r="O10" s="83"/>
      <c r="P10" s="83"/>
      <c r="Q10" s="83"/>
      <c r="R10" s="83"/>
      <c r="S10" s="83"/>
      <c r="T10" s="83" t="s">
        <v>90</v>
      </c>
      <c r="U10" s="83" t="s">
        <v>91</v>
      </c>
      <c r="V10" s="83" t="s">
        <v>92</v>
      </c>
      <c r="W10" s="83" t="s">
        <v>93</v>
      </c>
      <c r="X10" s="83" t="s">
        <v>94</v>
      </c>
      <c r="Y10" s="83" t="s">
        <v>95</v>
      </c>
      <c r="Z10" s="83" t="s">
        <v>96</v>
      </c>
      <c r="AA10" s="83" t="s">
        <v>97</v>
      </c>
      <c r="AB10" s="83" t="s">
        <v>98</v>
      </c>
      <c r="AC10" s="83" t="s">
        <v>142</v>
      </c>
      <c r="AD10" s="83" t="s">
        <v>143</v>
      </c>
      <c r="AE10" s="83" t="s">
        <v>144</v>
      </c>
      <c r="AF10" s="83" t="s">
        <v>90</v>
      </c>
      <c r="AG10" s="83" t="s">
        <v>91</v>
      </c>
      <c r="AH10" s="83" t="s">
        <v>92</v>
      </c>
      <c r="AI10" s="83" t="s">
        <v>93</v>
      </c>
      <c r="AJ10" s="83" t="s">
        <v>94</v>
      </c>
      <c r="AK10" s="83" t="s">
        <v>95</v>
      </c>
      <c r="AL10" s="83" t="s">
        <v>96</v>
      </c>
      <c r="AM10" s="83" t="s">
        <v>97</v>
      </c>
      <c r="AN10" s="83" t="s">
        <v>98</v>
      </c>
      <c r="AO10" s="83" t="s">
        <v>142</v>
      </c>
      <c r="AP10" s="83" t="s">
        <v>143</v>
      </c>
      <c r="AQ10" s="83" t="s">
        <v>144</v>
      </c>
      <c r="AR10" s="83" t="s">
        <v>90</v>
      </c>
      <c r="AS10" s="83" t="s">
        <v>91</v>
      </c>
      <c r="AT10" s="83" t="s">
        <v>92</v>
      </c>
      <c r="AU10" s="83" t="s">
        <v>93</v>
      </c>
      <c r="AV10" s="83"/>
    </row>
    <row r="11" ht="37.5" customHeight="1">
      <c r="A11" s="30"/>
      <c r="B11" s="30"/>
      <c r="C11" s="194" t="s">
        <v>169</v>
      </c>
      <c r="F11" s="195"/>
      <c r="G11" s="68"/>
      <c r="H11" s="68"/>
      <c r="I11" s="68"/>
      <c r="J11" s="83"/>
      <c r="K11" s="196"/>
      <c r="L11" s="83"/>
      <c r="M11" s="197" t="s">
        <v>170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</row>
    <row r="12" ht="4.5" customHeight="1">
      <c r="A12" s="30"/>
      <c r="B12" s="30"/>
      <c r="C12" s="179"/>
      <c r="D12" s="66"/>
      <c r="E12" s="66"/>
      <c r="F12" s="66"/>
      <c r="G12" s="83"/>
      <c r="H12" s="83"/>
      <c r="I12" s="83"/>
      <c r="J12" s="83"/>
      <c r="K12" s="196"/>
      <c r="L12" s="83"/>
      <c r="M12" s="83"/>
      <c r="N12" s="83"/>
      <c r="O12" s="85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</row>
    <row r="13" ht="39.75" customHeight="1">
      <c r="A13" s="30"/>
      <c r="B13" s="30"/>
      <c r="C13" s="198" t="s">
        <v>171</v>
      </c>
      <c r="D13" s="199">
        <f>IF(ISERROR('Resultados SWOT Gráficos'!D19/SUM('Resultados SWOT Gráficos'!$D$19:$F$22)),0,'Resultados SWOT Gráficos'!D19/SUM('Resultados SWOT Gráficos'!$D$19:$F$22))</f>
        <v>1</v>
      </c>
      <c r="E13" s="200" t="str">
        <f>IF(D13&lt;D14,"Suas forças estão mais baixas que as suas fraquezas, que tal pensar em planos de ação para ter notas melhores em relação à esse item?",IF(D13&gt;=D14,"Suas forças estão mais altas ou iguais as suas fraquezas, mantenha esse bom resultado!",""))</f>
        <v>Suas forças estão mais altas ou iguais as suas fraquezas, mantenha esse bom resultado!</v>
      </c>
      <c r="F13" s="63"/>
      <c r="G13" s="63"/>
      <c r="H13" s="63"/>
      <c r="I13" s="63"/>
      <c r="J13" s="63"/>
      <c r="K13" s="193"/>
      <c r="L13" s="83"/>
      <c r="M13" s="83" t="str">
        <f t="shared" ref="M13:M16" si="1">C13</f>
        <v>Forças</v>
      </c>
      <c r="N13" s="83" t="str">
        <f>IF(ISERROR(VLOOKUP(LARGE($D$13:$D$14,ROW($A1)),$D$13:$M$14,COLUMN(J$1),FALSE)),"",VLOOKUP(LARGE($D$13:$D$14,ROW($A1)),$D$13:$M$14,COLUMN(J$1),FALSE))</f>
        <v>Forças</v>
      </c>
      <c r="O13" s="85"/>
      <c r="P13" s="83">
        <v>1.0</v>
      </c>
      <c r="Q13" s="83" t="s">
        <v>172</v>
      </c>
      <c r="R13" s="83" t="s">
        <v>173</v>
      </c>
      <c r="S13" s="83" t="s">
        <v>174</v>
      </c>
      <c r="T13" s="83" t="str">
        <f t="shared" ref="T13:T16" si="2">IF(AND($N$13=R13,$N$14=S13),"OK","")</f>
        <v/>
      </c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ht="39.75" customHeight="1">
      <c r="A14" s="60"/>
      <c r="B14" s="30"/>
      <c r="C14" s="198" t="s">
        <v>175</v>
      </c>
      <c r="D14" s="199">
        <f>IF(ISERROR('Resultados SWOT Gráficos'!D20/SUM('Resultados SWOT Gráficos'!$D$19:$F$22)),0,'Resultados SWOT Gráficos'!D20/SUM('Resultados SWOT Gráficos'!$D$19:$F$22))</f>
        <v>0</v>
      </c>
      <c r="E14" s="200" t="str">
        <f>IF(D14&gt;D13,"Suas fraquezas estão maiores que as suas forças, esse é um sinal de alerta clássico que existem pontos de melhoria na sua empresa, crie planos de ação para reduzir estas fraquezas.",IF(D14&lt;=D13,"Suas fraquezas estão mais baixas ou iguais as suas forças, esse é um bom sinal, mas não se acomode!",""))</f>
        <v>Suas fraquezas estão mais baixas ou iguais as suas forças, esse é um bom sinal, mas não se acomode!</v>
      </c>
      <c r="F14" s="63"/>
      <c r="G14" s="63"/>
      <c r="H14" s="63"/>
      <c r="I14" s="63"/>
      <c r="J14" s="63"/>
      <c r="K14" s="193"/>
      <c r="L14" s="83"/>
      <c r="M14" s="83" t="str">
        <f t="shared" si="1"/>
        <v>Fraquezas</v>
      </c>
      <c r="N14" s="83" t="str">
        <f>IF(ISERROR(VLOOKUP(LARGE($D$15:$D$16,ROW($A1)),$D$15:$M$16,COLUMN(J$1),FALSE)),"",VLOOKUP(LARGE($D$15:$D$16,ROW($A1)),$D$15:$M$16,COLUMN(J$1),FALSE))</f>
        <v>Oportunidades</v>
      </c>
      <c r="O14" s="85"/>
      <c r="P14" s="83">
        <v>2.0</v>
      </c>
      <c r="Q14" s="83" t="s">
        <v>176</v>
      </c>
      <c r="R14" s="83" t="s">
        <v>177</v>
      </c>
      <c r="S14" s="83" t="s">
        <v>174</v>
      </c>
      <c r="T14" s="83" t="str">
        <f t="shared" si="2"/>
        <v/>
      </c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</row>
    <row r="15" ht="39.75" customHeight="1">
      <c r="A15" s="60"/>
      <c r="B15" s="30"/>
      <c r="C15" s="198" t="s">
        <v>178</v>
      </c>
      <c r="D15" s="199">
        <f>IF(ISERROR('Resultados SWOT Gráficos'!D21/SUM('Resultados SWOT Gráficos'!$D$19:$F$22)),0,'Resultados SWOT Gráficos'!D21/SUM('Resultados SWOT Gráficos'!$D$19:$F$22))</f>
        <v>0</v>
      </c>
      <c r="E15" s="200" t="str">
        <f>IF(D15&gt;=D16,"Você tem mais oportunidades do que ameaças e isso indica um futuro promissor, só falta você alinhar quais forças vão otimizar as chances delas acontecerem de fato.",IF(D15&lt;D16,"Suas opotunidades estão mais baixas do que suas ameaças, vale a pena pensar em planos de ação para reduzir as ameaças.",""))</f>
        <v>Você tem mais oportunidades do que ameaças e isso indica um futuro promissor, só falta você alinhar quais forças vão otimizar as chances delas acontecerem de fato.</v>
      </c>
      <c r="F15" s="63"/>
      <c r="G15" s="63"/>
      <c r="H15" s="63"/>
      <c r="I15" s="63"/>
      <c r="J15" s="63"/>
      <c r="K15" s="193"/>
      <c r="L15" s="83"/>
      <c r="M15" s="83" t="str">
        <f t="shared" si="1"/>
        <v>Oportunidades</v>
      </c>
      <c r="N15" s="83"/>
      <c r="O15" s="85"/>
      <c r="P15" s="83">
        <v>3.0</v>
      </c>
      <c r="Q15" s="83" t="s">
        <v>179</v>
      </c>
      <c r="R15" s="83" t="s">
        <v>173</v>
      </c>
      <c r="S15" s="83" t="s">
        <v>180</v>
      </c>
      <c r="T15" s="83" t="str">
        <f t="shared" si="2"/>
        <v/>
      </c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</row>
    <row r="16" ht="39.75" customHeight="1">
      <c r="A16" s="30"/>
      <c r="B16" s="30"/>
      <c r="C16" s="198" t="s">
        <v>181</v>
      </c>
      <c r="D16" s="199">
        <f>IF(ISERROR('Resultados SWOT Gráficos'!D22/SUM('Resultados SWOT Gráficos'!$D$19:$F$22)),0,'Resultados SWOT Gráficos'!D22/SUM('Resultados SWOT Gráficos'!$D$19:$F$22))</f>
        <v>0</v>
      </c>
      <c r="E16" s="200" t="str">
        <f>IF(D16&gt;=D15,"Suas ameaças estão maiores ou iguais as oportunidades e isso indica um futuro preocupante, você precisa pensar em planos de ação para diminuir os riscos delas acontecerem o quanto antes.",IF(D16&lt;D15,"Suas ameaças estão mais baixas do que suas oportunidades, esse é um bom sinal, mas ainda assim vale a pena analisar as suas ameaças mais relevantes e criar planos de ações para elas.",""))</f>
        <v>Suas ameaças estão maiores ou iguais as oportunidades e isso indica um futuro preocupante, você precisa pensar em planos de ação para diminuir os riscos delas acontecerem o quanto antes.</v>
      </c>
      <c r="F16" s="63"/>
      <c r="G16" s="63"/>
      <c r="H16" s="63"/>
      <c r="I16" s="63"/>
      <c r="J16" s="63"/>
      <c r="K16" s="193"/>
      <c r="L16" s="83"/>
      <c r="M16" s="83" t="str">
        <f t="shared" si="1"/>
        <v>Ameaças</v>
      </c>
      <c r="N16" s="83"/>
      <c r="O16" s="85"/>
      <c r="P16" s="83">
        <v>4.0</v>
      </c>
      <c r="Q16" s="83" t="s">
        <v>182</v>
      </c>
      <c r="R16" s="83" t="s">
        <v>177</v>
      </c>
      <c r="S16" s="83" t="s">
        <v>180</v>
      </c>
      <c r="T16" s="83" t="str">
        <f t="shared" si="2"/>
        <v>OK</v>
      </c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</row>
    <row r="17" ht="30.0" customHeight="1">
      <c r="A17" s="30"/>
      <c r="B17" s="30"/>
      <c r="C17" s="194" t="s">
        <v>169</v>
      </c>
      <c r="F17" s="68"/>
      <c r="G17" s="68"/>
      <c r="H17" s="201" t="s">
        <v>183</v>
      </c>
      <c r="I17" s="202"/>
      <c r="J17" s="203"/>
      <c r="K17" s="193"/>
      <c r="L17" s="204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</row>
    <row r="18" ht="6.75" customHeight="1">
      <c r="A18" s="30"/>
      <c r="B18" s="30"/>
      <c r="C18" s="179"/>
      <c r="D18" s="66"/>
      <c r="E18" s="66"/>
      <c r="F18" s="66"/>
      <c r="G18" s="66"/>
      <c r="H18" s="66"/>
      <c r="I18" s="66"/>
      <c r="J18" s="66"/>
      <c r="K18" s="180"/>
      <c r="L18" s="83"/>
      <c r="M18" s="83"/>
      <c r="N18" s="83"/>
      <c r="O18" s="83"/>
      <c r="P18" s="83"/>
      <c r="Q18" s="83"/>
      <c r="R18" s="83"/>
      <c r="S18" s="83"/>
      <c r="T18" s="83" t="s">
        <v>90</v>
      </c>
      <c r="U18" s="83" t="s">
        <v>91</v>
      </c>
      <c r="V18" s="83" t="s">
        <v>92</v>
      </c>
      <c r="W18" s="83" t="s">
        <v>93</v>
      </c>
      <c r="X18" s="83" t="s">
        <v>94</v>
      </c>
      <c r="Y18" s="83" t="s">
        <v>95</v>
      </c>
      <c r="Z18" s="83" t="s">
        <v>96</v>
      </c>
      <c r="AA18" s="83" t="s">
        <v>97</v>
      </c>
      <c r="AB18" s="83" t="s">
        <v>98</v>
      </c>
      <c r="AC18" s="83" t="s">
        <v>142</v>
      </c>
      <c r="AD18" s="83" t="s">
        <v>143</v>
      </c>
      <c r="AE18" s="83" t="s">
        <v>144</v>
      </c>
      <c r="AF18" s="83" t="s">
        <v>90</v>
      </c>
      <c r="AG18" s="83" t="s">
        <v>91</v>
      </c>
      <c r="AH18" s="83" t="s">
        <v>92</v>
      </c>
      <c r="AI18" s="83" t="s">
        <v>93</v>
      </c>
      <c r="AJ18" s="83" t="s">
        <v>94</v>
      </c>
      <c r="AK18" s="83" t="s">
        <v>95</v>
      </c>
      <c r="AL18" s="83" t="s">
        <v>96</v>
      </c>
      <c r="AM18" s="83" t="s">
        <v>97</v>
      </c>
      <c r="AN18" s="83" t="s">
        <v>98</v>
      </c>
      <c r="AO18" s="83" t="s">
        <v>142</v>
      </c>
      <c r="AP18" s="83" t="s">
        <v>143</v>
      </c>
      <c r="AQ18" s="83" t="s">
        <v>144</v>
      </c>
      <c r="AR18" s="83" t="s">
        <v>90</v>
      </c>
      <c r="AS18" s="83" t="s">
        <v>91</v>
      </c>
      <c r="AT18" s="83" t="s">
        <v>92</v>
      </c>
      <c r="AU18" s="83" t="s">
        <v>93</v>
      </c>
      <c r="AV18" s="83"/>
    </row>
    <row r="19" ht="45.0" customHeight="1">
      <c r="A19" s="30"/>
      <c r="B19" s="30"/>
      <c r="C19" s="198" t="s">
        <v>171</v>
      </c>
      <c r="D19" s="205">
        <f>'Forças'!G25</f>
        <v>30</v>
      </c>
      <c r="E19" s="17"/>
      <c r="F19" s="17"/>
      <c r="G19" s="66"/>
      <c r="H19" s="66"/>
      <c r="I19" s="66"/>
      <c r="J19" s="66"/>
      <c r="K19" s="180"/>
      <c r="L19" s="83"/>
      <c r="M19" s="83"/>
      <c r="N19" s="82"/>
      <c r="O19" s="82"/>
      <c r="P19" s="82"/>
      <c r="Q19" s="82"/>
      <c r="R19" s="82"/>
      <c r="S19" s="82"/>
      <c r="T19" s="82">
        <v>1.0</v>
      </c>
      <c r="U19" s="82">
        <v>1.0</v>
      </c>
      <c r="V19" s="82">
        <v>1.0</v>
      </c>
      <c r="W19" s="82">
        <v>1.0</v>
      </c>
      <c r="X19" s="82">
        <v>2.0</v>
      </c>
      <c r="Y19" s="82">
        <v>2.0</v>
      </c>
      <c r="Z19" s="82">
        <v>2.0</v>
      </c>
      <c r="AA19" s="82">
        <v>2.0</v>
      </c>
      <c r="AB19" s="82">
        <v>2.0</v>
      </c>
      <c r="AC19" s="82">
        <v>2.0</v>
      </c>
      <c r="AD19" s="82">
        <v>2.0</v>
      </c>
      <c r="AE19" s="82">
        <v>2.0</v>
      </c>
      <c r="AF19" s="82">
        <v>2.0</v>
      </c>
      <c r="AG19" s="82">
        <v>2.0</v>
      </c>
      <c r="AH19" s="82">
        <v>2.0</v>
      </c>
      <c r="AI19" s="82">
        <v>2.0</v>
      </c>
      <c r="AJ19" s="82">
        <v>3.0</v>
      </c>
      <c r="AK19" s="82">
        <v>3.0</v>
      </c>
      <c r="AL19" s="82">
        <v>3.0</v>
      </c>
      <c r="AM19" s="82">
        <v>3.0</v>
      </c>
      <c r="AN19" s="82">
        <v>3.0</v>
      </c>
      <c r="AO19" s="82">
        <v>3.0</v>
      </c>
      <c r="AP19" s="82">
        <v>3.0</v>
      </c>
      <c r="AQ19" s="82">
        <v>3.0</v>
      </c>
      <c r="AR19" s="82">
        <v>3.0</v>
      </c>
      <c r="AS19" s="82">
        <v>3.0</v>
      </c>
      <c r="AT19" s="82">
        <v>3.0</v>
      </c>
      <c r="AU19" s="82">
        <v>3.0</v>
      </c>
      <c r="AV19" s="82"/>
    </row>
    <row r="20" ht="45.0" customHeight="1">
      <c r="A20" s="30"/>
      <c r="B20" s="30"/>
      <c r="C20" s="198" t="s">
        <v>175</v>
      </c>
      <c r="D20" s="205">
        <f>Fraquezas!G25</f>
        <v>0</v>
      </c>
      <c r="E20" s="17"/>
      <c r="F20" s="17"/>
      <c r="G20" s="66"/>
      <c r="H20" s="66"/>
      <c r="I20" s="66"/>
      <c r="J20" s="66"/>
      <c r="K20" s="180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</row>
    <row r="21" ht="45.0" customHeight="1">
      <c r="A21" s="30"/>
      <c r="B21" s="30"/>
      <c r="C21" s="198" t="s">
        <v>178</v>
      </c>
      <c r="D21" s="205">
        <f>Oportunidades!G26</f>
        <v>0</v>
      </c>
      <c r="E21" s="17"/>
      <c r="F21" s="17"/>
      <c r="G21" s="66"/>
      <c r="H21" s="66"/>
      <c r="I21" s="66"/>
      <c r="J21" s="66"/>
      <c r="K21" s="180"/>
      <c r="L21" s="83"/>
      <c r="M21" s="83"/>
      <c r="N21" s="85"/>
      <c r="O21" s="83"/>
      <c r="P21" s="85"/>
      <c r="Q21" s="85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</row>
    <row r="22" ht="45.0" customHeight="1">
      <c r="A22" s="30"/>
      <c r="B22" s="30"/>
      <c r="C22" s="198" t="s">
        <v>181</v>
      </c>
      <c r="D22" s="205">
        <f>'Ameaças'!G26</f>
        <v>0</v>
      </c>
      <c r="E22" s="17"/>
      <c r="F22" s="17"/>
      <c r="G22" s="66"/>
      <c r="H22" s="66"/>
      <c r="I22" s="66"/>
      <c r="J22" s="66"/>
      <c r="K22" s="180"/>
      <c r="L22" s="83"/>
      <c r="M22" s="83"/>
      <c r="N22" s="85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</row>
    <row r="23" ht="11.25" customHeight="1">
      <c r="A23" s="60"/>
      <c r="B23" s="30"/>
      <c r="C23" s="179"/>
      <c r="D23" s="66"/>
      <c r="E23" s="66"/>
      <c r="F23" s="66"/>
      <c r="G23" s="66"/>
      <c r="H23" s="66"/>
      <c r="I23" s="66"/>
      <c r="J23" s="66"/>
      <c r="K23" s="180"/>
      <c r="L23" s="83"/>
      <c r="M23" s="83"/>
      <c r="N23" s="85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</row>
    <row r="24" ht="30.0" customHeight="1">
      <c r="A24" s="60"/>
      <c r="B24" s="30"/>
      <c r="C24" s="206" t="s">
        <v>184</v>
      </c>
      <c r="E24" s="66"/>
      <c r="F24" s="66"/>
      <c r="G24" s="66"/>
      <c r="H24" s="207" t="s">
        <v>185</v>
      </c>
      <c r="J24" s="66"/>
      <c r="K24" s="180"/>
      <c r="L24" s="83"/>
      <c r="M24" s="83"/>
      <c r="N24" s="85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</row>
    <row r="25" ht="7.5" customHeight="1">
      <c r="A25" s="30"/>
      <c r="B25" s="30"/>
      <c r="C25" s="179"/>
      <c r="D25" s="66"/>
      <c r="E25" s="66"/>
      <c r="F25" s="66"/>
      <c r="G25" s="66"/>
      <c r="H25" s="66"/>
      <c r="I25" s="66"/>
      <c r="J25" s="66"/>
      <c r="K25" s="180"/>
      <c r="L25" s="83"/>
      <c r="M25" s="83"/>
      <c r="N25" s="85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</row>
    <row r="26" ht="33.0" customHeight="1">
      <c r="A26" s="30"/>
      <c r="B26" s="30"/>
      <c r="C26" s="208" t="str">
        <f>'Matriz SWOT'!C6</f>
        <v/>
      </c>
      <c r="D26" s="209"/>
      <c r="E26" s="210">
        <f>'Matriz SWOT'!D6</f>
        <v>0</v>
      </c>
      <c r="F26" s="209"/>
      <c r="G26" s="66"/>
      <c r="H26" s="211" t="str">
        <f>'Matriz SWOT'!E6</f>
        <v/>
      </c>
      <c r="I26" s="209"/>
      <c r="J26" s="212">
        <f>'Matriz SWOT'!F6</f>
        <v>0</v>
      </c>
      <c r="K26" s="213"/>
      <c r="L26" s="83"/>
      <c r="M26" s="83"/>
      <c r="N26" s="83"/>
      <c r="O26" s="85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</row>
    <row r="27" ht="33.0" customHeight="1">
      <c r="A27" s="30"/>
      <c r="B27" s="30"/>
      <c r="C27" s="208" t="str">
        <f>'Matriz SWOT'!C7</f>
        <v/>
      </c>
      <c r="D27" s="209"/>
      <c r="E27" s="210">
        <f>'Matriz SWOT'!D7</f>
        <v>0</v>
      </c>
      <c r="F27" s="209"/>
      <c r="G27" s="66"/>
      <c r="H27" s="211" t="str">
        <f>'Matriz SWOT'!E7</f>
        <v/>
      </c>
      <c r="I27" s="209"/>
      <c r="J27" s="212">
        <f>'Matriz SWOT'!F7</f>
        <v>0</v>
      </c>
      <c r="K27" s="213"/>
      <c r="L27" s="83"/>
      <c r="M27" s="83"/>
      <c r="N27" s="83"/>
      <c r="O27" s="85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</row>
    <row r="28" ht="33.0" customHeight="1">
      <c r="A28" s="30"/>
      <c r="B28" s="30"/>
      <c r="C28" s="208" t="str">
        <f>'Matriz SWOT'!C8</f>
        <v/>
      </c>
      <c r="D28" s="209"/>
      <c r="E28" s="210">
        <f>'Matriz SWOT'!D8</f>
        <v>0</v>
      </c>
      <c r="F28" s="209"/>
      <c r="G28" s="66"/>
      <c r="H28" s="211" t="str">
        <f>'Matriz SWOT'!E8</f>
        <v/>
      </c>
      <c r="I28" s="209"/>
      <c r="J28" s="212">
        <f>'Matriz SWOT'!F8</f>
        <v>0</v>
      </c>
      <c r="K28" s="213"/>
      <c r="L28" s="83"/>
      <c r="M28" s="83"/>
      <c r="N28" s="83"/>
      <c r="O28" s="85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</row>
    <row r="29" ht="33.0" customHeight="1">
      <c r="A29" s="30"/>
      <c r="B29" s="30"/>
      <c r="C29" s="208" t="str">
        <f>'Matriz SWOT'!C9</f>
        <v/>
      </c>
      <c r="D29" s="209"/>
      <c r="E29" s="210">
        <f>'Matriz SWOT'!D9</f>
        <v>0</v>
      </c>
      <c r="F29" s="209"/>
      <c r="G29" s="66"/>
      <c r="H29" s="211" t="str">
        <f>'Matriz SWOT'!E9</f>
        <v/>
      </c>
      <c r="I29" s="209"/>
      <c r="J29" s="212">
        <f>'Matriz SWOT'!F9</f>
        <v>0</v>
      </c>
      <c r="K29" s="213"/>
      <c r="L29" s="83"/>
      <c r="M29" s="83"/>
      <c r="N29" s="83"/>
      <c r="O29" s="85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</row>
    <row r="30" ht="33.0" customHeight="1">
      <c r="A30" s="30"/>
      <c r="B30" s="30"/>
      <c r="C30" s="214" t="str">
        <f>'Matriz SWOT'!C10</f>
        <v/>
      </c>
      <c r="D30" s="209"/>
      <c r="E30" s="215">
        <f>'Matriz SWOT'!D10</f>
        <v>0</v>
      </c>
      <c r="F30" s="209"/>
      <c r="G30" s="66"/>
      <c r="H30" s="211" t="str">
        <f>'Matriz SWOT'!E10</f>
        <v/>
      </c>
      <c r="I30" s="209"/>
      <c r="J30" s="212">
        <f>'Matriz SWOT'!F10</f>
        <v>0</v>
      </c>
      <c r="K30" s="213"/>
      <c r="L30" s="83"/>
      <c r="M30" s="83"/>
      <c r="N30" s="83"/>
      <c r="O30" s="85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</row>
    <row r="31" ht="6.75" customHeight="1">
      <c r="A31" s="30"/>
      <c r="B31" s="30"/>
      <c r="C31" s="179"/>
      <c r="D31" s="66"/>
      <c r="E31" s="66"/>
      <c r="F31" s="66"/>
      <c r="G31" s="66"/>
      <c r="H31" s="66"/>
      <c r="I31" s="66"/>
      <c r="J31" s="66"/>
      <c r="K31" s="180"/>
      <c r="L31" s="83"/>
      <c r="M31" s="83"/>
      <c r="N31" s="83"/>
      <c r="O31" s="83"/>
      <c r="P31" s="83"/>
      <c r="Q31" s="83"/>
      <c r="R31" s="83"/>
      <c r="S31" s="83"/>
    </row>
    <row r="32" ht="30.0" customHeight="1">
      <c r="A32" s="30"/>
      <c r="B32" s="30"/>
      <c r="C32" s="194" t="s">
        <v>186</v>
      </c>
      <c r="E32" s="66"/>
      <c r="F32" s="66"/>
      <c r="G32" s="68"/>
      <c r="H32" s="216" t="s">
        <v>187</v>
      </c>
      <c r="J32" s="66"/>
      <c r="K32" s="180"/>
      <c r="L32" s="83"/>
      <c r="M32" s="83"/>
      <c r="N32" s="83"/>
      <c r="O32" s="85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</row>
    <row r="33" ht="7.5" customHeight="1">
      <c r="A33" s="30"/>
      <c r="B33" s="30"/>
      <c r="C33" s="179"/>
      <c r="D33" s="68"/>
      <c r="E33" s="68"/>
      <c r="F33" s="68"/>
      <c r="G33" s="68"/>
      <c r="H33" s="66"/>
      <c r="I33" s="66"/>
      <c r="J33" s="66"/>
      <c r="K33" s="180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</row>
    <row r="34" ht="33.0" customHeight="1">
      <c r="A34" s="30"/>
      <c r="B34" s="30"/>
      <c r="C34" s="208" t="str">
        <f>'Matriz SWOT'!C14</f>
        <v/>
      </c>
      <c r="D34" s="209"/>
      <c r="E34" s="210">
        <f>'Matriz SWOT'!D14</f>
        <v>0</v>
      </c>
      <c r="F34" s="209"/>
      <c r="G34" s="66"/>
      <c r="H34" s="211" t="str">
        <f>'Matriz SWOT'!E14</f>
        <v/>
      </c>
      <c r="I34" s="209"/>
      <c r="J34" s="212">
        <f>'Matriz SWOT'!F14</f>
        <v>0</v>
      </c>
      <c r="K34" s="213"/>
      <c r="L34" s="83"/>
      <c r="M34" s="83"/>
      <c r="N34" s="83"/>
      <c r="O34" s="85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</row>
    <row r="35" ht="33.0" customHeight="1">
      <c r="A35" s="30"/>
      <c r="B35" s="30"/>
      <c r="C35" s="208" t="str">
        <f>'Matriz SWOT'!C15</f>
        <v/>
      </c>
      <c r="D35" s="209"/>
      <c r="E35" s="210">
        <f>'Matriz SWOT'!D15</f>
        <v>0</v>
      </c>
      <c r="F35" s="209"/>
      <c r="G35" s="68"/>
      <c r="H35" s="211" t="str">
        <f>'Matriz SWOT'!E15</f>
        <v/>
      </c>
      <c r="I35" s="209"/>
      <c r="J35" s="212">
        <f>'Matriz SWOT'!F15</f>
        <v>0</v>
      </c>
      <c r="K35" s="213"/>
      <c r="L35" s="83"/>
      <c r="M35" s="83"/>
      <c r="N35" s="83"/>
      <c r="O35" s="85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</row>
    <row r="36" ht="33.0" customHeight="1">
      <c r="A36" s="30"/>
      <c r="B36" s="30"/>
      <c r="C36" s="208" t="str">
        <f>'Matriz SWOT'!C16</f>
        <v/>
      </c>
      <c r="D36" s="209"/>
      <c r="E36" s="210">
        <f>'Matriz SWOT'!D16</f>
        <v>0</v>
      </c>
      <c r="F36" s="209"/>
      <c r="G36" s="66"/>
      <c r="H36" s="217" t="str">
        <f>'Matriz SWOT'!E16</f>
        <v/>
      </c>
      <c r="I36" s="209"/>
      <c r="J36" s="218">
        <f>'Matriz SWOT'!F16</f>
        <v>0</v>
      </c>
      <c r="K36" s="213"/>
      <c r="L36" s="83"/>
      <c r="M36" s="83"/>
      <c r="N36" s="83"/>
      <c r="O36" s="85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</row>
    <row r="37" ht="33.0" customHeight="1">
      <c r="A37" s="30"/>
      <c r="B37" s="30"/>
      <c r="C37" s="208" t="str">
        <f>'Matriz SWOT'!C17</f>
        <v/>
      </c>
      <c r="D37" s="209"/>
      <c r="E37" s="210">
        <f>'Matriz SWOT'!D17</f>
        <v>0</v>
      </c>
      <c r="F37" s="209"/>
      <c r="G37" s="66"/>
      <c r="H37" s="217" t="str">
        <f>'Matriz SWOT'!E17</f>
        <v/>
      </c>
      <c r="I37" s="209"/>
      <c r="J37" s="218">
        <f>'Matriz SWOT'!F17</f>
        <v>0</v>
      </c>
      <c r="K37" s="21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</row>
    <row r="38" ht="33.0" customHeight="1">
      <c r="A38" s="30"/>
      <c r="B38" s="30"/>
      <c r="C38" s="219" t="str">
        <f>'Matriz SWOT'!C18</f>
        <v/>
      </c>
      <c r="D38" s="220"/>
      <c r="E38" s="221">
        <f>'Matriz SWOT'!D18</f>
        <v>0</v>
      </c>
      <c r="F38" s="220"/>
      <c r="G38" s="222"/>
      <c r="H38" s="223" t="str">
        <f>'Matriz SWOT'!E18</f>
        <v/>
      </c>
      <c r="I38" s="220"/>
      <c r="J38" s="224">
        <f>'Matriz SWOT'!F18</f>
        <v>0</v>
      </c>
      <c r="K38" s="225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</row>
    <row r="39" ht="14.25" customHeight="1">
      <c r="A39" s="30"/>
      <c r="B39" s="30"/>
      <c r="D39" s="68"/>
      <c r="E39" s="68"/>
      <c r="F39" s="68"/>
      <c r="G39" s="68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</row>
    <row r="40" ht="14.25" customHeight="1">
      <c r="A40" s="30"/>
      <c r="B40" s="30"/>
      <c r="D40" s="68"/>
      <c r="E40" s="68"/>
      <c r="F40" s="68"/>
      <c r="G40" s="68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</row>
    <row r="41" ht="14.25" customHeight="1">
      <c r="A41" s="30"/>
      <c r="B41" s="30"/>
      <c r="D41" s="68"/>
      <c r="E41" s="68"/>
      <c r="F41" s="68"/>
      <c r="G41" s="68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</row>
    <row r="42" ht="14.25" customHeight="1">
      <c r="A42" s="30"/>
      <c r="B42" s="30"/>
      <c r="D42" s="68"/>
      <c r="E42" s="68"/>
      <c r="F42" s="68"/>
      <c r="G42" s="68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</row>
    <row r="43" ht="30.0" hidden="1" customHeight="1">
      <c r="A43" s="30"/>
      <c r="B43" s="30"/>
      <c r="D43" s="68"/>
      <c r="E43" s="68"/>
      <c r="F43" s="68"/>
      <c r="G43" s="68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</row>
    <row r="44" ht="14.25" customHeight="1">
      <c r="A44" s="30"/>
      <c r="B44" s="30"/>
      <c r="D44" s="68"/>
      <c r="E44" s="68"/>
      <c r="F44" s="68"/>
      <c r="G44" s="68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</row>
    <row r="45" ht="14.25" customHeight="1">
      <c r="A45" s="30"/>
      <c r="B45" s="30"/>
      <c r="D45" s="68"/>
      <c r="E45" s="68"/>
      <c r="F45" s="68"/>
      <c r="G45" s="68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</row>
    <row r="46" ht="14.25" customHeight="1">
      <c r="A46" s="30"/>
      <c r="B46" s="30"/>
      <c r="D46" s="68"/>
      <c r="E46" s="68"/>
      <c r="F46" s="68"/>
      <c r="G46" s="68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</row>
    <row r="47" ht="14.25" customHeight="1">
      <c r="A47" s="30"/>
      <c r="B47" s="30"/>
      <c r="D47" s="68"/>
      <c r="E47" s="68"/>
      <c r="F47" s="68"/>
      <c r="G47" s="68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</row>
    <row r="48" ht="14.25" customHeight="1">
      <c r="A48" s="30"/>
      <c r="B48" s="30"/>
      <c r="D48" s="68"/>
      <c r="E48" s="68"/>
      <c r="F48" s="68"/>
      <c r="G48" s="68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</row>
    <row r="49" ht="14.25" customHeight="1">
      <c r="A49" s="30"/>
      <c r="B49" s="30"/>
      <c r="D49" s="68"/>
      <c r="E49" s="68"/>
      <c r="F49" s="68"/>
      <c r="G49" s="68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</row>
    <row r="50" ht="14.25" customHeight="1">
      <c r="A50" s="30"/>
      <c r="B50" s="30"/>
      <c r="D50" s="68"/>
      <c r="E50" s="68"/>
      <c r="F50" s="68"/>
      <c r="G50" s="68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</row>
    <row r="51" ht="14.25" customHeight="1">
      <c r="A51" s="30"/>
      <c r="B51" s="30"/>
      <c r="D51" s="68"/>
      <c r="E51" s="68"/>
      <c r="F51" s="68"/>
      <c r="G51" s="68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</row>
    <row r="52" ht="14.25" customHeight="1">
      <c r="A52" s="30"/>
      <c r="B52" s="30"/>
      <c r="D52" s="68"/>
      <c r="E52" s="68"/>
      <c r="F52" s="68"/>
      <c r="G52" s="68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</row>
    <row r="53" ht="14.25" customHeight="1">
      <c r="A53" s="30"/>
      <c r="B53" s="30"/>
      <c r="D53" s="68"/>
      <c r="E53" s="68"/>
      <c r="F53" s="68"/>
      <c r="G53" s="68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</row>
    <row r="54" ht="14.25" customHeight="1">
      <c r="A54" s="30"/>
      <c r="B54" s="30"/>
      <c r="D54" s="68"/>
      <c r="E54" s="68"/>
      <c r="F54" s="68"/>
      <c r="G54" s="68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</row>
    <row r="55" ht="14.25" customHeight="1">
      <c r="A55" s="60"/>
      <c r="B55" s="30"/>
      <c r="D55" s="68"/>
      <c r="E55" s="68"/>
      <c r="F55" s="68"/>
      <c r="G55" s="68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</row>
    <row r="56" ht="14.25" customHeight="1">
      <c r="A56" s="60"/>
      <c r="B56" s="30"/>
      <c r="D56" s="68"/>
      <c r="E56" s="68"/>
      <c r="F56" s="68"/>
      <c r="G56" s="68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</row>
    <row r="57" ht="14.25" customHeight="1">
      <c r="A57" s="60"/>
      <c r="B57" s="30"/>
      <c r="D57" s="68"/>
      <c r="E57" s="68"/>
      <c r="F57" s="68"/>
      <c r="G57" s="68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</row>
    <row r="58" ht="14.25" customHeight="1">
      <c r="A58" s="30"/>
      <c r="B58" s="30"/>
      <c r="D58" s="68"/>
      <c r="E58" s="68"/>
      <c r="F58" s="68"/>
      <c r="G58" s="68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</row>
    <row r="59" ht="14.25" customHeight="1">
      <c r="A59" s="30"/>
      <c r="B59" s="30"/>
      <c r="D59" s="68"/>
      <c r="E59" s="68"/>
      <c r="F59" s="68"/>
      <c r="G59" s="68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</row>
    <row r="60" ht="14.25" customHeight="1">
      <c r="A60" s="30"/>
      <c r="B60" s="30"/>
      <c r="D60" s="68"/>
      <c r="E60" s="68"/>
      <c r="F60" s="68"/>
      <c r="G60" s="68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</row>
    <row r="61" ht="14.25" customHeight="1">
      <c r="A61" s="30"/>
      <c r="B61" s="30"/>
      <c r="D61" s="68"/>
      <c r="E61" s="68"/>
      <c r="F61" s="68"/>
      <c r="G61" s="68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</row>
    <row r="62" ht="14.25" customHeight="1">
      <c r="A62" s="30"/>
      <c r="B62" s="30"/>
      <c r="D62" s="68"/>
      <c r="E62" s="68"/>
      <c r="F62" s="68"/>
      <c r="G62" s="68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</row>
    <row r="63" ht="14.25" customHeight="1">
      <c r="A63" s="30"/>
      <c r="B63" s="30"/>
      <c r="D63" s="68"/>
      <c r="E63" s="68"/>
      <c r="F63" s="68"/>
      <c r="G63" s="68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</row>
    <row r="64" ht="14.25" customHeight="1">
      <c r="A64" s="30"/>
      <c r="B64" s="30"/>
      <c r="D64" s="68"/>
      <c r="E64" s="68"/>
      <c r="F64" s="68"/>
      <c r="G64" s="68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</row>
    <row r="65" ht="14.25" customHeight="1">
      <c r="A65" s="30"/>
      <c r="B65" s="30"/>
      <c r="D65" s="68"/>
      <c r="E65" s="68"/>
      <c r="F65" s="68"/>
      <c r="G65" s="68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</row>
    <row r="66" ht="14.25" customHeight="1">
      <c r="A66" s="30"/>
      <c r="B66" s="30"/>
      <c r="D66" s="68"/>
      <c r="E66" s="68"/>
      <c r="F66" s="68"/>
      <c r="G66" s="68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</row>
    <row r="67" ht="14.25" customHeight="1">
      <c r="A67" s="30"/>
      <c r="B67" s="30"/>
      <c r="D67" s="68"/>
      <c r="E67" s="68"/>
      <c r="F67" s="68"/>
      <c r="G67" s="68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</row>
    <row r="68" ht="14.25" customHeight="1">
      <c r="A68" s="30"/>
      <c r="B68" s="30"/>
      <c r="D68" s="68"/>
      <c r="E68" s="68"/>
      <c r="F68" s="68"/>
      <c r="G68" s="68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</row>
    <row r="69" ht="14.25" customHeight="1">
      <c r="A69" s="30"/>
      <c r="B69" s="30"/>
      <c r="D69" s="68"/>
      <c r="E69" s="68"/>
      <c r="F69" s="68"/>
      <c r="G69" s="68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</row>
    <row r="70" ht="14.25" customHeight="1">
      <c r="A70" s="30"/>
      <c r="B70" s="30"/>
      <c r="D70" s="68"/>
      <c r="E70" s="68"/>
      <c r="F70" s="68"/>
      <c r="G70" s="68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</row>
    <row r="71" ht="14.25" customHeight="1">
      <c r="A71" s="30"/>
      <c r="B71" s="30"/>
      <c r="D71" s="68"/>
      <c r="E71" s="68"/>
      <c r="F71" s="68"/>
      <c r="G71" s="68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</row>
    <row r="72" ht="14.25" customHeight="1">
      <c r="A72" s="30"/>
      <c r="B72" s="30"/>
      <c r="D72" s="68"/>
      <c r="E72" s="68"/>
      <c r="F72" s="68"/>
      <c r="G72" s="68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</row>
    <row r="73" ht="14.25" customHeight="1">
      <c r="A73" s="30"/>
      <c r="B73" s="30"/>
      <c r="D73" s="68"/>
      <c r="E73" s="68"/>
      <c r="F73" s="68"/>
      <c r="G73" s="68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</row>
    <row r="74" ht="14.25" customHeight="1">
      <c r="A74" s="30"/>
      <c r="B74" s="30"/>
      <c r="D74" s="68"/>
      <c r="E74" s="68"/>
      <c r="F74" s="68"/>
      <c r="G74" s="68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</row>
    <row r="75" ht="14.25" customHeight="1">
      <c r="A75" s="30"/>
      <c r="B75" s="30"/>
      <c r="D75" s="68"/>
      <c r="E75" s="68"/>
      <c r="F75" s="68"/>
      <c r="G75" s="68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</row>
    <row r="76" ht="14.25" customHeight="1">
      <c r="A76" s="30"/>
      <c r="B76" s="30"/>
      <c r="D76" s="68"/>
      <c r="E76" s="68"/>
      <c r="F76" s="68"/>
      <c r="G76" s="68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</row>
    <row r="77" ht="14.25" customHeight="1">
      <c r="A77" s="30"/>
      <c r="B77" s="30"/>
      <c r="D77" s="68"/>
      <c r="E77" s="68"/>
      <c r="F77" s="68"/>
      <c r="G77" s="68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</row>
    <row r="78" ht="14.25" customHeight="1">
      <c r="A78" s="30"/>
      <c r="B78" s="30"/>
      <c r="D78" s="68"/>
      <c r="E78" s="68"/>
      <c r="F78" s="68"/>
      <c r="G78" s="68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</row>
    <row r="79" ht="14.25" customHeight="1">
      <c r="A79" s="30"/>
      <c r="B79" s="30"/>
      <c r="D79" s="68"/>
      <c r="E79" s="68"/>
      <c r="F79" s="68"/>
      <c r="G79" s="68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</row>
    <row r="80" ht="14.25" customHeight="1">
      <c r="A80" s="30"/>
      <c r="B80" s="30"/>
      <c r="D80" s="68"/>
      <c r="E80" s="68"/>
      <c r="F80" s="68"/>
      <c r="G80" s="68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</row>
    <row r="81" ht="14.25" customHeight="1">
      <c r="A81" s="30"/>
      <c r="B81" s="30"/>
      <c r="D81" s="68"/>
      <c r="E81" s="68"/>
      <c r="F81" s="68"/>
      <c r="G81" s="68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</row>
    <row r="82" ht="14.25" customHeight="1">
      <c r="A82" s="30"/>
      <c r="B82" s="30"/>
      <c r="D82" s="68"/>
      <c r="E82" s="68"/>
      <c r="F82" s="68"/>
      <c r="G82" s="68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</row>
    <row r="83" ht="14.25" customHeight="1">
      <c r="A83" s="30"/>
      <c r="B83" s="30"/>
      <c r="D83" s="68"/>
      <c r="E83" s="68"/>
      <c r="F83" s="68"/>
      <c r="G83" s="68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</row>
    <row r="84" ht="14.25" customHeight="1">
      <c r="A84" s="30"/>
      <c r="B84" s="30"/>
      <c r="D84" s="68"/>
      <c r="E84" s="68"/>
      <c r="F84" s="68"/>
      <c r="G84" s="68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</row>
    <row r="85" ht="14.25" customHeight="1">
      <c r="A85" s="30"/>
      <c r="B85" s="30"/>
      <c r="D85" s="68"/>
      <c r="E85" s="68"/>
      <c r="F85" s="68"/>
      <c r="G85" s="68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</row>
    <row r="86" ht="14.25" customHeight="1">
      <c r="A86" s="30"/>
      <c r="B86" s="30"/>
      <c r="D86" s="68"/>
      <c r="E86" s="68"/>
      <c r="F86" s="68"/>
      <c r="G86" s="68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</row>
    <row r="87" ht="14.25" customHeight="1">
      <c r="A87" s="30"/>
      <c r="B87" s="30"/>
      <c r="D87" s="68"/>
      <c r="E87" s="68"/>
      <c r="F87" s="68"/>
      <c r="G87" s="68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</row>
    <row r="88" ht="14.25" customHeight="1">
      <c r="A88" s="30"/>
      <c r="B88" s="30"/>
      <c r="D88" s="68"/>
      <c r="E88" s="68"/>
      <c r="F88" s="68"/>
      <c r="G88" s="68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</row>
    <row r="89" ht="14.25" customHeight="1">
      <c r="A89" s="30"/>
      <c r="B89" s="30"/>
      <c r="D89" s="68"/>
      <c r="E89" s="68"/>
      <c r="F89" s="68"/>
      <c r="G89" s="68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</row>
    <row r="90" ht="14.25" customHeight="1">
      <c r="A90" s="30"/>
      <c r="B90" s="30"/>
      <c r="D90" s="68"/>
      <c r="E90" s="68"/>
      <c r="F90" s="68"/>
      <c r="G90" s="68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</row>
    <row r="91" ht="14.25" customHeight="1">
      <c r="A91" s="30"/>
      <c r="B91" s="30"/>
      <c r="D91" s="68"/>
      <c r="E91" s="68"/>
      <c r="F91" s="68"/>
      <c r="G91" s="68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</row>
    <row r="92" ht="14.25" customHeight="1">
      <c r="A92" s="30"/>
      <c r="B92" s="30"/>
      <c r="D92" s="68"/>
      <c r="E92" s="68"/>
      <c r="F92" s="68"/>
      <c r="G92" s="68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</row>
    <row r="93" ht="14.25" customHeight="1">
      <c r="A93" s="30"/>
      <c r="B93" s="30"/>
      <c r="D93" s="68"/>
      <c r="E93" s="68"/>
      <c r="F93" s="68"/>
      <c r="G93" s="68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</row>
    <row r="94" ht="14.25" customHeight="1">
      <c r="A94" s="30"/>
      <c r="B94" s="30"/>
      <c r="D94" s="68"/>
      <c r="E94" s="68"/>
      <c r="F94" s="68"/>
      <c r="G94" s="68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</row>
    <row r="95" ht="14.25" customHeight="1">
      <c r="A95" s="30"/>
      <c r="B95" s="30"/>
      <c r="D95" s="68"/>
      <c r="E95" s="68"/>
      <c r="F95" s="68"/>
      <c r="G95" s="68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</row>
    <row r="96" ht="14.25" customHeight="1">
      <c r="A96" s="30"/>
      <c r="B96" s="30"/>
      <c r="D96" s="68"/>
      <c r="E96" s="68"/>
      <c r="F96" s="68"/>
      <c r="G96" s="68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</row>
    <row r="97" ht="14.25" customHeight="1">
      <c r="A97" s="30"/>
      <c r="B97" s="30"/>
      <c r="D97" s="68"/>
      <c r="E97" s="68"/>
      <c r="F97" s="68"/>
      <c r="G97" s="68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</row>
    <row r="98" ht="14.25" customHeight="1">
      <c r="A98" s="30"/>
      <c r="B98" s="30"/>
      <c r="D98" s="68"/>
      <c r="E98" s="68"/>
      <c r="F98" s="68"/>
      <c r="G98" s="68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</row>
    <row r="99" ht="14.25" customHeight="1">
      <c r="A99" s="30"/>
      <c r="B99" s="30"/>
      <c r="D99" s="68"/>
      <c r="E99" s="68"/>
      <c r="F99" s="68"/>
      <c r="G99" s="68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</row>
    <row r="100" ht="14.25" customHeight="1">
      <c r="A100" s="30"/>
      <c r="B100" s="30"/>
      <c r="D100" s="68"/>
      <c r="E100" s="68"/>
      <c r="F100" s="68"/>
      <c r="G100" s="68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</row>
    <row r="101" ht="37.5" hidden="1" customHeight="1">
      <c r="A101" s="30"/>
      <c r="B101" s="30"/>
      <c r="D101" s="68"/>
      <c r="E101" s="68"/>
      <c r="F101" s="68"/>
      <c r="G101" s="68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</row>
    <row r="102" ht="37.5" hidden="1" customHeight="1">
      <c r="A102" s="30"/>
      <c r="B102" s="30"/>
      <c r="D102" s="68"/>
      <c r="E102" s="68"/>
      <c r="F102" s="68"/>
      <c r="G102" s="68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</row>
    <row r="103" ht="37.5" hidden="1" customHeight="1">
      <c r="A103" s="30"/>
      <c r="B103" s="30"/>
      <c r="D103" s="68"/>
      <c r="E103" s="68"/>
      <c r="F103" s="68"/>
      <c r="G103" s="68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</row>
    <row r="104" ht="37.5" hidden="1" customHeight="1">
      <c r="A104" s="30"/>
      <c r="B104" s="30"/>
      <c r="D104" s="68"/>
      <c r="E104" s="68"/>
      <c r="F104" s="68"/>
      <c r="G104" s="68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</row>
    <row r="105" ht="37.5" hidden="1" customHeight="1">
      <c r="A105" s="30"/>
      <c r="B105" s="30"/>
      <c r="D105" s="68"/>
      <c r="E105" s="68"/>
      <c r="F105" s="68"/>
      <c r="G105" s="68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</row>
    <row r="106" ht="37.5" hidden="1" customHeight="1">
      <c r="A106" s="30"/>
      <c r="B106" s="30"/>
      <c r="D106" s="68"/>
      <c r="E106" s="68"/>
      <c r="F106" s="68"/>
      <c r="G106" s="68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</row>
    <row r="107" ht="37.5" hidden="1" customHeight="1">
      <c r="A107" s="30"/>
      <c r="B107" s="30"/>
      <c r="D107" s="68"/>
      <c r="E107" s="68"/>
      <c r="F107" s="68"/>
      <c r="G107" s="68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</row>
    <row r="108" ht="37.5" hidden="1" customHeight="1">
      <c r="A108" s="30"/>
      <c r="B108" s="30"/>
      <c r="D108" s="68"/>
      <c r="E108" s="68"/>
      <c r="F108" s="68"/>
      <c r="G108" s="68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</row>
    <row r="109" ht="37.5" hidden="1" customHeight="1">
      <c r="A109" s="30"/>
      <c r="B109" s="30"/>
      <c r="D109" s="68"/>
      <c r="E109" s="68"/>
      <c r="F109" s="68"/>
      <c r="G109" s="68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</row>
    <row r="110" ht="37.5" hidden="1" customHeight="1">
      <c r="A110" s="30"/>
      <c r="B110" s="30"/>
      <c r="D110" s="68"/>
      <c r="E110" s="68"/>
      <c r="F110" s="68"/>
      <c r="G110" s="68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</row>
    <row r="111" ht="37.5" hidden="1" customHeight="1">
      <c r="A111" s="30"/>
      <c r="B111" s="30"/>
      <c r="D111" s="68"/>
      <c r="E111" s="68"/>
      <c r="F111" s="68"/>
      <c r="G111" s="68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</row>
    <row r="112" ht="37.5" hidden="1" customHeight="1">
      <c r="A112" s="30"/>
      <c r="B112" s="30"/>
      <c r="D112" s="68"/>
      <c r="E112" s="68"/>
      <c r="F112" s="68"/>
      <c r="G112" s="68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</row>
    <row r="113" ht="37.5" hidden="1" customHeight="1">
      <c r="A113" s="30"/>
      <c r="B113" s="30"/>
      <c r="D113" s="68"/>
      <c r="E113" s="68"/>
      <c r="F113" s="68"/>
      <c r="G113" s="68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</row>
    <row r="114" ht="37.5" hidden="1" customHeight="1">
      <c r="A114" s="30"/>
      <c r="B114" s="30"/>
      <c r="D114" s="68"/>
      <c r="E114" s="68"/>
      <c r="F114" s="68"/>
      <c r="G114" s="68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</row>
    <row r="115" ht="37.5" hidden="1" customHeight="1">
      <c r="A115" s="30"/>
      <c r="B115" s="30"/>
      <c r="D115" s="68"/>
      <c r="E115" s="68"/>
      <c r="F115" s="68"/>
      <c r="G115" s="68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</row>
    <row r="116" ht="37.5" hidden="1" customHeight="1">
      <c r="A116" s="30"/>
      <c r="B116" s="30"/>
      <c r="D116" s="68"/>
      <c r="E116" s="68"/>
      <c r="F116" s="68"/>
      <c r="G116" s="68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</row>
    <row r="117" ht="14.25" customHeight="1">
      <c r="A117" s="30"/>
      <c r="B117" s="30"/>
      <c r="D117" s="68"/>
      <c r="E117" s="68"/>
      <c r="F117" s="68"/>
      <c r="G117" s="68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</row>
    <row r="118" ht="14.25" customHeight="1">
      <c r="A118" s="30"/>
      <c r="B118" s="30"/>
      <c r="D118" s="68"/>
      <c r="E118" s="68"/>
      <c r="F118" s="68"/>
      <c r="G118" s="68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</row>
    <row r="119" ht="14.25" customHeight="1">
      <c r="A119" s="30"/>
      <c r="B119" s="30"/>
      <c r="D119" s="68"/>
      <c r="E119" s="68"/>
      <c r="F119" s="68"/>
      <c r="G119" s="68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</row>
    <row r="120" ht="14.25" customHeight="1">
      <c r="A120" s="30"/>
      <c r="B120" s="30"/>
      <c r="D120" s="68"/>
      <c r="E120" s="68"/>
      <c r="F120" s="68"/>
      <c r="G120" s="68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</row>
    <row r="121" ht="14.25" customHeight="1">
      <c r="A121" s="30"/>
      <c r="B121" s="30"/>
      <c r="D121" s="68"/>
      <c r="E121" s="68"/>
      <c r="F121" s="68"/>
      <c r="G121" s="68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</row>
    <row r="122" ht="14.25" customHeight="1">
      <c r="A122" s="30"/>
      <c r="B122" s="30"/>
      <c r="D122" s="68"/>
      <c r="E122" s="68"/>
      <c r="F122" s="68"/>
      <c r="G122" s="68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</row>
    <row r="123" ht="14.25" customHeight="1">
      <c r="A123" s="30"/>
      <c r="B123" s="30"/>
      <c r="D123" s="68"/>
      <c r="E123" s="68"/>
      <c r="F123" s="68"/>
      <c r="G123" s="68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</row>
    <row r="124" ht="14.25" customHeight="1">
      <c r="A124" s="30"/>
      <c r="B124" s="30"/>
      <c r="D124" s="68"/>
      <c r="E124" s="68"/>
      <c r="F124" s="68"/>
      <c r="G124" s="68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</row>
    <row r="125" ht="14.25" customHeight="1">
      <c r="A125" s="30"/>
      <c r="B125" s="30"/>
      <c r="D125" s="68"/>
      <c r="E125" s="68"/>
      <c r="F125" s="68"/>
      <c r="G125" s="68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</row>
    <row r="126" ht="14.25" customHeight="1">
      <c r="A126" s="30"/>
      <c r="B126" s="30"/>
      <c r="D126" s="68"/>
      <c r="E126" s="68"/>
      <c r="F126" s="68"/>
      <c r="G126" s="68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</row>
    <row r="127" ht="14.25" customHeight="1">
      <c r="A127" s="30"/>
      <c r="B127" s="30"/>
      <c r="D127" s="68"/>
      <c r="E127" s="68"/>
      <c r="F127" s="68"/>
      <c r="G127" s="68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</row>
    <row r="128" ht="14.25" customHeight="1">
      <c r="A128" s="30"/>
      <c r="B128" s="30"/>
      <c r="D128" s="68"/>
      <c r="E128" s="68"/>
      <c r="F128" s="68"/>
      <c r="G128" s="68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</row>
    <row r="129" ht="14.25" customHeight="1">
      <c r="A129" s="30"/>
      <c r="B129" s="30"/>
      <c r="D129" s="68"/>
      <c r="E129" s="68"/>
      <c r="F129" s="68"/>
      <c r="G129" s="68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</row>
    <row r="130" ht="14.25" customHeight="1">
      <c r="A130" s="30"/>
      <c r="B130" s="30"/>
      <c r="D130" s="68"/>
      <c r="E130" s="68"/>
      <c r="F130" s="68"/>
      <c r="G130" s="68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</row>
    <row r="131" ht="14.25" customHeight="1">
      <c r="A131" s="30"/>
      <c r="B131" s="30"/>
      <c r="D131" s="68"/>
      <c r="E131" s="68"/>
      <c r="F131" s="68"/>
      <c r="G131" s="68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</row>
    <row r="132" ht="14.25" customHeight="1">
      <c r="A132" s="30"/>
      <c r="B132" s="30"/>
      <c r="D132" s="68"/>
      <c r="E132" s="68"/>
      <c r="F132" s="68"/>
      <c r="G132" s="68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</row>
    <row r="133" ht="14.25" customHeight="1">
      <c r="A133" s="30"/>
      <c r="B133" s="30"/>
      <c r="D133" s="68"/>
      <c r="E133" s="68"/>
      <c r="F133" s="68"/>
      <c r="G133" s="68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</row>
    <row r="134" ht="14.25" customHeight="1">
      <c r="A134" s="30"/>
      <c r="B134" s="30"/>
      <c r="D134" s="68"/>
      <c r="E134" s="68"/>
      <c r="F134" s="68"/>
      <c r="G134" s="68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</row>
    <row r="135" ht="14.25" customHeight="1">
      <c r="A135" s="30"/>
      <c r="B135" s="30"/>
      <c r="D135" s="68"/>
      <c r="E135" s="68"/>
      <c r="F135" s="68"/>
      <c r="G135" s="68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</row>
    <row r="136" ht="14.25" customHeight="1">
      <c r="A136" s="30"/>
      <c r="B136" s="30"/>
      <c r="D136" s="68"/>
      <c r="E136" s="68"/>
      <c r="F136" s="68"/>
      <c r="G136" s="68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</row>
    <row r="137" ht="14.25" customHeight="1">
      <c r="A137" s="30"/>
      <c r="B137" s="30"/>
      <c r="D137" s="68"/>
      <c r="E137" s="68"/>
      <c r="F137" s="68"/>
      <c r="G137" s="68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</row>
    <row r="138" ht="14.25" customHeight="1">
      <c r="A138" s="30"/>
      <c r="B138" s="30"/>
      <c r="D138" s="68"/>
      <c r="E138" s="68"/>
      <c r="F138" s="68"/>
      <c r="G138" s="68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</row>
    <row r="139" ht="14.25" customHeight="1">
      <c r="A139" s="30"/>
      <c r="B139" s="30"/>
      <c r="D139" s="68"/>
      <c r="E139" s="68"/>
      <c r="F139" s="68"/>
      <c r="G139" s="68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</row>
    <row r="140" ht="14.25" customHeight="1">
      <c r="A140" s="30"/>
      <c r="B140" s="30"/>
      <c r="D140" s="68"/>
      <c r="E140" s="68"/>
      <c r="F140" s="68"/>
      <c r="G140" s="68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</row>
    <row r="141" ht="14.25" customHeight="1">
      <c r="A141" s="30"/>
      <c r="B141" s="30"/>
      <c r="D141" s="68"/>
      <c r="E141" s="68"/>
      <c r="F141" s="68"/>
      <c r="G141" s="68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</row>
    <row r="142" ht="14.25" customHeight="1">
      <c r="A142" s="30"/>
      <c r="B142" s="30"/>
      <c r="D142" s="68"/>
      <c r="E142" s="68"/>
      <c r="F142" s="68"/>
      <c r="G142" s="68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</row>
    <row r="143" ht="14.25" customHeight="1">
      <c r="A143" s="30"/>
      <c r="B143" s="30"/>
      <c r="D143" s="68"/>
      <c r="E143" s="68"/>
      <c r="F143" s="68"/>
      <c r="G143" s="68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</row>
    <row r="144" ht="14.25" customHeight="1">
      <c r="A144" s="30"/>
      <c r="B144" s="30"/>
      <c r="D144" s="68"/>
      <c r="E144" s="68"/>
      <c r="F144" s="68"/>
      <c r="G144" s="68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</row>
    <row r="145" ht="14.25" customHeight="1">
      <c r="A145" s="30"/>
      <c r="B145" s="30"/>
      <c r="D145" s="68"/>
      <c r="E145" s="68"/>
      <c r="F145" s="68"/>
      <c r="G145" s="68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</row>
    <row r="146" ht="14.25" customHeight="1">
      <c r="A146" s="30"/>
      <c r="B146" s="30"/>
      <c r="D146" s="68"/>
      <c r="E146" s="68"/>
      <c r="F146" s="68"/>
      <c r="G146" s="68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</row>
    <row r="147" ht="14.25" customHeight="1">
      <c r="A147" s="30"/>
      <c r="B147" s="30"/>
      <c r="D147" s="68"/>
      <c r="E147" s="68"/>
      <c r="F147" s="68"/>
      <c r="G147" s="68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</row>
    <row r="148" ht="14.25" customHeight="1">
      <c r="A148" s="30"/>
      <c r="B148" s="30"/>
      <c r="D148" s="68"/>
      <c r="E148" s="68"/>
      <c r="F148" s="68"/>
      <c r="G148" s="68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</row>
    <row r="149" ht="14.25" customHeight="1">
      <c r="A149" s="30"/>
      <c r="B149" s="30"/>
      <c r="D149" s="68"/>
      <c r="E149" s="68"/>
      <c r="F149" s="68"/>
      <c r="G149" s="68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</row>
    <row r="150" ht="14.25" customHeight="1">
      <c r="A150" s="30"/>
      <c r="B150" s="30"/>
      <c r="D150" s="68"/>
      <c r="E150" s="68"/>
      <c r="F150" s="68"/>
      <c r="G150" s="68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</row>
    <row r="151" ht="14.25" customHeight="1">
      <c r="A151" s="30"/>
      <c r="B151" s="30"/>
      <c r="D151" s="68"/>
      <c r="E151" s="68"/>
      <c r="F151" s="68"/>
      <c r="G151" s="68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</row>
    <row r="152" ht="14.25" customHeight="1">
      <c r="A152" s="30"/>
      <c r="B152" s="30"/>
      <c r="D152" s="68"/>
      <c r="E152" s="68"/>
      <c r="F152" s="68"/>
      <c r="G152" s="68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</row>
    <row r="153" ht="14.25" customHeight="1">
      <c r="A153" s="30"/>
      <c r="B153" s="30"/>
      <c r="D153" s="68"/>
      <c r="E153" s="68"/>
      <c r="F153" s="68"/>
      <c r="G153" s="68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</row>
    <row r="154" ht="14.25" customHeight="1">
      <c r="A154" s="30"/>
      <c r="B154" s="30"/>
      <c r="D154" s="68"/>
      <c r="E154" s="68"/>
      <c r="F154" s="68"/>
      <c r="G154" s="68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</row>
    <row r="155" ht="14.25" customHeight="1">
      <c r="A155" s="30"/>
      <c r="B155" s="30"/>
      <c r="D155" s="68"/>
      <c r="E155" s="68"/>
      <c r="F155" s="68"/>
      <c r="G155" s="68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</row>
    <row r="156" ht="14.25" customHeight="1">
      <c r="A156" s="30"/>
      <c r="B156" s="30"/>
      <c r="D156" s="68"/>
      <c r="E156" s="68"/>
      <c r="F156" s="68"/>
      <c r="G156" s="68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</row>
    <row r="157" ht="14.25" customHeight="1">
      <c r="A157" s="30"/>
      <c r="B157" s="30"/>
      <c r="D157" s="68"/>
      <c r="E157" s="68"/>
      <c r="F157" s="68"/>
      <c r="G157" s="68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</row>
    <row r="158" ht="14.25" customHeight="1">
      <c r="A158" s="30"/>
      <c r="B158" s="30"/>
      <c r="D158" s="68"/>
      <c r="E158" s="68"/>
      <c r="F158" s="68"/>
      <c r="G158" s="68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</row>
    <row r="159" ht="14.25" customHeight="1">
      <c r="A159" s="30"/>
      <c r="B159" s="30"/>
      <c r="D159" s="68"/>
      <c r="E159" s="68"/>
      <c r="F159" s="68"/>
      <c r="G159" s="68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</row>
    <row r="160" ht="14.25" customHeight="1">
      <c r="A160" s="30"/>
      <c r="B160" s="30"/>
      <c r="D160" s="68"/>
      <c r="E160" s="68"/>
      <c r="F160" s="68"/>
      <c r="G160" s="68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</row>
    <row r="161" ht="14.25" customHeight="1">
      <c r="A161" s="30"/>
      <c r="B161" s="30"/>
      <c r="D161" s="68"/>
      <c r="E161" s="68"/>
      <c r="F161" s="68"/>
      <c r="G161" s="68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</row>
    <row r="162" ht="14.25" customHeight="1">
      <c r="A162" s="30"/>
      <c r="B162" s="30"/>
      <c r="D162" s="68"/>
      <c r="E162" s="68"/>
      <c r="F162" s="68"/>
      <c r="G162" s="68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</row>
    <row r="163" ht="14.25" customHeight="1">
      <c r="A163" s="30"/>
      <c r="B163" s="30"/>
      <c r="D163" s="68"/>
      <c r="E163" s="68"/>
      <c r="F163" s="68"/>
      <c r="G163" s="68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</row>
    <row r="164" ht="14.25" customHeight="1">
      <c r="A164" s="30"/>
      <c r="B164" s="30"/>
      <c r="D164" s="68"/>
      <c r="E164" s="68"/>
      <c r="F164" s="68"/>
      <c r="G164" s="68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</row>
    <row r="165" ht="14.25" customHeight="1">
      <c r="A165" s="30"/>
      <c r="B165" s="30"/>
      <c r="D165" s="68"/>
      <c r="E165" s="68"/>
      <c r="F165" s="68"/>
      <c r="G165" s="68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</row>
    <row r="166" ht="14.25" customHeight="1">
      <c r="A166" s="30"/>
      <c r="B166" s="30"/>
      <c r="D166" s="68"/>
      <c r="E166" s="68"/>
      <c r="F166" s="68"/>
      <c r="G166" s="68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</row>
    <row r="167" ht="14.25" customHeight="1">
      <c r="A167" s="30"/>
      <c r="B167" s="30"/>
      <c r="D167" s="68"/>
      <c r="E167" s="68"/>
      <c r="F167" s="68"/>
      <c r="G167" s="68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</row>
    <row r="168" ht="14.25" customHeight="1">
      <c r="A168" s="30"/>
      <c r="B168" s="30"/>
      <c r="D168" s="68"/>
      <c r="E168" s="68"/>
      <c r="F168" s="68"/>
      <c r="G168" s="68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</row>
    <row r="169" ht="14.25" customHeight="1">
      <c r="A169" s="30"/>
      <c r="B169" s="30"/>
      <c r="D169" s="68"/>
      <c r="E169" s="68"/>
      <c r="F169" s="68"/>
      <c r="G169" s="68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</row>
    <row r="170" ht="14.25" customHeight="1">
      <c r="A170" s="30"/>
      <c r="B170" s="30"/>
      <c r="D170" s="68"/>
      <c r="E170" s="68"/>
      <c r="F170" s="68"/>
      <c r="G170" s="68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</row>
    <row r="171" ht="14.25" customHeight="1">
      <c r="A171" s="30"/>
      <c r="B171" s="30"/>
      <c r="D171" s="68"/>
      <c r="E171" s="68"/>
      <c r="F171" s="68"/>
      <c r="G171" s="68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</row>
    <row r="172" ht="14.25" customHeight="1">
      <c r="A172" s="30"/>
      <c r="B172" s="30"/>
      <c r="D172" s="68"/>
      <c r="E172" s="68"/>
      <c r="F172" s="68"/>
      <c r="G172" s="68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</row>
    <row r="173" ht="14.25" customHeight="1">
      <c r="A173" s="30"/>
      <c r="B173" s="30"/>
      <c r="D173" s="68"/>
      <c r="E173" s="68"/>
      <c r="F173" s="68"/>
      <c r="G173" s="68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</row>
    <row r="174" ht="14.25" customHeight="1">
      <c r="A174" s="30"/>
      <c r="B174" s="30"/>
      <c r="D174" s="68"/>
      <c r="E174" s="68"/>
      <c r="F174" s="68"/>
      <c r="G174" s="68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</row>
    <row r="175" ht="14.25" customHeight="1">
      <c r="A175" s="30"/>
      <c r="B175" s="30"/>
      <c r="D175" s="68"/>
      <c r="E175" s="68"/>
      <c r="F175" s="68"/>
      <c r="G175" s="68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</row>
    <row r="176" ht="14.25" customHeight="1">
      <c r="A176" s="30"/>
      <c r="B176" s="30"/>
      <c r="D176" s="68"/>
      <c r="E176" s="68"/>
      <c r="F176" s="68"/>
      <c r="G176" s="68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</row>
    <row r="177" ht="14.25" customHeight="1">
      <c r="A177" s="30"/>
      <c r="B177" s="30"/>
      <c r="D177" s="68"/>
      <c r="E177" s="68"/>
      <c r="F177" s="68"/>
      <c r="G177" s="68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</row>
    <row r="178" ht="14.25" customHeight="1">
      <c r="A178" s="30"/>
      <c r="B178" s="30"/>
      <c r="D178" s="68"/>
      <c r="E178" s="68"/>
      <c r="F178" s="68"/>
      <c r="G178" s="68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</row>
    <row r="179" ht="14.25" customHeight="1">
      <c r="A179" s="30"/>
      <c r="B179" s="30"/>
      <c r="D179" s="68"/>
      <c r="E179" s="68"/>
      <c r="F179" s="68"/>
      <c r="G179" s="68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</row>
    <row r="180" ht="14.25" customHeight="1">
      <c r="A180" s="30"/>
      <c r="B180" s="30"/>
      <c r="D180" s="68"/>
      <c r="E180" s="68"/>
      <c r="F180" s="68"/>
      <c r="G180" s="68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</row>
    <row r="181" ht="14.25" customHeight="1">
      <c r="A181" s="30"/>
      <c r="B181" s="30"/>
      <c r="D181" s="68"/>
      <c r="E181" s="68"/>
      <c r="F181" s="68"/>
      <c r="G181" s="68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</row>
    <row r="182" ht="14.25" customHeight="1">
      <c r="A182" s="30"/>
      <c r="B182" s="30"/>
      <c r="D182" s="68"/>
      <c r="E182" s="68"/>
      <c r="F182" s="68"/>
      <c r="G182" s="68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</row>
    <row r="183" ht="14.25" customHeight="1">
      <c r="A183" s="30"/>
      <c r="B183" s="30"/>
      <c r="D183" s="68"/>
      <c r="E183" s="68"/>
      <c r="F183" s="68"/>
      <c r="G183" s="68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</row>
    <row r="184" ht="14.25" customHeight="1">
      <c r="A184" s="30"/>
      <c r="B184" s="30"/>
      <c r="D184" s="68"/>
      <c r="E184" s="68"/>
      <c r="F184" s="68"/>
      <c r="G184" s="68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</row>
    <row r="185" ht="14.25" customHeight="1">
      <c r="A185" s="30"/>
      <c r="B185" s="30"/>
      <c r="D185" s="68"/>
      <c r="E185" s="68"/>
      <c r="F185" s="68"/>
      <c r="G185" s="68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</row>
    <row r="186" ht="14.25" customHeight="1">
      <c r="A186" s="30"/>
      <c r="B186" s="30"/>
      <c r="D186" s="68"/>
      <c r="E186" s="68"/>
      <c r="F186" s="68"/>
      <c r="G186" s="68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</row>
    <row r="187" ht="14.25" customHeight="1">
      <c r="A187" s="30"/>
      <c r="B187" s="30"/>
      <c r="D187" s="68"/>
      <c r="E187" s="68"/>
      <c r="F187" s="68"/>
      <c r="G187" s="68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</row>
    <row r="188" ht="14.25" customHeight="1">
      <c r="A188" s="30"/>
      <c r="B188" s="30"/>
      <c r="D188" s="68"/>
      <c r="E188" s="68"/>
      <c r="F188" s="68"/>
      <c r="G188" s="68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</row>
    <row r="189" ht="14.25" customHeight="1">
      <c r="A189" s="30"/>
      <c r="B189" s="30"/>
      <c r="D189" s="68"/>
      <c r="E189" s="68"/>
      <c r="F189" s="68"/>
      <c r="G189" s="68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</row>
    <row r="190" ht="14.25" customHeight="1">
      <c r="A190" s="30"/>
      <c r="B190" s="30"/>
      <c r="D190" s="68"/>
      <c r="E190" s="68"/>
      <c r="F190" s="68"/>
      <c r="G190" s="68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</row>
    <row r="191" ht="14.25" customHeight="1">
      <c r="A191" s="30"/>
      <c r="B191" s="30"/>
      <c r="D191" s="68"/>
      <c r="E191" s="68"/>
      <c r="F191" s="68"/>
      <c r="G191" s="68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</row>
    <row r="192" ht="14.25" customHeight="1">
      <c r="A192" s="30"/>
      <c r="B192" s="30"/>
      <c r="D192" s="68"/>
      <c r="E192" s="68"/>
      <c r="F192" s="68"/>
      <c r="G192" s="68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</row>
    <row r="193" ht="14.25" customHeight="1">
      <c r="A193" s="30"/>
      <c r="B193" s="30"/>
      <c r="D193" s="68"/>
      <c r="E193" s="68"/>
      <c r="F193" s="68"/>
      <c r="G193" s="68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</row>
    <row r="194" ht="14.25" customHeight="1">
      <c r="A194" s="30"/>
      <c r="B194" s="30"/>
      <c r="D194" s="68"/>
      <c r="E194" s="68"/>
      <c r="F194" s="68"/>
      <c r="G194" s="68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</row>
    <row r="195" ht="14.25" customHeight="1">
      <c r="A195" s="30"/>
      <c r="B195" s="30"/>
      <c r="D195" s="68"/>
      <c r="E195" s="68"/>
      <c r="F195" s="68"/>
      <c r="G195" s="68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</row>
    <row r="196" ht="14.25" customHeight="1">
      <c r="A196" s="30"/>
      <c r="B196" s="30"/>
      <c r="D196" s="68"/>
      <c r="E196" s="68"/>
      <c r="F196" s="68"/>
      <c r="G196" s="68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</row>
    <row r="197" ht="14.25" customHeight="1">
      <c r="A197" s="30"/>
      <c r="B197" s="30"/>
      <c r="D197" s="68"/>
      <c r="E197" s="68"/>
      <c r="F197" s="68"/>
      <c r="G197" s="68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</row>
    <row r="198" ht="14.25" customHeight="1">
      <c r="A198" s="30"/>
      <c r="B198" s="30"/>
      <c r="D198" s="68"/>
      <c r="E198" s="68"/>
      <c r="F198" s="68"/>
      <c r="G198" s="68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</row>
    <row r="199" ht="14.25" customHeight="1">
      <c r="A199" s="30"/>
      <c r="B199" s="30"/>
      <c r="D199" s="68"/>
      <c r="E199" s="68"/>
      <c r="F199" s="68"/>
      <c r="G199" s="68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</row>
    <row r="200" ht="14.25" customHeight="1">
      <c r="A200" s="30"/>
      <c r="B200" s="30"/>
      <c r="D200" s="68"/>
      <c r="E200" s="68"/>
      <c r="F200" s="68"/>
      <c r="G200" s="68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</row>
    <row r="201" ht="14.25" customHeight="1">
      <c r="A201" s="30"/>
      <c r="B201" s="30"/>
      <c r="D201" s="68"/>
      <c r="E201" s="68"/>
      <c r="F201" s="68"/>
      <c r="G201" s="68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</row>
    <row r="202" ht="14.25" customHeight="1">
      <c r="A202" s="30"/>
      <c r="B202" s="30"/>
      <c r="D202" s="68"/>
      <c r="E202" s="68"/>
      <c r="F202" s="68"/>
      <c r="G202" s="68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</row>
    <row r="203" ht="14.25" customHeight="1">
      <c r="A203" s="30"/>
      <c r="B203" s="30"/>
      <c r="D203" s="68"/>
      <c r="E203" s="68"/>
      <c r="F203" s="68"/>
      <c r="G203" s="68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</row>
    <row r="204" ht="14.25" customHeight="1">
      <c r="A204" s="30"/>
      <c r="B204" s="30"/>
      <c r="D204" s="68"/>
      <c r="E204" s="68"/>
      <c r="F204" s="68"/>
      <c r="G204" s="68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</row>
    <row r="205" ht="14.25" customHeight="1">
      <c r="A205" s="30"/>
      <c r="B205" s="30"/>
      <c r="D205" s="68"/>
      <c r="E205" s="68"/>
      <c r="F205" s="68"/>
      <c r="G205" s="68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</row>
    <row r="206" ht="14.25" customHeight="1">
      <c r="A206" s="30"/>
      <c r="B206" s="30"/>
      <c r="D206" s="68"/>
      <c r="E206" s="68"/>
      <c r="F206" s="68"/>
      <c r="G206" s="68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</row>
    <row r="207" ht="14.25" customHeight="1">
      <c r="A207" s="30"/>
      <c r="B207" s="30"/>
      <c r="D207" s="68"/>
      <c r="E207" s="68"/>
      <c r="F207" s="68"/>
      <c r="G207" s="68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</row>
    <row r="208" ht="14.25" customHeight="1">
      <c r="A208" s="30"/>
      <c r="B208" s="30"/>
      <c r="D208" s="68"/>
      <c r="E208" s="68"/>
      <c r="F208" s="68"/>
      <c r="G208" s="68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</row>
    <row r="209" ht="14.25" customHeight="1">
      <c r="A209" s="30"/>
      <c r="B209" s="30"/>
      <c r="D209" s="68"/>
      <c r="E209" s="68"/>
      <c r="F209" s="68"/>
      <c r="G209" s="68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</row>
    <row r="210" ht="14.25" customHeight="1">
      <c r="A210" s="30"/>
      <c r="B210" s="30"/>
      <c r="D210" s="68"/>
      <c r="E210" s="68"/>
      <c r="F210" s="68"/>
      <c r="G210" s="68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</row>
    <row r="211" ht="14.25" customHeight="1">
      <c r="A211" s="30"/>
      <c r="B211" s="30"/>
      <c r="D211" s="68"/>
      <c r="E211" s="68"/>
      <c r="F211" s="68"/>
      <c r="G211" s="68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</row>
    <row r="212" ht="14.25" customHeight="1">
      <c r="A212" s="30"/>
      <c r="B212" s="30"/>
      <c r="D212" s="68"/>
      <c r="E212" s="68"/>
      <c r="F212" s="68"/>
      <c r="G212" s="68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</row>
    <row r="213" ht="14.25" customHeight="1">
      <c r="A213" s="30"/>
      <c r="B213" s="30"/>
      <c r="D213" s="68"/>
      <c r="E213" s="68"/>
      <c r="F213" s="68"/>
      <c r="G213" s="68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</row>
    <row r="214" ht="14.25" customHeight="1">
      <c r="A214" s="30"/>
      <c r="B214" s="30"/>
      <c r="D214" s="68"/>
      <c r="E214" s="68"/>
      <c r="F214" s="68"/>
      <c r="G214" s="68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</row>
    <row r="215" ht="14.25" customHeight="1">
      <c r="A215" s="30"/>
      <c r="B215" s="30"/>
      <c r="D215" s="68"/>
      <c r="E215" s="68"/>
      <c r="F215" s="68"/>
      <c r="G215" s="68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</row>
    <row r="216" ht="14.25" customHeight="1">
      <c r="A216" s="30"/>
      <c r="B216" s="30"/>
      <c r="D216" s="68"/>
      <c r="E216" s="68"/>
      <c r="F216" s="68"/>
      <c r="G216" s="68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</row>
    <row r="217" ht="14.25" customHeight="1">
      <c r="A217" s="30"/>
      <c r="B217" s="30"/>
      <c r="D217" s="68"/>
      <c r="E217" s="68"/>
      <c r="F217" s="68"/>
      <c r="G217" s="68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</row>
    <row r="218" ht="14.25" customHeight="1">
      <c r="A218" s="30"/>
      <c r="B218" s="30"/>
      <c r="D218" s="68"/>
      <c r="E218" s="68"/>
      <c r="F218" s="68"/>
      <c r="G218" s="68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</row>
    <row r="219" ht="14.25" customHeight="1">
      <c r="A219" s="30"/>
      <c r="B219" s="30"/>
      <c r="D219" s="68"/>
      <c r="E219" s="68"/>
      <c r="F219" s="68"/>
      <c r="G219" s="68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</row>
    <row r="220" ht="14.25" customHeight="1">
      <c r="A220" s="30"/>
      <c r="B220" s="30"/>
      <c r="D220" s="68"/>
      <c r="E220" s="68"/>
      <c r="F220" s="68"/>
      <c r="G220" s="68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</row>
    <row r="221" ht="14.25" customHeight="1">
      <c r="A221" s="30"/>
      <c r="B221" s="30"/>
      <c r="D221" s="68"/>
      <c r="E221" s="68"/>
      <c r="F221" s="68"/>
      <c r="G221" s="68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</row>
    <row r="222" ht="14.25" customHeight="1">
      <c r="A222" s="30"/>
      <c r="B222" s="30"/>
      <c r="D222" s="68"/>
      <c r="E222" s="68"/>
      <c r="F222" s="68"/>
      <c r="G222" s="68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</row>
    <row r="223" ht="14.25" customHeight="1">
      <c r="A223" s="30"/>
      <c r="B223" s="30"/>
      <c r="D223" s="68"/>
      <c r="E223" s="68"/>
      <c r="F223" s="68"/>
      <c r="G223" s="68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</row>
    <row r="224" ht="14.25" customHeight="1">
      <c r="A224" s="30"/>
      <c r="B224" s="30"/>
      <c r="D224" s="68"/>
      <c r="E224" s="68"/>
      <c r="F224" s="68"/>
      <c r="G224" s="68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</row>
    <row r="225" ht="14.25" customHeight="1">
      <c r="A225" s="30"/>
      <c r="B225" s="30"/>
      <c r="D225" s="68"/>
      <c r="E225" s="68"/>
      <c r="F225" s="68"/>
      <c r="G225" s="68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</row>
    <row r="226" ht="14.25" customHeight="1">
      <c r="A226" s="30"/>
      <c r="B226" s="30"/>
      <c r="D226" s="68"/>
      <c r="E226" s="68"/>
      <c r="F226" s="68"/>
      <c r="G226" s="68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</row>
    <row r="227" ht="14.25" customHeight="1">
      <c r="A227" s="30"/>
      <c r="B227" s="30"/>
      <c r="D227" s="68"/>
      <c r="E227" s="68"/>
      <c r="F227" s="68"/>
      <c r="G227" s="68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</row>
    <row r="228" ht="14.25" customHeight="1">
      <c r="A228" s="30"/>
      <c r="B228" s="30"/>
      <c r="D228" s="68"/>
      <c r="E228" s="68"/>
      <c r="F228" s="68"/>
      <c r="G228" s="68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</row>
    <row r="229" ht="14.25" customHeight="1">
      <c r="A229" s="30"/>
      <c r="B229" s="30"/>
      <c r="D229" s="68"/>
      <c r="E229" s="68"/>
      <c r="F229" s="68"/>
      <c r="G229" s="68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</row>
    <row r="230" ht="14.25" customHeight="1">
      <c r="A230" s="30"/>
      <c r="B230" s="30"/>
      <c r="D230" s="68"/>
      <c r="E230" s="68"/>
      <c r="F230" s="68"/>
      <c r="G230" s="68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</row>
    <row r="231" ht="14.25" customHeight="1">
      <c r="A231" s="30"/>
      <c r="B231" s="30"/>
      <c r="D231" s="68"/>
      <c r="E231" s="68"/>
      <c r="F231" s="68"/>
      <c r="G231" s="68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</row>
    <row r="232" ht="14.25" customHeight="1">
      <c r="A232" s="30"/>
      <c r="B232" s="30"/>
      <c r="D232" s="68"/>
      <c r="E232" s="68"/>
      <c r="F232" s="68"/>
      <c r="G232" s="68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</row>
    <row r="233" ht="14.25" customHeight="1">
      <c r="A233" s="30"/>
      <c r="B233" s="30"/>
      <c r="D233" s="68"/>
      <c r="E233" s="68"/>
      <c r="F233" s="68"/>
      <c r="G233" s="68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</row>
    <row r="234" ht="14.25" customHeight="1">
      <c r="A234" s="30"/>
      <c r="B234" s="30"/>
      <c r="D234" s="68"/>
      <c r="E234" s="68"/>
      <c r="F234" s="68"/>
      <c r="G234" s="68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</row>
    <row r="235" ht="14.25" customHeight="1">
      <c r="A235" s="30"/>
      <c r="B235" s="30"/>
      <c r="D235" s="68"/>
      <c r="E235" s="68"/>
      <c r="F235" s="68"/>
      <c r="G235" s="68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</row>
    <row r="236" ht="14.25" customHeight="1">
      <c r="A236" s="30"/>
      <c r="B236" s="30"/>
      <c r="D236" s="68"/>
      <c r="E236" s="68"/>
      <c r="F236" s="68"/>
      <c r="G236" s="68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</row>
    <row r="237" ht="14.25" customHeight="1">
      <c r="A237" s="30"/>
      <c r="B237" s="30"/>
      <c r="D237" s="68"/>
      <c r="E237" s="68"/>
      <c r="F237" s="68"/>
      <c r="G237" s="68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</row>
    <row r="238" ht="14.25" customHeight="1">
      <c r="A238" s="30"/>
      <c r="B238" s="30"/>
      <c r="D238" s="68"/>
      <c r="E238" s="68"/>
      <c r="F238" s="68"/>
      <c r="G238" s="68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H34:I34"/>
    <mergeCell ref="H35:I35"/>
    <mergeCell ref="H36:I36"/>
    <mergeCell ref="J36:K36"/>
    <mergeCell ref="H37:I37"/>
    <mergeCell ref="J37:K37"/>
    <mergeCell ref="H38:I38"/>
    <mergeCell ref="J38:K38"/>
    <mergeCell ref="C35:D35"/>
    <mergeCell ref="C36:D36"/>
    <mergeCell ref="E36:F36"/>
    <mergeCell ref="C37:D37"/>
    <mergeCell ref="E37:F37"/>
    <mergeCell ref="C38:D38"/>
    <mergeCell ref="E38:F38"/>
    <mergeCell ref="C32:D32"/>
    <mergeCell ref="H32:I32"/>
    <mergeCell ref="C34:D34"/>
    <mergeCell ref="E34:F34"/>
    <mergeCell ref="J34:K34"/>
    <mergeCell ref="E35:F35"/>
    <mergeCell ref="J35:K35"/>
    <mergeCell ref="C1:D2"/>
    <mergeCell ref="C4:E4"/>
    <mergeCell ref="D6:K8"/>
    <mergeCell ref="C7:C8"/>
    <mergeCell ref="C9:K9"/>
    <mergeCell ref="C11:E11"/>
    <mergeCell ref="M11:S11"/>
    <mergeCell ref="E13:K13"/>
    <mergeCell ref="E14:K14"/>
    <mergeCell ref="E15:K15"/>
    <mergeCell ref="E16:K16"/>
    <mergeCell ref="C17:E17"/>
    <mergeCell ref="H17:I17"/>
    <mergeCell ref="J17:K17"/>
    <mergeCell ref="E26:F26"/>
    <mergeCell ref="H26:I26"/>
    <mergeCell ref="J26:K26"/>
    <mergeCell ref="D19:F19"/>
    <mergeCell ref="D20:F20"/>
    <mergeCell ref="D21:F21"/>
    <mergeCell ref="D22:F22"/>
    <mergeCell ref="C24:D24"/>
    <mergeCell ref="H24:I24"/>
    <mergeCell ref="C26:D26"/>
    <mergeCell ref="C27:D27"/>
    <mergeCell ref="E27:F27"/>
    <mergeCell ref="H27:I27"/>
    <mergeCell ref="J27:K27"/>
    <mergeCell ref="E28:F28"/>
    <mergeCell ref="H28:I28"/>
    <mergeCell ref="J28:K28"/>
    <mergeCell ref="H30:I30"/>
    <mergeCell ref="J30:K30"/>
    <mergeCell ref="C28:D28"/>
    <mergeCell ref="C29:D29"/>
    <mergeCell ref="E29:F29"/>
    <mergeCell ref="H29:I29"/>
    <mergeCell ref="J29:K29"/>
    <mergeCell ref="C30:D30"/>
    <mergeCell ref="E30:F30"/>
  </mergeCells>
  <conditionalFormatting sqref="C6 C9">
    <cfRule type="expression" dxfId="7" priority="1">
      <formula>$C$7&gt;=1</formula>
    </cfRule>
  </conditionalFormatting>
  <conditionalFormatting sqref="C6 C9">
    <cfRule type="expression" dxfId="8" priority="2">
      <formula>$C$7&gt;=0.3</formula>
    </cfRule>
  </conditionalFormatting>
  <conditionalFormatting sqref="C6 C9">
    <cfRule type="expression" dxfId="9" priority="3">
      <formula>AND($C$7&lt;=0.29,$C$7&gt;=-0.29)</formula>
    </cfRule>
  </conditionalFormatting>
  <conditionalFormatting sqref="C6 C9">
    <cfRule type="expression" dxfId="10" priority="4">
      <formula>$C$7&lt;=-1</formula>
    </cfRule>
  </conditionalFormatting>
  <conditionalFormatting sqref="C6 C9">
    <cfRule type="expression" dxfId="11" priority="5">
      <formula>$C$7&lt;=-0.3</formula>
    </cfRule>
  </conditionalFormatting>
  <conditionalFormatting sqref="C7">
    <cfRule type="cellIs" dxfId="7" priority="6" operator="greaterThanOrEqual">
      <formula>1</formula>
    </cfRule>
  </conditionalFormatting>
  <conditionalFormatting sqref="C7">
    <cfRule type="cellIs" dxfId="8" priority="7" operator="greaterThanOrEqual">
      <formula>0.3</formula>
    </cfRule>
  </conditionalFormatting>
  <conditionalFormatting sqref="C7">
    <cfRule type="cellIs" dxfId="9" priority="8" operator="between">
      <formula>-0.29</formula>
      <formula>0.29</formula>
    </cfRule>
  </conditionalFormatting>
  <conditionalFormatting sqref="C7">
    <cfRule type="cellIs" dxfId="10" priority="9" operator="lessThanOrEqual">
      <formula>-1</formula>
    </cfRule>
  </conditionalFormatting>
  <conditionalFormatting sqref="C7">
    <cfRule type="cellIs" dxfId="11" priority="10" operator="lessThanOrEqual">
      <formula>-0.3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rowBreaks count="1" manualBreakCount="1">
    <brk id="22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4.29"/>
    <col customWidth="1" min="3" max="7" width="25.71"/>
    <col customWidth="1" min="8" max="8" width="18.43"/>
    <col customWidth="1" min="9" max="9" width="27.29"/>
    <col customWidth="1" min="10" max="10" width="19.43"/>
    <col customWidth="1" min="11" max="11" width="27.29"/>
    <col customWidth="1" min="12" max="12" width="19.43"/>
    <col customWidth="1" min="13" max="19" width="8.71"/>
    <col customWidth="1" min="20" max="20" width="9.29"/>
    <col customWidth="1" hidden="1" min="21" max="48" width="9.29"/>
    <col customWidth="1" min="49" max="56" width="14.43"/>
  </cols>
  <sheetData>
    <row r="1" ht="51.0" customHeight="1">
      <c r="A1" s="30"/>
      <c r="B1" s="32"/>
      <c r="C1" s="31"/>
      <c r="D1" s="78"/>
      <c r="E1" s="32"/>
      <c r="F1" s="32"/>
      <c r="G1" s="162"/>
      <c r="H1" s="16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ht="24.0" customHeight="1">
      <c r="A2" s="35"/>
      <c r="B2" s="32"/>
      <c r="C2" s="78"/>
      <c r="D2" s="78"/>
      <c r="E2" s="32"/>
      <c r="F2" s="32"/>
      <c r="G2" s="162"/>
      <c r="H2" s="162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</row>
    <row r="3" ht="66.75" customHeight="1">
      <c r="A3" s="30"/>
      <c r="B3" s="30"/>
      <c r="C3" s="34">
        <f t="array" ref="C3">SUM(IFERROR(1/COUNTIF('Planos de Ação - FxO'!$D$8:$D$107,'Planos de Ação - FxO'!$D$8:$D$107),0))</f>
        <v>0</v>
      </c>
      <c r="D3" s="34">
        <f>20-COUNTBLANK('Matriz SWOT'!J5:J24)</f>
        <v>0</v>
      </c>
      <c r="E3" s="52" t="str">
        <f>C3/D3*100</f>
        <v>#DIV/0!</v>
      </c>
      <c r="F3" s="34" t="str">
        <f>IF(E3&lt;50,G3,IF(E3&gt;=80,I3,H3))</f>
        <v>#DIV/0!</v>
      </c>
      <c r="G3" s="34" t="s">
        <v>188</v>
      </c>
      <c r="H3" s="34" t="s">
        <v>189</v>
      </c>
      <c r="I3" s="30" t="s">
        <v>190</v>
      </c>
      <c r="J3" s="30"/>
      <c r="K3" s="30"/>
      <c r="L3" s="30"/>
      <c r="M3" s="30"/>
      <c r="N3" s="30"/>
      <c r="O3" s="30"/>
      <c r="P3" s="30"/>
      <c r="Q3" s="30"/>
      <c r="R3" s="30" t="s">
        <v>191</v>
      </c>
      <c r="S3" s="30">
        <f>COUNTIF('Planos de Ação - FxO'!$I$8:$I$107,"&gt;"&amp;TODAY())</f>
        <v>0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</row>
    <row r="4" ht="26.25" customHeight="1">
      <c r="A4" s="30"/>
      <c r="C4" s="216" t="s">
        <v>192</v>
      </c>
      <c r="E4" s="66"/>
      <c r="I4" s="30"/>
      <c r="J4" s="30"/>
      <c r="K4" s="30"/>
      <c r="L4" s="30"/>
      <c r="M4" s="30"/>
      <c r="N4" s="30"/>
      <c r="O4" s="30"/>
      <c r="P4" s="30"/>
      <c r="Q4" s="30"/>
      <c r="R4" s="30" t="s">
        <v>193</v>
      </c>
      <c r="S4" s="30">
        <f>S11</f>
        <v>0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</row>
    <row r="5" ht="54.75" customHeight="1">
      <c r="A5" s="30"/>
      <c r="C5" s="226" t="str">
        <f>"Você definiu planos de ação para "&amp;C3&amp;" de "&amp;D3&amp;" dos principais itens da sua SWOT"</f>
        <v>Você definiu planos de ação para 0 de 0 dos principais itens da sua SWOT</v>
      </c>
      <c r="D5" s="74"/>
      <c r="E5" s="227">
        <f>IF(ISERROR(E3/100),0,E3/100)</f>
        <v>0</v>
      </c>
      <c r="F5" s="228" t="str">
        <f>IF(ISERROR(F3),"",F3)</f>
        <v/>
      </c>
      <c r="G5" s="63"/>
      <c r="H5" s="74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</row>
    <row r="6" ht="7.5" customHeight="1">
      <c r="A6" s="30"/>
      <c r="E6" s="229"/>
      <c r="G6" s="83"/>
      <c r="H6" s="83"/>
      <c r="I6" s="30"/>
      <c r="J6" s="30"/>
      <c r="K6" s="30">
        <v>5.0</v>
      </c>
      <c r="L6" s="30">
        <v>6.0</v>
      </c>
      <c r="M6" s="30">
        <v>8.0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</row>
    <row r="7" ht="30.0" customHeight="1">
      <c r="A7" s="30"/>
      <c r="C7" s="216" t="s">
        <v>194</v>
      </c>
      <c r="E7" s="195"/>
      <c r="F7" s="216" t="s">
        <v>195</v>
      </c>
      <c r="H7" s="195"/>
      <c r="I7" s="230"/>
      <c r="J7" s="30">
        <v>1.0</v>
      </c>
      <c r="K7" s="30" t="str">
        <f t="shared" ref="K7:M7" si="1">VLOOKUP(LARGE($K$15:$K$34,$J7),$K$15:$R$34,K$6,FALSE)</f>
        <v>#REF!</v>
      </c>
      <c r="L7" s="30" t="str">
        <f t="shared" si="1"/>
        <v>#REF!</v>
      </c>
      <c r="M7" s="30" t="str">
        <f t="shared" si="1"/>
        <v>#REF!</v>
      </c>
      <c r="N7" s="30"/>
      <c r="O7" s="30"/>
      <c r="P7" s="30"/>
      <c r="Q7" s="30"/>
      <c r="R7" s="30" t="s">
        <v>196</v>
      </c>
      <c r="S7" s="30">
        <f>COUNTIF('Planos de Ação - FxO'!$K$8:$K$107,GPA!R7)</f>
        <v>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ht="7.5" customHeight="1">
      <c r="A8" s="30"/>
      <c r="I8" s="30"/>
      <c r="J8" s="30">
        <v>2.0</v>
      </c>
      <c r="K8" s="30" t="str">
        <f t="shared" ref="K8:M8" si="2">VLOOKUP(LARGE($K$15:$K$34,$J8),$K$15:$R$34,K$6,FALSE)</f>
        <v>#REF!</v>
      </c>
      <c r="L8" s="30" t="str">
        <f t="shared" si="2"/>
        <v>#REF!</v>
      </c>
      <c r="M8" s="30" t="str">
        <f t="shared" si="2"/>
        <v>#REF!</v>
      </c>
      <c r="N8" s="30"/>
      <c r="O8" s="30"/>
      <c r="P8" s="30"/>
      <c r="Q8" s="30"/>
      <c r="R8" s="30" t="s">
        <v>197</v>
      </c>
      <c r="S8" s="30">
        <f>COUNTIF('Planos de Ação - FxO'!$K$8:$K$107,GPA!R8)</f>
        <v>0</v>
      </c>
      <c r="T8" s="30"/>
      <c r="U8" s="30" t="s">
        <v>90</v>
      </c>
      <c r="V8" s="30" t="s">
        <v>91</v>
      </c>
      <c r="W8" s="30" t="s">
        <v>92</v>
      </c>
      <c r="X8" s="30" t="s">
        <v>93</v>
      </c>
      <c r="Y8" s="30" t="s">
        <v>94</v>
      </c>
      <c r="Z8" s="30" t="s">
        <v>95</v>
      </c>
      <c r="AA8" s="30" t="s">
        <v>96</v>
      </c>
      <c r="AB8" s="30" t="s">
        <v>97</v>
      </c>
      <c r="AC8" s="30" t="s">
        <v>98</v>
      </c>
      <c r="AD8" s="30" t="s">
        <v>142</v>
      </c>
      <c r="AE8" s="30" t="s">
        <v>143</v>
      </c>
      <c r="AF8" s="30" t="s">
        <v>144</v>
      </c>
      <c r="AG8" s="30" t="s">
        <v>90</v>
      </c>
      <c r="AH8" s="30" t="s">
        <v>91</v>
      </c>
      <c r="AI8" s="30" t="s">
        <v>92</v>
      </c>
      <c r="AJ8" s="30" t="s">
        <v>93</v>
      </c>
      <c r="AK8" s="30" t="s">
        <v>94</v>
      </c>
      <c r="AL8" s="30" t="s">
        <v>95</v>
      </c>
      <c r="AM8" s="30" t="s">
        <v>96</v>
      </c>
      <c r="AN8" s="30" t="s">
        <v>97</v>
      </c>
      <c r="AO8" s="30" t="s">
        <v>98</v>
      </c>
      <c r="AP8" s="30" t="s">
        <v>142</v>
      </c>
      <c r="AQ8" s="30" t="s">
        <v>143</v>
      </c>
      <c r="AR8" s="30" t="s">
        <v>144</v>
      </c>
      <c r="AS8" s="30" t="s">
        <v>90</v>
      </c>
      <c r="AT8" s="30" t="s">
        <v>91</v>
      </c>
      <c r="AU8" s="30" t="s">
        <v>92</v>
      </c>
      <c r="AV8" s="30" t="s">
        <v>93</v>
      </c>
      <c r="AW8" s="30"/>
      <c r="AX8" s="30"/>
      <c r="AY8" s="30"/>
      <c r="AZ8" s="30"/>
      <c r="BA8" s="30"/>
      <c r="BB8" s="30"/>
      <c r="BC8" s="30"/>
      <c r="BD8" s="30"/>
    </row>
    <row r="9" ht="60.0" customHeight="1">
      <c r="A9" s="30"/>
      <c r="I9" s="30"/>
      <c r="J9" s="30">
        <v>3.0</v>
      </c>
      <c r="K9" s="30" t="str">
        <f t="shared" ref="K9:M9" si="3">VLOOKUP(LARGE($K$15:$K$34,$J9),$K$15:$R$34,K$6,FALSE)</f>
        <v>#REF!</v>
      </c>
      <c r="L9" s="30" t="str">
        <f t="shared" si="3"/>
        <v>#REF!</v>
      </c>
      <c r="M9" s="30" t="str">
        <f t="shared" si="3"/>
        <v>#REF!</v>
      </c>
      <c r="N9" s="39"/>
      <c r="O9" s="39"/>
      <c r="P9" s="39"/>
      <c r="Q9" s="30"/>
      <c r="R9" s="30" t="s">
        <v>198</v>
      </c>
      <c r="S9" s="30">
        <f>COUNTIF('Planos de Ação - FxO'!$K$8:$K$107,GPA!R9)</f>
        <v>0</v>
      </c>
      <c r="T9" s="30"/>
      <c r="U9" s="39">
        <v>1.0</v>
      </c>
      <c r="V9" s="39">
        <v>1.0</v>
      </c>
      <c r="W9" s="39">
        <v>1.0</v>
      </c>
      <c r="X9" s="39">
        <v>1.0</v>
      </c>
      <c r="Y9" s="39">
        <v>2.0</v>
      </c>
      <c r="Z9" s="39">
        <v>2.0</v>
      </c>
      <c r="AA9" s="39">
        <v>2.0</v>
      </c>
      <c r="AB9" s="39">
        <v>2.0</v>
      </c>
      <c r="AC9" s="39">
        <v>2.0</v>
      </c>
      <c r="AD9" s="39">
        <v>2.0</v>
      </c>
      <c r="AE9" s="39">
        <v>2.0</v>
      </c>
      <c r="AF9" s="39">
        <v>2.0</v>
      </c>
      <c r="AG9" s="39">
        <v>2.0</v>
      </c>
      <c r="AH9" s="39">
        <v>2.0</v>
      </c>
      <c r="AI9" s="39">
        <v>2.0</v>
      </c>
      <c r="AJ9" s="39">
        <v>2.0</v>
      </c>
      <c r="AK9" s="39">
        <v>3.0</v>
      </c>
      <c r="AL9" s="39">
        <v>3.0</v>
      </c>
      <c r="AM9" s="39">
        <v>3.0</v>
      </c>
      <c r="AN9" s="39">
        <v>3.0</v>
      </c>
      <c r="AO9" s="39">
        <v>3.0</v>
      </c>
      <c r="AP9" s="39">
        <v>3.0</v>
      </c>
      <c r="AQ9" s="39">
        <v>3.0</v>
      </c>
      <c r="AR9" s="39">
        <v>3.0</v>
      </c>
      <c r="AS9" s="39">
        <v>3.0</v>
      </c>
      <c r="AT9" s="39">
        <v>3.0</v>
      </c>
      <c r="AU9" s="39">
        <v>3.0</v>
      </c>
      <c r="AV9" s="39">
        <v>3.0</v>
      </c>
      <c r="AW9" s="30"/>
      <c r="AX9" s="30"/>
      <c r="AY9" s="30"/>
      <c r="AZ9" s="30"/>
      <c r="BA9" s="30"/>
      <c r="BB9" s="30"/>
      <c r="BC9" s="30"/>
      <c r="BD9" s="30"/>
    </row>
    <row r="10" ht="60.0" customHeight="1">
      <c r="A10" s="30"/>
      <c r="I10" s="30"/>
      <c r="J10" s="30">
        <v>4.0</v>
      </c>
      <c r="K10" s="30" t="str">
        <f t="shared" ref="K10:M10" si="4">VLOOKUP(LARGE($K$15:$K$34,$J10),$K$15:$R$34,K$6,FALSE)</f>
        <v>#REF!</v>
      </c>
      <c r="L10" s="30" t="str">
        <f t="shared" si="4"/>
        <v>#REF!</v>
      </c>
      <c r="M10" s="30" t="str">
        <f t="shared" si="4"/>
        <v>#REF!</v>
      </c>
      <c r="N10" s="30"/>
      <c r="O10" s="30"/>
      <c r="P10" s="30"/>
      <c r="Q10" s="30"/>
      <c r="R10" s="30" t="s">
        <v>199</v>
      </c>
      <c r="S10" s="30">
        <f>COUNTIF('Planos de Ação - FxO'!$K$8:$K$107,GPA!R10)</f>
        <v>0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</row>
    <row r="11" ht="60.0" customHeight="1">
      <c r="A11" s="30"/>
      <c r="I11" s="30"/>
      <c r="J11" s="30">
        <v>5.0</v>
      </c>
      <c r="K11" s="30" t="str">
        <f t="shared" ref="K11:M11" si="5">VLOOKUP(LARGE($K$15:$K$34,$J11),$K$15:$R$34,K$6,FALSE)</f>
        <v>#REF!</v>
      </c>
      <c r="L11" s="30" t="str">
        <f t="shared" si="5"/>
        <v>#REF!</v>
      </c>
      <c r="M11" s="30" t="str">
        <f t="shared" si="5"/>
        <v>#REF!</v>
      </c>
      <c r="N11" s="30"/>
      <c r="O11" s="30"/>
      <c r="P11" s="30"/>
      <c r="Q11" s="30"/>
      <c r="R11" s="30" t="s">
        <v>193</v>
      </c>
      <c r="S11" s="30">
        <f>COUNTIF('Planos de Ação - FxO'!$K$8:$K$107,GPA!R11)</f>
        <v>0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ht="2.25" customHeight="1">
      <c r="A12" s="30"/>
      <c r="I12" s="30"/>
      <c r="J12" s="30"/>
      <c r="K12" s="30"/>
      <c r="L12" s="30"/>
      <c r="M12" s="30" t="str">
        <f t="shared" ref="M12:N12" si="6">VLOOKUP(LARGE($L$15:$L$34,$J12),$L$15:$R$34,#REF!,FALSE)</f>
        <v>#REF!</v>
      </c>
      <c r="N12" s="30" t="str">
        <f t="shared" si="6"/>
        <v>#REF!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</row>
    <row r="13" ht="45.0" customHeight="1">
      <c r="A13" s="30"/>
      <c r="D13" s="68"/>
      <c r="F13" s="68"/>
      <c r="G13" s="83"/>
      <c r="H13" s="83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</row>
    <row r="14" ht="34.5" customHeight="1">
      <c r="A14" s="60"/>
      <c r="C14" s="231" t="s">
        <v>200</v>
      </c>
      <c r="D14" s="183"/>
      <c r="E14" s="183"/>
      <c r="F14" s="183"/>
      <c r="G14" s="232"/>
      <c r="H14" s="232"/>
      <c r="I14" s="30"/>
      <c r="J14" s="30"/>
      <c r="K14" s="30"/>
      <c r="L14" s="30"/>
      <c r="M14" s="30"/>
      <c r="N14" s="30"/>
      <c r="O14" s="30"/>
      <c r="P14" s="30" t="s">
        <v>201</v>
      </c>
      <c r="Q14" s="30" t="s">
        <v>202</v>
      </c>
      <c r="R14" s="30" t="s">
        <v>203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</row>
    <row r="15" ht="34.5" customHeight="1">
      <c r="A15" s="60"/>
      <c r="G15" s="83"/>
      <c r="H15" s="83"/>
      <c r="I15" s="30"/>
      <c r="J15" s="30"/>
      <c r="K15" s="30" t="str">
        <f t="shared" ref="K15:K34" si="7">IF(O15="","",P15+N15)</f>
        <v>#REF!</v>
      </c>
      <c r="L15" s="30" t="str">
        <f t="shared" ref="L15:L34" si="8">IF(O15="","",Q15+N15)</f>
        <v>#REF!</v>
      </c>
      <c r="M15" s="30" t="str">
        <f t="shared" ref="M15:M34" si="9">IF(O15="","",R15+N15)</f>
        <v>#REF!</v>
      </c>
      <c r="N15" s="30">
        <v>2.0E-4</v>
      </c>
      <c r="O15" s="30" t="str">
        <f t="shared" ref="O15:O34" si="10">IF(#REF!=0,"",#REF!)</f>
        <v>#REF!</v>
      </c>
      <c r="P15" s="30" t="str">
        <f>IF($O15="","",COUNTIF('Planos de Ação - FxO'!$G$8:$G$107,$O15))</f>
        <v>#REF!</v>
      </c>
      <c r="Q15" s="30" t="str">
        <f>IF($O15="","",COUNTIFS('Planos de Ação - FxO'!$G$8:$G$107,$O15,'Planos de Ação - FxO'!$K$8:$K$107,"&lt;&gt;Atrasado"))</f>
        <v>#REF!</v>
      </c>
      <c r="R15" s="30" t="str">
        <f>IF($O15="","",COUNTIFS('Planos de Ação - FxO'!$G$8:$G$107,$O15,'Planos de Ação - FxO'!$K$8:$K$107,"=Atrasado"))</f>
        <v>#REF!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ht="34.5" customHeight="1">
      <c r="A16" s="30"/>
      <c r="G16" s="83"/>
      <c r="H16" s="83"/>
      <c r="I16" s="30"/>
      <c r="J16" s="30"/>
      <c r="K16" s="30" t="str">
        <f t="shared" si="7"/>
        <v>#REF!</v>
      </c>
      <c r="L16" s="30" t="str">
        <f t="shared" si="8"/>
        <v>#REF!</v>
      </c>
      <c r="M16" s="30" t="str">
        <f t="shared" si="9"/>
        <v>#REF!</v>
      </c>
      <c r="N16" s="30">
        <v>1.9E-4</v>
      </c>
      <c r="O16" s="30" t="str">
        <f t="shared" si="10"/>
        <v>#REF!</v>
      </c>
      <c r="P16" s="30" t="str">
        <f>IF($O16="","",COUNTIF('Planos de Ação - FxO'!$G$8:$G$107,$O16))</f>
        <v>#REF!</v>
      </c>
      <c r="Q16" s="30" t="str">
        <f>IF($O16="","",COUNTIFS('Planos de Ação - FxO'!$G$8:$G$107,$O16,'Planos de Ação - FxO'!$K$8:$K$107,"&lt;&gt;Atrasado"))</f>
        <v>#REF!</v>
      </c>
      <c r="R16" s="30" t="str">
        <f>IF($O16="","",COUNTIFS('Planos de Ação - FxO'!$G$8:$G$107,$O16,'Planos de Ação - FxO'!$K$8:$K$107,"=Atrasado"))</f>
        <v>#REF!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ht="34.5" customHeight="1">
      <c r="A17" s="30"/>
      <c r="G17" s="83"/>
      <c r="H17" s="83"/>
      <c r="I17" s="30"/>
      <c r="J17" s="30"/>
      <c r="K17" s="30" t="str">
        <f t="shared" si="7"/>
        <v>#REF!</v>
      </c>
      <c r="L17" s="30" t="str">
        <f t="shared" si="8"/>
        <v>#REF!</v>
      </c>
      <c r="M17" s="30" t="str">
        <f t="shared" si="9"/>
        <v>#REF!</v>
      </c>
      <c r="N17" s="30">
        <v>1.8E-4</v>
      </c>
      <c r="O17" s="30" t="str">
        <f t="shared" si="10"/>
        <v>#REF!</v>
      </c>
      <c r="P17" s="30" t="str">
        <f>IF($O17="","",COUNTIF('Planos de Ação - FxO'!$G$8:$G$107,$O17))</f>
        <v>#REF!</v>
      </c>
      <c r="Q17" s="30" t="str">
        <f>IF($O17="","",COUNTIFS('Planos de Ação - FxO'!$G$8:$G$107,$O17,'Planos de Ação - FxO'!$K$8:$K$107,"&lt;&gt;Atrasado"))</f>
        <v>#REF!</v>
      </c>
      <c r="R17" s="30" t="str">
        <f>IF($O17="","",COUNTIFS('Planos de Ação - FxO'!$G$8:$G$107,$O17,'Planos de Ação - FxO'!$K$8:$K$107,"=Atrasado"))</f>
        <v>#REF!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ht="34.5" customHeight="1">
      <c r="A18" s="30"/>
      <c r="G18" s="83"/>
      <c r="H18" s="83"/>
      <c r="I18" s="30"/>
      <c r="J18" s="30"/>
      <c r="K18" s="30" t="str">
        <f t="shared" si="7"/>
        <v>#REF!</v>
      </c>
      <c r="L18" s="30" t="str">
        <f t="shared" si="8"/>
        <v>#REF!</v>
      </c>
      <c r="M18" s="30" t="str">
        <f t="shared" si="9"/>
        <v>#REF!</v>
      </c>
      <c r="N18" s="30">
        <v>1.7E-4</v>
      </c>
      <c r="O18" s="30" t="str">
        <f t="shared" si="10"/>
        <v>#REF!</v>
      </c>
      <c r="P18" s="30" t="str">
        <f>IF($O18="","",COUNTIF('Planos de Ação - FxO'!$G$8:$G$107,$O18))</f>
        <v>#REF!</v>
      </c>
      <c r="Q18" s="30" t="str">
        <f>IF($O18="","",COUNTIFS('Planos de Ação - FxO'!$G$8:$G$107,$O18,'Planos de Ação - FxO'!$K$8:$K$107,"&lt;&gt;Atrasado"))</f>
        <v>#REF!</v>
      </c>
      <c r="R18" s="30" t="str">
        <f>IF($O18="","",COUNTIFS('Planos de Ação - FxO'!$G$8:$G$107,$O18,'Planos de Ação - FxO'!$K$8:$K$107,"=Atrasado"))</f>
        <v>#REF!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ht="34.5" customHeight="1">
      <c r="A19" s="30"/>
      <c r="G19" s="83"/>
      <c r="H19" s="83"/>
      <c r="I19" s="30"/>
      <c r="J19" s="30"/>
      <c r="K19" s="30" t="str">
        <f t="shared" si="7"/>
        <v>#REF!</v>
      </c>
      <c r="L19" s="30" t="str">
        <f t="shared" si="8"/>
        <v>#REF!</v>
      </c>
      <c r="M19" s="30" t="str">
        <f t="shared" si="9"/>
        <v>#REF!</v>
      </c>
      <c r="N19" s="30">
        <v>1.6E-4</v>
      </c>
      <c r="O19" s="30" t="str">
        <f t="shared" si="10"/>
        <v>#REF!</v>
      </c>
      <c r="P19" s="30" t="str">
        <f>IF($O19="","",COUNTIF('Planos de Ação - FxO'!$G$8:$G$107,$O19))</f>
        <v>#REF!</v>
      </c>
      <c r="Q19" s="30" t="str">
        <f>IF($O19="","",COUNTIFS('Planos de Ação - FxO'!$G$8:$G$107,$O19,'Planos de Ação - FxO'!$K$8:$K$107,"&lt;&gt;Atrasado"))</f>
        <v>#REF!</v>
      </c>
      <c r="R19" s="30" t="str">
        <f>IF($O19="","",COUNTIFS('Planos de Ação - FxO'!$G$8:$G$107,$O19,'Planos de Ação - FxO'!$K$8:$K$107,"=Atrasado"))</f>
        <v>#REF!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ht="34.5" customHeight="1">
      <c r="A20" s="30"/>
      <c r="G20" s="83"/>
      <c r="H20" s="83"/>
      <c r="I20" s="30"/>
      <c r="J20" s="30"/>
      <c r="K20" s="30" t="str">
        <f t="shared" si="7"/>
        <v>#REF!</v>
      </c>
      <c r="L20" s="30" t="str">
        <f t="shared" si="8"/>
        <v>#REF!</v>
      </c>
      <c r="M20" s="30" t="str">
        <f t="shared" si="9"/>
        <v>#REF!</v>
      </c>
      <c r="N20" s="30">
        <v>1.5E-4</v>
      </c>
      <c r="O20" s="30" t="str">
        <f t="shared" si="10"/>
        <v>#REF!</v>
      </c>
      <c r="P20" s="30" t="str">
        <f>IF($O20="","",COUNTIF('Planos de Ação - FxO'!$G$8:$G$107,$O20))</f>
        <v>#REF!</v>
      </c>
      <c r="Q20" s="30" t="str">
        <f>IF($O20="","",COUNTIFS('Planos de Ação - FxO'!$G$8:$G$107,$O20,'Planos de Ação - FxO'!$K$8:$K$107,"&lt;&gt;Atrasado"))</f>
        <v>#REF!</v>
      </c>
      <c r="R20" s="30" t="str">
        <f>IF($O20="","",COUNTIFS('Planos de Ação - FxO'!$G$8:$G$107,$O20,'Planos de Ação - FxO'!$K$8:$K$107,"=Atrasado"))</f>
        <v>#REF!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ht="34.5" customHeight="1">
      <c r="A21" s="30"/>
      <c r="G21" s="83"/>
      <c r="H21" s="83"/>
      <c r="I21" s="30"/>
      <c r="J21" s="30"/>
      <c r="K21" s="30" t="str">
        <f t="shared" si="7"/>
        <v>#REF!</v>
      </c>
      <c r="L21" s="30" t="str">
        <f t="shared" si="8"/>
        <v>#REF!</v>
      </c>
      <c r="M21" s="30" t="str">
        <f t="shared" si="9"/>
        <v>#REF!</v>
      </c>
      <c r="N21" s="30">
        <v>1.4E-4</v>
      </c>
      <c r="O21" s="30" t="str">
        <f t="shared" si="10"/>
        <v>#REF!</v>
      </c>
      <c r="P21" s="30" t="str">
        <f>IF($O21="","",COUNTIF('Planos de Ação - FxO'!$G$8:$G$107,$O21))</f>
        <v>#REF!</v>
      </c>
      <c r="Q21" s="30" t="str">
        <f>IF($O21="","",COUNTIFS('Planos de Ação - FxO'!$G$8:$G$107,$O21,'Planos de Ação - FxO'!$K$8:$K$107,"&lt;&gt;Atrasado"))</f>
        <v>#REF!</v>
      </c>
      <c r="R21" s="30" t="str">
        <f>IF($O21="","",COUNTIFS('Planos de Ação - FxO'!$G$8:$G$107,$O21,'Planos de Ação - FxO'!$K$8:$K$107,"=Atrasado"))</f>
        <v>#REF!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ht="34.5" customHeight="1">
      <c r="A22" s="30"/>
      <c r="B22" s="30"/>
      <c r="C22" s="233"/>
      <c r="D22" s="234"/>
      <c r="E22" s="234"/>
      <c r="F22" s="30"/>
      <c r="G22" s="34"/>
      <c r="H22" s="34"/>
      <c r="I22" s="30"/>
      <c r="J22" s="30"/>
      <c r="K22" s="30" t="str">
        <f t="shared" si="7"/>
        <v>#REF!</v>
      </c>
      <c r="L22" s="30" t="str">
        <f t="shared" si="8"/>
        <v>#REF!</v>
      </c>
      <c r="M22" s="30" t="str">
        <f t="shared" si="9"/>
        <v>#REF!</v>
      </c>
      <c r="N22" s="30">
        <v>1.3E-4</v>
      </c>
      <c r="O22" s="30" t="str">
        <f t="shared" si="10"/>
        <v>#REF!</v>
      </c>
      <c r="P22" s="30" t="str">
        <f>IF($O22="","",COUNTIF('Planos de Ação - FxO'!$G$8:$G$107,$O22))</f>
        <v>#REF!</v>
      </c>
      <c r="Q22" s="30" t="str">
        <f>IF($O22="","",COUNTIFS('Planos de Ação - FxO'!$G$8:$G$107,$O22,'Planos de Ação - FxO'!$K$8:$K$107,"&lt;&gt;Atrasado"))</f>
        <v>#REF!</v>
      </c>
      <c r="R22" s="30" t="str">
        <f>IF($O22="","",COUNTIFS('Planos de Ação - FxO'!$G$8:$G$107,$O22,'Planos de Ação - FxO'!$K$8:$K$107,"=Atrasado"))</f>
        <v>#REF!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ht="34.5" customHeight="1">
      <c r="A23" s="60"/>
      <c r="B23" s="30"/>
      <c r="C23" s="30"/>
      <c r="D23" s="30"/>
      <c r="E23" s="30"/>
      <c r="F23" s="30"/>
      <c r="G23" s="34"/>
      <c r="H23" s="34"/>
      <c r="I23" s="30"/>
      <c r="J23" s="30"/>
      <c r="K23" s="30" t="str">
        <f t="shared" si="7"/>
        <v>#REF!</v>
      </c>
      <c r="L23" s="30" t="str">
        <f t="shared" si="8"/>
        <v>#REF!</v>
      </c>
      <c r="M23" s="30" t="str">
        <f t="shared" si="9"/>
        <v>#REF!</v>
      </c>
      <c r="N23" s="30">
        <v>1.2E-4</v>
      </c>
      <c r="O23" s="30" t="str">
        <f t="shared" si="10"/>
        <v>#REF!</v>
      </c>
      <c r="P23" s="30" t="str">
        <f>IF($O23="","",COUNTIF('Planos de Ação - FxO'!$G$8:$G$107,$O23))</f>
        <v>#REF!</v>
      </c>
      <c r="Q23" s="30" t="str">
        <f>IF($O23="","",COUNTIFS('Planos de Ação - FxO'!$G$8:$G$107,$O23,'Planos de Ação - FxO'!$K$8:$K$107,"&lt;&gt;Atrasado"))</f>
        <v>#REF!</v>
      </c>
      <c r="R23" s="30" t="str">
        <f>IF($O23="","",COUNTIFS('Planos de Ação - FxO'!$G$8:$G$107,$O23,'Planos de Ação - FxO'!$K$8:$K$107,"=Atrasado"))</f>
        <v>#REF!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ht="34.5" customHeight="1">
      <c r="A24" s="60"/>
      <c r="B24" s="30"/>
      <c r="C24" s="30"/>
      <c r="D24" s="30"/>
      <c r="E24" s="30"/>
      <c r="F24" s="30"/>
      <c r="G24" s="34"/>
      <c r="H24" s="34"/>
      <c r="I24" s="30"/>
      <c r="J24" s="30"/>
      <c r="K24" s="30" t="str">
        <f t="shared" si="7"/>
        <v>#REF!</v>
      </c>
      <c r="L24" s="30" t="str">
        <f t="shared" si="8"/>
        <v>#REF!</v>
      </c>
      <c r="M24" s="30" t="str">
        <f t="shared" si="9"/>
        <v>#REF!</v>
      </c>
      <c r="N24" s="30">
        <v>1.1E-4</v>
      </c>
      <c r="O24" s="30" t="str">
        <f t="shared" si="10"/>
        <v>#REF!</v>
      </c>
      <c r="P24" s="30" t="str">
        <f>IF($O24="","",COUNTIF('Planos de Ação - FxO'!$G$8:$G$107,$O24))</f>
        <v>#REF!</v>
      </c>
      <c r="Q24" s="30" t="str">
        <f>IF($O24="","",COUNTIFS('Planos de Ação - FxO'!$G$8:$G$107,$O24,'Planos de Ação - FxO'!$K$8:$K$107,"&lt;&gt;Atrasado"))</f>
        <v>#REF!</v>
      </c>
      <c r="R24" s="30" t="str">
        <f>IF($O24="","",COUNTIFS('Planos de Ação - FxO'!$G$8:$G$107,$O24,'Planos de Ação - FxO'!$K$8:$K$107,"=Atrasado"))</f>
        <v>#REF!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</row>
    <row r="25" ht="34.5" customHeight="1">
      <c r="A25" s="30"/>
      <c r="B25" s="30"/>
      <c r="C25" s="30"/>
      <c r="D25" s="30"/>
      <c r="E25" s="30"/>
      <c r="F25" s="30"/>
      <c r="G25" s="34"/>
      <c r="H25" s="34"/>
      <c r="I25" s="30"/>
      <c r="J25" s="30"/>
      <c r="K25" s="30" t="str">
        <f t="shared" si="7"/>
        <v>#REF!</v>
      </c>
      <c r="L25" s="30" t="str">
        <f t="shared" si="8"/>
        <v>#REF!</v>
      </c>
      <c r="M25" s="30" t="str">
        <f t="shared" si="9"/>
        <v>#REF!</v>
      </c>
      <c r="N25" s="30">
        <v>1.0E-4</v>
      </c>
      <c r="O25" s="30" t="str">
        <f t="shared" si="10"/>
        <v>#REF!</v>
      </c>
      <c r="P25" s="30" t="str">
        <f>IF($O25="","",COUNTIF('Planos de Ação - FxO'!$G$8:$G$107,$O25))</f>
        <v>#REF!</v>
      </c>
      <c r="Q25" s="30" t="str">
        <f>IF($O25="","",COUNTIFS('Planos de Ação - FxO'!$G$8:$G$107,$O25,'Planos de Ação - FxO'!$K$8:$K$107,"&lt;&gt;Atrasado"))</f>
        <v>#REF!</v>
      </c>
      <c r="R25" s="30" t="str">
        <f>IF($O25="","",COUNTIFS('Planos de Ação - FxO'!$G$8:$G$107,$O25,'Planos de Ação - FxO'!$K$8:$K$107,"=Atrasado"))</f>
        <v>#REF!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</row>
    <row r="26" ht="34.5" customHeight="1">
      <c r="A26" s="30"/>
      <c r="B26" s="30"/>
      <c r="C26" s="30"/>
      <c r="D26" s="30"/>
      <c r="E26" s="30"/>
      <c r="F26" s="30"/>
      <c r="G26" s="34"/>
      <c r="H26" s="34"/>
      <c r="I26" s="30"/>
      <c r="J26" s="30"/>
      <c r="K26" s="30" t="str">
        <f t="shared" si="7"/>
        <v>#REF!</v>
      </c>
      <c r="L26" s="30" t="str">
        <f t="shared" si="8"/>
        <v>#REF!</v>
      </c>
      <c r="M26" s="30" t="str">
        <f t="shared" si="9"/>
        <v>#REF!</v>
      </c>
      <c r="N26" s="30">
        <v>9.0E-5</v>
      </c>
      <c r="O26" s="30" t="str">
        <f t="shared" si="10"/>
        <v>#REF!</v>
      </c>
      <c r="P26" s="30" t="str">
        <f>IF($O26="","",COUNTIF('Planos de Ação - FxO'!$G$8:$G$107,$O26))</f>
        <v>#REF!</v>
      </c>
      <c r="Q26" s="30" t="str">
        <f>IF($O26="","",COUNTIFS('Planos de Ação - FxO'!$G$8:$G$107,$O26,'Planos de Ação - FxO'!$K$8:$K$107,"&lt;&gt;Atrasado"))</f>
        <v>#REF!</v>
      </c>
      <c r="R26" s="30" t="str">
        <f>IF($O26="","",COUNTIFS('Planos de Ação - FxO'!$G$8:$G$107,$O26,'Planos de Ação - FxO'!$K$8:$K$107,"=Atrasado"))</f>
        <v>#REF!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</row>
    <row r="27" ht="34.5" customHeight="1">
      <c r="A27" s="30"/>
      <c r="B27" s="30"/>
      <c r="C27" s="30"/>
      <c r="D27" s="30"/>
      <c r="E27" s="30"/>
      <c r="F27" s="30"/>
      <c r="G27" s="34"/>
      <c r="H27" s="34"/>
      <c r="I27" s="30"/>
      <c r="J27" s="30"/>
      <c r="K27" s="30" t="str">
        <f t="shared" si="7"/>
        <v>#REF!</v>
      </c>
      <c r="L27" s="30" t="str">
        <f t="shared" si="8"/>
        <v>#REF!</v>
      </c>
      <c r="M27" s="30" t="str">
        <f t="shared" si="9"/>
        <v>#REF!</v>
      </c>
      <c r="N27" s="30">
        <v>8.0E-5</v>
      </c>
      <c r="O27" s="30" t="str">
        <f t="shared" si="10"/>
        <v>#REF!</v>
      </c>
      <c r="P27" s="30" t="str">
        <f>IF($O27="","",COUNTIF('Planos de Ação - FxO'!$G$8:$G$107,$O27))</f>
        <v>#REF!</v>
      </c>
      <c r="Q27" s="30" t="str">
        <f>IF($O27="","",COUNTIFS('Planos de Ação - FxO'!$G$8:$G$107,$O27,'Planos de Ação - FxO'!$K$8:$K$107,"&lt;&gt;Atrasado"))</f>
        <v>#REF!</v>
      </c>
      <c r="R27" s="30" t="str">
        <f>IF($O27="","",COUNTIFS('Planos de Ação - FxO'!$G$8:$G$107,$O27,'Planos de Ação - FxO'!$K$8:$K$107,"=Atrasado"))</f>
        <v>#REF!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</row>
    <row r="28" ht="34.5" customHeight="1">
      <c r="A28" s="30"/>
      <c r="B28" s="30"/>
      <c r="C28" s="30"/>
      <c r="D28" s="30"/>
      <c r="E28" s="30"/>
      <c r="F28" s="30"/>
      <c r="G28" s="34"/>
      <c r="H28" s="34"/>
      <c r="I28" s="30"/>
      <c r="J28" s="30"/>
      <c r="K28" s="30" t="str">
        <f t="shared" si="7"/>
        <v>#REF!</v>
      </c>
      <c r="L28" s="30" t="str">
        <f t="shared" si="8"/>
        <v>#REF!</v>
      </c>
      <c r="M28" s="30" t="str">
        <f t="shared" si="9"/>
        <v>#REF!</v>
      </c>
      <c r="N28" s="30">
        <v>7.0E-5</v>
      </c>
      <c r="O28" s="30" t="str">
        <f t="shared" si="10"/>
        <v>#REF!</v>
      </c>
      <c r="P28" s="30" t="str">
        <f>IF($O28="","",COUNTIF('Planos de Ação - FxO'!$G$8:$G$107,$O28))</f>
        <v>#REF!</v>
      </c>
      <c r="Q28" s="30" t="str">
        <f>IF($O28="","",COUNTIFS('Planos de Ação - FxO'!$G$8:$G$107,$O28,'Planos de Ação - FxO'!$K$8:$K$107,"&lt;&gt;Atrasado"))</f>
        <v>#REF!</v>
      </c>
      <c r="R28" s="30" t="str">
        <f>IF($O28="","",COUNTIFS('Planos de Ação - FxO'!$G$8:$G$107,$O28,'Planos de Ação - FxO'!$K$8:$K$107,"=Atrasado"))</f>
        <v>#REF!</v>
      </c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</row>
    <row r="29" ht="34.5" customHeight="1">
      <c r="A29" s="30"/>
      <c r="B29" s="30"/>
      <c r="C29" s="30"/>
      <c r="D29" s="30"/>
      <c r="E29" s="30"/>
      <c r="F29" s="30"/>
      <c r="G29" s="34"/>
      <c r="H29" s="34"/>
      <c r="I29" s="30"/>
      <c r="J29" s="30"/>
      <c r="K29" s="30" t="str">
        <f t="shared" si="7"/>
        <v>#REF!</v>
      </c>
      <c r="L29" s="30" t="str">
        <f t="shared" si="8"/>
        <v>#REF!</v>
      </c>
      <c r="M29" s="30" t="str">
        <f t="shared" si="9"/>
        <v>#REF!</v>
      </c>
      <c r="N29" s="30">
        <v>6.0E-5</v>
      </c>
      <c r="O29" s="30" t="str">
        <f t="shared" si="10"/>
        <v>#REF!</v>
      </c>
      <c r="P29" s="30" t="str">
        <f>IF($O29="","",COUNTIF('Planos de Ação - FxO'!$G$8:$G$107,$O29))</f>
        <v>#REF!</v>
      </c>
      <c r="Q29" s="30" t="str">
        <f>IF($O29="","",COUNTIFS('Planos de Ação - FxO'!$G$8:$G$107,$O29,'Planos de Ação - FxO'!$K$8:$K$107,"&lt;&gt;Atrasado"))</f>
        <v>#REF!</v>
      </c>
      <c r="R29" s="30" t="str">
        <f>IF($O29="","",COUNTIFS('Planos de Ação - FxO'!$G$8:$G$107,$O29,'Planos de Ação - FxO'!$K$8:$K$107,"=Atrasado"))</f>
        <v>#REF!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</row>
    <row r="30" ht="34.5" customHeight="1">
      <c r="A30" s="30"/>
      <c r="B30" s="30"/>
      <c r="C30" s="30"/>
      <c r="D30" s="30"/>
      <c r="E30" s="30"/>
      <c r="F30" s="30"/>
      <c r="G30" s="34"/>
      <c r="H30" s="34"/>
      <c r="I30" s="30"/>
      <c r="J30" s="30"/>
      <c r="K30" s="30" t="str">
        <f t="shared" si="7"/>
        <v>#REF!</v>
      </c>
      <c r="L30" s="30" t="str">
        <f t="shared" si="8"/>
        <v>#REF!</v>
      </c>
      <c r="M30" s="30" t="str">
        <f t="shared" si="9"/>
        <v>#REF!</v>
      </c>
      <c r="N30" s="30">
        <v>5.0E-5</v>
      </c>
      <c r="O30" s="30" t="str">
        <f t="shared" si="10"/>
        <v>#REF!</v>
      </c>
      <c r="P30" s="30" t="str">
        <f>IF($O30="","",COUNTIF('Planos de Ação - FxO'!$G$8:$G$107,$O30))</f>
        <v>#REF!</v>
      </c>
      <c r="Q30" s="30" t="str">
        <f>IF($O30="","",COUNTIFS('Planos de Ação - FxO'!$G$8:$G$107,$O30,'Planos de Ação - FxO'!$K$8:$K$107,"&lt;&gt;Atrasado"))</f>
        <v>#REF!</v>
      </c>
      <c r="R30" s="30" t="str">
        <f>IF($O30="","",COUNTIFS('Planos de Ação - FxO'!$G$8:$G$107,$O30,'Planos de Ação - FxO'!$K$8:$K$107,"=Atrasado"))</f>
        <v>#REF!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</row>
    <row r="31" ht="34.5" customHeight="1">
      <c r="A31" s="30"/>
      <c r="B31" s="30"/>
      <c r="C31" s="30"/>
      <c r="D31" s="30"/>
      <c r="E31" s="30"/>
      <c r="F31" s="30"/>
      <c r="G31" s="34"/>
      <c r="H31" s="34"/>
      <c r="I31" s="30"/>
      <c r="J31" s="30"/>
      <c r="K31" s="30" t="str">
        <f t="shared" si="7"/>
        <v>#REF!</v>
      </c>
      <c r="L31" s="30" t="str">
        <f t="shared" si="8"/>
        <v>#REF!</v>
      </c>
      <c r="M31" s="30" t="str">
        <f t="shared" si="9"/>
        <v>#REF!</v>
      </c>
      <c r="N31" s="30">
        <v>4.0E-5</v>
      </c>
      <c r="O31" s="30" t="str">
        <f t="shared" si="10"/>
        <v>#REF!</v>
      </c>
      <c r="P31" s="30" t="str">
        <f>IF($O31="","",COUNTIF('Planos de Ação - FxO'!$G$8:$G$107,$O31))</f>
        <v>#REF!</v>
      </c>
      <c r="Q31" s="30" t="str">
        <f>IF($O31="","",COUNTIFS('Planos de Ação - FxO'!$G$8:$G$107,$O31,'Planos de Ação - FxO'!$K$8:$K$107,"&lt;&gt;Atrasado"))</f>
        <v>#REF!</v>
      </c>
      <c r="R31" s="30" t="str">
        <f>IF($O31="","",COUNTIFS('Planos de Ação - FxO'!$G$8:$G$107,$O31,'Planos de Ação - FxO'!$K$8:$K$107,"=Atrasado"))</f>
        <v>#REF!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</row>
    <row r="32" ht="34.5" customHeight="1">
      <c r="A32" s="30"/>
      <c r="B32" s="30"/>
      <c r="C32" s="30"/>
      <c r="D32" s="30"/>
      <c r="E32" s="30"/>
      <c r="F32" s="30"/>
      <c r="G32" s="34"/>
      <c r="H32" s="34"/>
      <c r="I32" s="30"/>
      <c r="J32" s="30"/>
      <c r="K32" s="30" t="str">
        <f t="shared" si="7"/>
        <v>#REF!</v>
      </c>
      <c r="L32" s="30" t="str">
        <f t="shared" si="8"/>
        <v>#REF!</v>
      </c>
      <c r="M32" s="30" t="str">
        <f t="shared" si="9"/>
        <v>#REF!</v>
      </c>
      <c r="N32" s="30">
        <v>3.0E-5</v>
      </c>
      <c r="O32" s="30" t="str">
        <f t="shared" si="10"/>
        <v>#REF!</v>
      </c>
      <c r="P32" s="30" t="str">
        <f>IF($O32="","",COUNTIF('Planos de Ação - FxO'!$G$8:$G$107,$O32))</f>
        <v>#REF!</v>
      </c>
      <c r="Q32" s="30" t="str">
        <f>IF($O32="","",COUNTIFS('Planos de Ação - FxO'!$G$8:$G$107,$O32,'Planos de Ação - FxO'!$K$8:$K$107,"&lt;&gt;Atrasado"))</f>
        <v>#REF!</v>
      </c>
      <c r="R32" s="30" t="str">
        <f>IF($O32="","",COUNTIFS('Planos de Ação - FxO'!$G$8:$G$107,$O32,'Planos de Ação - FxO'!$K$8:$K$107,"=Atrasado"))</f>
        <v>#REF!</v>
      </c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</row>
    <row r="33" ht="78.0" customHeight="1">
      <c r="A33" s="30"/>
      <c r="B33" s="235"/>
      <c r="C33" s="30"/>
      <c r="D33" s="30"/>
      <c r="E33" s="30"/>
      <c r="F33" s="30"/>
      <c r="G33" s="34"/>
      <c r="H33" s="34"/>
      <c r="I33" s="30"/>
      <c r="J33" s="30"/>
      <c r="K33" s="30" t="str">
        <f t="shared" si="7"/>
        <v>#REF!</v>
      </c>
      <c r="L33" s="30" t="str">
        <f t="shared" si="8"/>
        <v>#REF!</v>
      </c>
      <c r="M33" s="30" t="str">
        <f t="shared" si="9"/>
        <v>#REF!</v>
      </c>
      <c r="N33" s="30">
        <v>2.0E-5</v>
      </c>
      <c r="O33" s="30" t="str">
        <f t="shared" si="10"/>
        <v>#REF!</v>
      </c>
      <c r="P33" s="30" t="str">
        <f>IF($O33="","",COUNTIF('Planos de Ação - FxO'!$G$8:$G$107,$O33))</f>
        <v>#REF!</v>
      </c>
      <c r="Q33" s="30" t="str">
        <f>IF($O33="","",COUNTIFS('Planos de Ação - FxO'!$G$8:$G$107,$O33,'Planos de Ação - FxO'!$K$8:$K$107,"&lt;&gt;Atrasado"))</f>
        <v>#REF!</v>
      </c>
      <c r="R33" s="30" t="str">
        <f>IF($O33="","",COUNTIFS('Planos de Ação - FxO'!$G$8:$G$107,$O33,'Planos de Ação - FxO'!$K$8:$K$107,"=Atrasado"))</f>
        <v>#REF!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</row>
    <row r="34" ht="45.0" customHeight="1">
      <c r="A34" s="30"/>
      <c r="B34" s="30"/>
      <c r="C34" s="30"/>
      <c r="D34" s="30"/>
      <c r="E34" s="30"/>
      <c r="F34" s="30"/>
      <c r="G34" s="34"/>
      <c r="H34" s="34"/>
      <c r="I34" s="30"/>
      <c r="J34" s="30"/>
      <c r="K34" s="30" t="str">
        <f t="shared" si="7"/>
        <v>#REF!</v>
      </c>
      <c r="L34" s="30" t="str">
        <f t="shared" si="8"/>
        <v>#REF!</v>
      </c>
      <c r="M34" s="30" t="str">
        <f t="shared" si="9"/>
        <v>#REF!</v>
      </c>
      <c r="N34" s="30">
        <v>1.0E-5</v>
      </c>
      <c r="O34" s="30" t="str">
        <f t="shared" si="10"/>
        <v>#REF!</v>
      </c>
      <c r="P34" s="30" t="str">
        <f>IF($O34="","",COUNTIF('Planos de Ação - FxO'!$G$8:$G$107,$O34))</f>
        <v>#REF!</v>
      </c>
      <c r="Q34" s="30" t="str">
        <f>IF($O34="","",COUNTIFS('Planos de Ação - FxO'!$G$8:$G$107,$O34,'Planos de Ação - FxO'!$K$8:$K$107,"&lt;&gt;Atrasado"))</f>
        <v>#REF!</v>
      </c>
      <c r="R34" s="30" t="str">
        <f>IF($O34="","",COUNTIFS('Planos de Ação - FxO'!$G$8:$G$107,$O34,'Planos de Ação - FxO'!$K$8:$K$107,"=Atrasado"))</f>
        <v>#REF!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</row>
    <row r="35" ht="37.5" customHeight="1">
      <c r="A35" s="30"/>
      <c r="B35" s="30"/>
      <c r="C35" s="30"/>
      <c r="D35" s="30"/>
      <c r="E35" s="30"/>
      <c r="F35" s="30"/>
      <c r="G35" s="34"/>
      <c r="H35" s="34"/>
      <c r="I35" s="30"/>
      <c r="J35" s="30"/>
      <c r="K35" s="30"/>
      <c r="L35" s="30"/>
      <c r="M35" s="30"/>
      <c r="N35" s="30"/>
      <c r="O35" s="30"/>
      <c r="P35" s="54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</row>
    <row r="36" ht="37.5" customHeight="1">
      <c r="A36" s="30"/>
      <c r="B36" s="30"/>
      <c r="C36" s="30"/>
      <c r="D36" s="30"/>
      <c r="E36" s="30"/>
      <c r="F36" s="30"/>
      <c r="G36" s="34"/>
      <c r="H36" s="34"/>
      <c r="I36" s="30"/>
      <c r="J36" s="30"/>
      <c r="K36" s="30"/>
      <c r="L36" s="30"/>
      <c r="M36" s="30"/>
      <c r="N36" s="30"/>
      <c r="O36" s="30"/>
      <c r="P36" s="54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</row>
    <row r="37" ht="37.5" customHeight="1">
      <c r="A37" s="30"/>
      <c r="B37" s="30"/>
      <c r="C37" s="30"/>
      <c r="D37" s="30"/>
      <c r="E37" s="30"/>
      <c r="F37" s="30"/>
      <c r="G37" s="34"/>
      <c r="H37" s="34"/>
      <c r="I37" s="30"/>
      <c r="J37" s="30"/>
      <c r="K37" s="30"/>
      <c r="L37" s="30"/>
      <c r="M37" s="30"/>
      <c r="N37" s="30"/>
      <c r="O37" s="30"/>
      <c r="P37" s="54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</row>
    <row r="38" ht="37.5" customHeight="1">
      <c r="A38" s="30"/>
      <c r="B38" s="30"/>
      <c r="C38" s="30"/>
      <c r="D38" s="30"/>
      <c r="E38" s="30"/>
      <c r="F38" s="30"/>
      <c r="G38" s="34"/>
      <c r="H38" s="34"/>
      <c r="I38" s="30"/>
      <c r="J38" s="30"/>
      <c r="K38" s="30"/>
      <c r="L38" s="30"/>
      <c r="M38" s="30"/>
      <c r="N38" s="30"/>
      <c r="O38" s="30"/>
      <c r="P38" s="54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</row>
    <row r="39" ht="15.75" customHeight="1">
      <c r="A39" s="30"/>
      <c r="B39" s="30"/>
      <c r="C39" s="30"/>
      <c r="D39" s="115"/>
      <c r="E39" s="30"/>
      <c r="F39" s="115"/>
      <c r="G39" s="34"/>
      <c r="H39" s="34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</row>
    <row r="40" ht="15.75" customHeight="1">
      <c r="A40" s="30"/>
      <c r="B40" s="30"/>
      <c r="C40" s="30"/>
      <c r="D40" s="115"/>
      <c r="E40" s="30"/>
      <c r="F40" s="115"/>
      <c r="G40" s="34"/>
      <c r="H40" s="34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</row>
    <row r="41" ht="15.75" customHeight="1">
      <c r="A41" s="30"/>
      <c r="B41" s="30"/>
      <c r="C41" s="30"/>
      <c r="D41" s="115"/>
      <c r="E41" s="30"/>
      <c r="F41" s="115"/>
      <c r="G41" s="34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</row>
    <row r="42" ht="15.75" customHeight="1">
      <c r="A42" s="30"/>
      <c r="B42" s="30"/>
      <c r="C42" s="30"/>
      <c r="D42" s="115"/>
      <c r="E42" s="30"/>
      <c r="F42" s="115"/>
      <c r="G42" s="34"/>
      <c r="H42" s="34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</row>
    <row r="43" ht="15.75" customHeight="1">
      <c r="A43" s="30"/>
      <c r="B43" s="30"/>
      <c r="C43" s="30"/>
      <c r="D43" s="115"/>
      <c r="E43" s="30"/>
      <c r="F43" s="115"/>
      <c r="G43" s="34"/>
      <c r="H43" s="34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</row>
    <row r="44" ht="15.75" customHeight="1">
      <c r="A44" s="30"/>
      <c r="B44" s="30"/>
      <c r="C44" s="30"/>
      <c r="D44" s="115"/>
      <c r="E44" s="30"/>
      <c r="F44" s="115"/>
      <c r="G44" s="34"/>
      <c r="H44" s="34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</row>
    <row r="45" ht="15.75" customHeight="1">
      <c r="A45" s="30"/>
      <c r="B45" s="30"/>
      <c r="C45" s="30"/>
      <c r="D45" s="115"/>
      <c r="E45" s="30"/>
      <c r="F45" s="115"/>
      <c r="G45" s="34"/>
      <c r="H45" s="34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</row>
    <row r="46" ht="15.75" customHeight="1">
      <c r="A46" s="30"/>
      <c r="B46" s="30"/>
      <c r="C46" s="30"/>
      <c r="D46" s="115"/>
      <c r="E46" s="30"/>
      <c r="F46" s="115"/>
      <c r="G46" s="34"/>
      <c r="H46" s="34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</row>
    <row r="47" ht="15.75" customHeight="1">
      <c r="A47" s="30"/>
      <c r="B47" s="30"/>
      <c r="C47" s="30"/>
      <c r="D47" s="115"/>
      <c r="E47" s="30"/>
      <c r="F47" s="115"/>
      <c r="G47" s="34"/>
      <c r="H47" s="34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</row>
    <row r="48" ht="15.75" customHeight="1">
      <c r="A48" s="30"/>
      <c r="B48" s="30"/>
      <c r="C48" s="30"/>
      <c r="D48" s="115"/>
      <c r="E48" s="30"/>
      <c r="F48" s="115"/>
      <c r="G48" s="34"/>
      <c r="H48" s="3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</row>
    <row r="49" ht="15.75" customHeight="1">
      <c r="A49" s="30"/>
      <c r="B49" s="30"/>
      <c r="C49" s="30"/>
      <c r="D49" s="115"/>
      <c r="E49" s="30"/>
      <c r="F49" s="115"/>
      <c r="G49" s="34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</row>
    <row r="50" ht="15.75" customHeight="1">
      <c r="A50" s="30"/>
      <c r="B50" s="30"/>
      <c r="C50" s="30"/>
      <c r="D50" s="115"/>
      <c r="E50" s="30"/>
      <c r="F50" s="115"/>
      <c r="G50" s="34"/>
      <c r="H50" s="34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</row>
    <row r="51" ht="15.75" customHeight="1">
      <c r="A51" s="30"/>
      <c r="B51" s="30"/>
      <c r="C51" s="30"/>
      <c r="D51" s="115"/>
      <c r="E51" s="30"/>
      <c r="F51" s="115"/>
      <c r="G51" s="34"/>
      <c r="H51" s="34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</row>
    <row r="52" ht="15.75" customHeight="1">
      <c r="A52" s="30"/>
      <c r="B52" s="30"/>
      <c r="C52" s="30"/>
      <c r="D52" s="115"/>
      <c r="E52" s="30"/>
      <c r="F52" s="115"/>
      <c r="G52" s="34"/>
      <c r="H52" s="34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</row>
    <row r="53" ht="15.75" customHeight="1">
      <c r="A53" s="30"/>
      <c r="B53" s="30"/>
      <c r="C53" s="30"/>
      <c r="D53" s="115"/>
      <c r="E53" s="30"/>
      <c r="F53" s="115"/>
      <c r="G53" s="34"/>
      <c r="H53" s="34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</row>
    <row r="54" ht="15.75" customHeight="1">
      <c r="A54" s="30"/>
      <c r="B54" s="30"/>
      <c r="C54" s="30"/>
      <c r="D54" s="115"/>
      <c r="E54" s="30"/>
      <c r="F54" s="115"/>
      <c r="G54" s="34"/>
      <c r="H54" s="34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</row>
    <row r="55" ht="15.75" customHeight="1">
      <c r="A55" s="60"/>
      <c r="B55" s="30"/>
      <c r="C55" s="30"/>
      <c r="D55" s="115"/>
      <c r="E55" s="30"/>
      <c r="F55" s="115"/>
      <c r="G55" s="34"/>
      <c r="H55" s="34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</row>
    <row r="56" ht="15.75" customHeight="1">
      <c r="A56" s="60"/>
      <c r="B56" s="30"/>
      <c r="C56" s="30"/>
      <c r="D56" s="115"/>
      <c r="E56" s="30"/>
      <c r="F56" s="115"/>
      <c r="G56" s="34"/>
      <c r="H56" s="34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</row>
    <row r="57" ht="15.75" customHeight="1">
      <c r="A57" s="60"/>
      <c r="B57" s="30"/>
      <c r="C57" s="30"/>
      <c r="D57" s="115"/>
      <c r="E57" s="30"/>
      <c r="F57" s="115"/>
      <c r="G57" s="34"/>
      <c r="H57" s="34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</row>
    <row r="58" ht="15.75" customHeight="1">
      <c r="A58" s="30"/>
      <c r="B58" s="30"/>
      <c r="C58" s="30"/>
      <c r="D58" s="115"/>
      <c r="E58" s="30"/>
      <c r="F58" s="115"/>
      <c r="G58" s="34"/>
      <c r="H58" s="34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</row>
    <row r="59" ht="15.75" customHeight="1">
      <c r="A59" s="30"/>
      <c r="B59" s="30"/>
      <c r="C59" s="30"/>
      <c r="D59" s="115"/>
      <c r="E59" s="30"/>
      <c r="F59" s="115"/>
      <c r="G59" s="34"/>
      <c r="H59" s="34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</row>
    <row r="60" ht="15.75" customHeight="1">
      <c r="A60" s="30"/>
      <c r="B60" s="30"/>
      <c r="C60" s="30"/>
      <c r="D60" s="115"/>
      <c r="E60" s="30"/>
      <c r="F60" s="115"/>
      <c r="G60" s="34"/>
      <c r="H60" s="34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</row>
    <row r="61" ht="15.75" customHeight="1">
      <c r="A61" s="30"/>
      <c r="B61" s="30"/>
      <c r="C61" s="30"/>
      <c r="D61" s="115"/>
      <c r="E61" s="30"/>
      <c r="F61" s="115"/>
      <c r="G61" s="34"/>
      <c r="H61" s="34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</row>
    <row r="62" ht="15.75" customHeight="1">
      <c r="A62" s="30"/>
      <c r="B62" s="30"/>
      <c r="C62" s="30"/>
      <c r="D62" s="115"/>
      <c r="E62" s="30"/>
      <c r="F62" s="115"/>
      <c r="G62" s="34"/>
      <c r="H62" s="34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</row>
    <row r="63" ht="15.75" customHeight="1">
      <c r="A63" s="30"/>
      <c r="B63" s="30"/>
      <c r="C63" s="30"/>
      <c r="D63" s="115"/>
      <c r="E63" s="30"/>
      <c r="F63" s="115"/>
      <c r="G63" s="34"/>
      <c r="H63" s="34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</row>
    <row r="64" ht="15.75" customHeight="1">
      <c r="A64" s="30"/>
      <c r="B64" s="30"/>
      <c r="C64" s="30"/>
      <c r="D64" s="115"/>
      <c r="E64" s="30"/>
      <c r="F64" s="115"/>
      <c r="G64" s="34"/>
      <c r="H64" s="34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</row>
    <row r="65" ht="15.75" customHeight="1">
      <c r="A65" s="30"/>
      <c r="B65" s="30"/>
      <c r="C65" s="30"/>
      <c r="D65" s="115"/>
      <c r="E65" s="30"/>
      <c r="F65" s="115"/>
      <c r="G65" s="34"/>
      <c r="H65" s="34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</row>
    <row r="66" ht="15.75" customHeight="1">
      <c r="A66" s="30"/>
      <c r="B66" s="30"/>
      <c r="C66" s="30"/>
      <c r="D66" s="115"/>
      <c r="E66" s="30"/>
      <c r="F66" s="115"/>
      <c r="G66" s="34"/>
      <c r="H66" s="34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</row>
    <row r="67" ht="15.75" customHeight="1">
      <c r="A67" s="30"/>
      <c r="B67" s="30"/>
      <c r="C67" s="30"/>
      <c r="D67" s="115"/>
      <c r="E67" s="30"/>
      <c r="F67" s="115"/>
      <c r="G67" s="34"/>
      <c r="H67" s="34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</row>
    <row r="68" ht="15.75" customHeight="1">
      <c r="A68" s="30"/>
      <c r="B68" s="30"/>
      <c r="C68" s="30"/>
      <c r="D68" s="115"/>
      <c r="E68" s="30"/>
      <c r="F68" s="115"/>
      <c r="G68" s="34"/>
      <c r="H68" s="34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</row>
    <row r="69" ht="15.75" customHeight="1">
      <c r="A69" s="30"/>
      <c r="B69" s="30"/>
      <c r="C69" s="30"/>
      <c r="D69" s="115"/>
      <c r="E69" s="30"/>
      <c r="F69" s="115"/>
      <c r="G69" s="34"/>
      <c r="H69" s="34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</row>
    <row r="70" ht="15.75" customHeight="1">
      <c r="A70" s="30"/>
      <c r="B70" s="30"/>
      <c r="C70" s="30"/>
      <c r="D70" s="115"/>
      <c r="E70" s="30"/>
      <c r="F70" s="115"/>
      <c r="G70" s="34"/>
      <c r="H70" s="34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</row>
    <row r="71" ht="15.75" customHeight="1">
      <c r="A71" s="30"/>
      <c r="B71" s="30"/>
      <c r="C71" s="30"/>
      <c r="D71" s="115"/>
      <c r="E71" s="30"/>
      <c r="F71" s="115"/>
      <c r="G71" s="34"/>
      <c r="H71" s="34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</row>
    <row r="72" ht="15.75" customHeight="1">
      <c r="A72" s="30"/>
      <c r="B72" s="30"/>
      <c r="C72" s="30"/>
      <c r="D72" s="115"/>
      <c r="E72" s="30"/>
      <c r="F72" s="115"/>
      <c r="G72" s="34"/>
      <c r="H72" s="34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</row>
    <row r="73" ht="15.75" customHeight="1">
      <c r="A73" s="30"/>
      <c r="B73" s="30"/>
      <c r="C73" s="30"/>
      <c r="D73" s="115"/>
      <c r="E73" s="30"/>
      <c r="F73" s="115"/>
      <c r="G73" s="34"/>
      <c r="H73" s="34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</row>
    <row r="74" ht="15.75" customHeight="1">
      <c r="A74" s="30"/>
      <c r="B74" s="30"/>
      <c r="C74" s="30"/>
      <c r="D74" s="115"/>
      <c r="E74" s="30"/>
      <c r="F74" s="115"/>
      <c r="G74" s="34"/>
      <c r="H74" s="34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</row>
    <row r="75" ht="15.75" customHeight="1">
      <c r="A75" s="30"/>
      <c r="B75" s="30"/>
      <c r="C75" s="30"/>
      <c r="D75" s="115"/>
      <c r="E75" s="30"/>
      <c r="F75" s="115"/>
      <c r="G75" s="34"/>
      <c r="H75" s="34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</row>
    <row r="76" ht="15.75" customHeight="1">
      <c r="A76" s="30"/>
      <c r="B76" s="30"/>
      <c r="C76" s="30"/>
      <c r="D76" s="115"/>
      <c r="E76" s="30"/>
      <c r="F76" s="115"/>
      <c r="G76" s="34"/>
      <c r="H76" s="34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</row>
    <row r="77" ht="15.75" customHeight="1">
      <c r="A77" s="30"/>
      <c r="B77" s="30"/>
      <c r="C77" s="30"/>
      <c r="D77" s="115"/>
      <c r="E77" s="30"/>
      <c r="F77" s="115"/>
      <c r="G77" s="34"/>
      <c r="H77" s="34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</row>
    <row r="78" ht="15.75" customHeight="1">
      <c r="A78" s="30"/>
      <c r="B78" s="30"/>
      <c r="C78" s="30"/>
      <c r="D78" s="115"/>
      <c r="E78" s="30"/>
      <c r="F78" s="115"/>
      <c r="G78" s="34"/>
      <c r="H78" s="34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</row>
    <row r="79" ht="15.75" customHeight="1">
      <c r="A79" s="30"/>
      <c r="B79" s="30"/>
      <c r="C79" s="30"/>
      <c r="D79" s="115"/>
      <c r="E79" s="30"/>
      <c r="F79" s="115"/>
      <c r="G79" s="34"/>
      <c r="H79" s="34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</row>
    <row r="80" ht="15.75" customHeight="1">
      <c r="A80" s="30"/>
      <c r="B80" s="30"/>
      <c r="C80" s="30"/>
      <c r="D80" s="115"/>
      <c r="E80" s="30"/>
      <c r="F80" s="115"/>
      <c r="G80" s="34"/>
      <c r="H80" s="34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</row>
    <row r="81" ht="15.75" customHeight="1">
      <c r="A81" s="30"/>
      <c r="B81" s="30"/>
      <c r="C81" s="30"/>
      <c r="D81" s="115"/>
      <c r="E81" s="30"/>
      <c r="F81" s="115"/>
      <c r="G81" s="34"/>
      <c r="H81" s="34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</row>
    <row r="82" ht="15.75" customHeight="1">
      <c r="A82" s="30"/>
      <c r="B82" s="30"/>
      <c r="C82" s="30"/>
      <c r="D82" s="115"/>
      <c r="E82" s="30"/>
      <c r="F82" s="115"/>
      <c r="G82" s="34"/>
      <c r="H82" s="34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</row>
    <row r="83" ht="15.75" customHeight="1">
      <c r="A83" s="30"/>
      <c r="B83" s="30"/>
      <c r="C83" s="30"/>
      <c r="D83" s="115"/>
      <c r="E83" s="30"/>
      <c r="F83" s="115"/>
      <c r="G83" s="34"/>
      <c r="H83" s="34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</row>
    <row r="84" ht="15.75" customHeight="1">
      <c r="A84" s="30"/>
      <c r="B84" s="30"/>
      <c r="C84" s="30"/>
      <c r="D84" s="115"/>
      <c r="E84" s="30"/>
      <c r="F84" s="115"/>
      <c r="G84" s="34"/>
      <c r="H84" s="34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</row>
    <row r="85" ht="15.75" customHeight="1">
      <c r="A85" s="30"/>
      <c r="B85" s="30"/>
      <c r="C85" s="30"/>
      <c r="D85" s="115"/>
      <c r="E85" s="30"/>
      <c r="F85" s="115"/>
      <c r="G85" s="34"/>
      <c r="H85" s="34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</row>
    <row r="86" ht="15.75" customHeight="1">
      <c r="A86" s="30"/>
      <c r="B86" s="30"/>
      <c r="C86" s="30"/>
      <c r="D86" s="115"/>
      <c r="E86" s="30"/>
      <c r="F86" s="115"/>
      <c r="G86" s="34"/>
      <c r="H86" s="34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</row>
    <row r="87" ht="15.75" customHeight="1">
      <c r="A87" s="30"/>
      <c r="B87" s="30"/>
      <c r="C87" s="30"/>
      <c r="D87" s="115"/>
      <c r="E87" s="30"/>
      <c r="F87" s="115"/>
      <c r="G87" s="34"/>
      <c r="H87" s="34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</row>
    <row r="88" ht="15.75" customHeight="1">
      <c r="A88" s="30"/>
      <c r="B88" s="30"/>
      <c r="C88" s="30"/>
      <c r="D88" s="115"/>
      <c r="E88" s="30"/>
      <c r="F88" s="115"/>
      <c r="G88" s="34"/>
      <c r="H88" s="34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</row>
    <row r="89" ht="15.75" customHeight="1">
      <c r="A89" s="30"/>
      <c r="B89" s="30"/>
      <c r="C89" s="30"/>
      <c r="D89" s="115"/>
      <c r="E89" s="30"/>
      <c r="F89" s="115"/>
      <c r="G89" s="34"/>
      <c r="H89" s="34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</row>
    <row r="90" ht="15.75" customHeight="1">
      <c r="A90" s="30"/>
      <c r="B90" s="30"/>
      <c r="C90" s="30"/>
      <c r="D90" s="115"/>
      <c r="E90" s="30"/>
      <c r="F90" s="115"/>
      <c r="G90" s="34"/>
      <c r="H90" s="34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</row>
    <row r="91" ht="15.75" customHeight="1">
      <c r="A91" s="30"/>
      <c r="B91" s="30"/>
      <c r="C91" s="30"/>
      <c r="D91" s="115"/>
      <c r="E91" s="30"/>
      <c r="F91" s="115"/>
      <c r="G91" s="34"/>
      <c r="H91" s="34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</row>
    <row r="92" ht="15.75" customHeight="1">
      <c r="A92" s="30"/>
      <c r="B92" s="30"/>
      <c r="C92" s="30"/>
      <c r="D92" s="115"/>
      <c r="E92" s="30"/>
      <c r="F92" s="115"/>
      <c r="G92" s="34"/>
      <c r="H92" s="34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</row>
    <row r="93" ht="15.75" customHeight="1">
      <c r="A93" s="30"/>
      <c r="B93" s="30"/>
      <c r="C93" s="30"/>
      <c r="D93" s="115"/>
      <c r="E93" s="30"/>
      <c r="F93" s="115"/>
      <c r="G93" s="34"/>
      <c r="H93" s="34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</row>
    <row r="94" ht="15.75" customHeight="1">
      <c r="A94" s="30"/>
      <c r="B94" s="30"/>
      <c r="C94" s="30"/>
      <c r="D94" s="115"/>
      <c r="E94" s="30"/>
      <c r="F94" s="115"/>
      <c r="G94" s="34"/>
      <c r="H94" s="34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</row>
    <row r="95" ht="15.75" customHeight="1">
      <c r="A95" s="30"/>
      <c r="B95" s="30"/>
      <c r="C95" s="30"/>
      <c r="D95" s="115"/>
      <c r="E95" s="30"/>
      <c r="F95" s="115"/>
      <c r="G95" s="34"/>
      <c r="H95" s="34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</row>
    <row r="96" ht="15.75" customHeight="1">
      <c r="A96" s="30"/>
      <c r="B96" s="30"/>
      <c r="C96" s="30"/>
      <c r="D96" s="115"/>
      <c r="E96" s="30"/>
      <c r="F96" s="115"/>
      <c r="G96" s="34"/>
      <c r="H96" s="34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</row>
    <row r="97" ht="15.75" customHeight="1">
      <c r="A97" s="30"/>
      <c r="B97" s="30"/>
      <c r="C97" s="30"/>
      <c r="D97" s="115"/>
      <c r="E97" s="30"/>
      <c r="F97" s="115"/>
      <c r="G97" s="34"/>
      <c r="H97" s="34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</row>
    <row r="98" ht="15.75" customHeight="1">
      <c r="A98" s="30"/>
      <c r="B98" s="30"/>
      <c r="C98" s="30"/>
      <c r="D98" s="115"/>
      <c r="E98" s="30"/>
      <c r="F98" s="115"/>
      <c r="G98" s="34"/>
      <c r="H98" s="34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</row>
    <row r="99" ht="15.75" customHeight="1">
      <c r="A99" s="30"/>
      <c r="B99" s="30"/>
      <c r="C99" s="30"/>
      <c r="D99" s="115"/>
      <c r="E99" s="30"/>
      <c r="F99" s="115"/>
      <c r="G99" s="34"/>
      <c r="H99" s="34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</row>
    <row r="100" ht="15.75" customHeight="1">
      <c r="A100" s="30"/>
      <c r="B100" s="30"/>
      <c r="C100" s="30"/>
      <c r="D100" s="115"/>
      <c r="E100" s="30"/>
      <c r="F100" s="115"/>
      <c r="G100" s="34"/>
      <c r="H100" s="34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</row>
    <row r="101" ht="15.75" customHeight="1">
      <c r="A101" s="30"/>
      <c r="B101" s="30"/>
      <c r="C101" s="30"/>
      <c r="D101" s="115"/>
      <c r="E101" s="30"/>
      <c r="F101" s="115"/>
      <c r="G101" s="34"/>
      <c r="H101" s="34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</row>
    <row r="102" ht="15.75" customHeight="1">
      <c r="A102" s="30"/>
      <c r="B102" s="30"/>
      <c r="C102" s="30"/>
      <c r="D102" s="115"/>
      <c r="E102" s="30"/>
      <c r="F102" s="115"/>
      <c r="G102" s="34"/>
      <c r="H102" s="34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</row>
    <row r="103" ht="15.75" customHeight="1">
      <c r="A103" s="30"/>
      <c r="B103" s="30"/>
      <c r="C103" s="30"/>
      <c r="D103" s="115"/>
      <c r="E103" s="30"/>
      <c r="F103" s="115"/>
      <c r="G103" s="34"/>
      <c r="H103" s="34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</row>
    <row r="104" ht="15.75" customHeight="1">
      <c r="A104" s="30"/>
      <c r="B104" s="30"/>
      <c r="C104" s="30"/>
      <c r="D104" s="115"/>
      <c r="E104" s="30"/>
      <c r="F104" s="115"/>
      <c r="G104" s="34"/>
      <c r="H104" s="34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</row>
    <row r="105" ht="15.75" customHeight="1">
      <c r="A105" s="30"/>
      <c r="B105" s="30"/>
      <c r="C105" s="30"/>
      <c r="D105" s="115"/>
      <c r="E105" s="30"/>
      <c r="F105" s="115"/>
      <c r="G105" s="34"/>
      <c r="H105" s="34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</row>
    <row r="106" ht="15.75" customHeight="1">
      <c r="A106" s="30"/>
      <c r="B106" s="30"/>
      <c r="C106" s="30"/>
      <c r="D106" s="115"/>
      <c r="E106" s="30"/>
      <c r="F106" s="115"/>
      <c r="G106" s="34"/>
      <c r="H106" s="34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</row>
    <row r="107" ht="15.75" customHeight="1">
      <c r="A107" s="30"/>
      <c r="B107" s="30"/>
      <c r="C107" s="30"/>
      <c r="D107" s="115"/>
      <c r="E107" s="30"/>
      <c r="F107" s="115"/>
      <c r="G107" s="34"/>
      <c r="H107" s="34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</row>
    <row r="108" ht="15.75" customHeight="1">
      <c r="A108" s="30"/>
      <c r="B108" s="30"/>
      <c r="C108" s="30"/>
      <c r="D108" s="115"/>
      <c r="E108" s="30"/>
      <c r="F108" s="115"/>
      <c r="G108" s="34"/>
      <c r="H108" s="34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</row>
    <row r="109" ht="15.75" customHeight="1">
      <c r="A109" s="30"/>
      <c r="B109" s="30"/>
      <c r="C109" s="30"/>
      <c r="D109" s="115"/>
      <c r="E109" s="30"/>
      <c r="F109" s="115"/>
      <c r="G109" s="34"/>
      <c r="H109" s="34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</row>
    <row r="110" ht="15.75" customHeight="1">
      <c r="A110" s="30"/>
      <c r="B110" s="30"/>
      <c r="C110" s="30"/>
      <c r="D110" s="115"/>
      <c r="E110" s="30"/>
      <c r="F110" s="115"/>
      <c r="G110" s="34"/>
      <c r="H110" s="34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</row>
    <row r="111" ht="15.75" customHeight="1">
      <c r="A111" s="30"/>
      <c r="B111" s="30"/>
      <c r="C111" s="30"/>
      <c r="D111" s="115"/>
      <c r="E111" s="30"/>
      <c r="F111" s="115"/>
      <c r="G111" s="34"/>
      <c r="H111" s="34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</row>
    <row r="112" ht="15.75" customHeight="1">
      <c r="A112" s="30"/>
      <c r="B112" s="30"/>
      <c r="C112" s="30"/>
      <c r="D112" s="115"/>
      <c r="E112" s="30"/>
      <c r="F112" s="115"/>
      <c r="G112" s="34"/>
      <c r="H112" s="34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</row>
    <row r="113" ht="15.75" customHeight="1">
      <c r="A113" s="30"/>
      <c r="B113" s="30"/>
      <c r="C113" s="30"/>
      <c r="D113" s="115"/>
      <c r="E113" s="30"/>
      <c r="F113" s="115"/>
      <c r="G113" s="34"/>
      <c r="H113" s="34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</row>
    <row r="114" ht="15.75" customHeight="1">
      <c r="A114" s="30"/>
      <c r="B114" s="30"/>
      <c r="C114" s="30"/>
      <c r="D114" s="115"/>
      <c r="E114" s="30"/>
      <c r="F114" s="115"/>
      <c r="G114" s="34"/>
      <c r="H114" s="34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</row>
    <row r="115" ht="15.75" customHeight="1">
      <c r="A115" s="30"/>
      <c r="B115" s="30"/>
      <c r="C115" s="30"/>
      <c r="D115" s="115"/>
      <c r="E115" s="30"/>
      <c r="F115" s="115"/>
      <c r="G115" s="34"/>
      <c r="H115" s="34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</row>
    <row r="116" ht="15.75" customHeight="1">
      <c r="A116" s="30"/>
      <c r="B116" s="30"/>
      <c r="C116" s="30"/>
      <c r="D116" s="115"/>
      <c r="E116" s="30"/>
      <c r="F116" s="115"/>
      <c r="G116" s="34"/>
      <c r="H116" s="34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</row>
    <row r="117" ht="15.75" customHeight="1">
      <c r="A117" s="30"/>
      <c r="B117" s="30"/>
      <c r="C117" s="30"/>
      <c r="D117" s="115"/>
      <c r="E117" s="30"/>
      <c r="F117" s="115"/>
      <c r="G117" s="34"/>
      <c r="H117" s="34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</row>
    <row r="118" ht="15.75" customHeight="1">
      <c r="A118" s="30"/>
      <c r="B118" s="30"/>
      <c r="C118" s="30"/>
      <c r="D118" s="115"/>
      <c r="E118" s="30"/>
      <c r="F118" s="115"/>
      <c r="G118" s="34"/>
      <c r="H118" s="34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</row>
    <row r="119" ht="15.75" customHeight="1">
      <c r="A119" s="30"/>
      <c r="B119" s="30"/>
      <c r="C119" s="30"/>
      <c r="D119" s="115"/>
      <c r="E119" s="30"/>
      <c r="F119" s="115"/>
      <c r="G119" s="34"/>
      <c r="H119" s="34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</row>
    <row r="120" ht="15.75" customHeight="1">
      <c r="A120" s="30"/>
      <c r="B120" s="30"/>
      <c r="C120" s="30"/>
      <c r="D120" s="115"/>
      <c r="E120" s="30"/>
      <c r="F120" s="115"/>
      <c r="G120" s="34"/>
      <c r="H120" s="34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</row>
    <row r="121" ht="15.75" customHeight="1">
      <c r="A121" s="30"/>
      <c r="B121" s="30"/>
      <c r="C121" s="30"/>
      <c r="D121" s="115"/>
      <c r="E121" s="30"/>
      <c r="F121" s="115"/>
      <c r="G121" s="34"/>
      <c r="H121" s="34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</row>
    <row r="122" ht="15.75" customHeight="1">
      <c r="A122" s="30"/>
      <c r="B122" s="30"/>
      <c r="C122" s="30"/>
      <c r="D122" s="115"/>
      <c r="E122" s="30"/>
      <c r="F122" s="115"/>
      <c r="G122" s="34"/>
      <c r="H122" s="34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</row>
    <row r="123" ht="15.75" customHeight="1">
      <c r="A123" s="30"/>
      <c r="B123" s="30"/>
      <c r="C123" s="30"/>
      <c r="D123" s="115"/>
      <c r="E123" s="30"/>
      <c r="F123" s="115"/>
      <c r="G123" s="34"/>
      <c r="H123" s="34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</row>
    <row r="124" ht="15.75" customHeight="1">
      <c r="A124" s="30"/>
      <c r="B124" s="30"/>
      <c r="C124" s="30"/>
      <c r="D124" s="115"/>
      <c r="E124" s="30"/>
      <c r="F124" s="115"/>
      <c r="G124" s="34"/>
      <c r="H124" s="34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</row>
    <row r="125" ht="15.75" customHeight="1">
      <c r="A125" s="30"/>
      <c r="B125" s="30"/>
      <c r="C125" s="30"/>
      <c r="D125" s="115"/>
      <c r="E125" s="30"/>
      <c r="F125" s="115"/>
      <c r="G125" s="34"/>
      <c r="H125" s="34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</row>
    <row r="126" ht="15.75" customHeight="1">
      <c r="A126" s="30"/>
      <c r="B126" s="30"/>
      <c r="C126" s="30"/>
      <c r="D126" s="115"/>
      <c r="E126" s="30"/>
      <c r="F126" s="115"/>
      <c r="G126" s="34"/>
      <c r="H126" s="34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</row>
    <row r="127" ht="15.75" customHeight="1">
      <c r="A127" s="30"/>
      <c r="B127" s="30"/>
      <c r="C127" s="30"/>
      <c r="D127" s="115"/>
      <c r="E127" s="30"/>
      <c r="F127" s="115"/>
      <c r="G127" s="34"/>
      <c r="H127" s="34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</row>
    <row r="128" ht="15.75" customHeight="1">
      <c r="A128" s="30"/>
      <c r="B128" s="30"/>
      <c r="C128" s="30"/>
      <c r="D128" s="115"/>
      <c r="E128" s="30"/>
      <c r="F128" s="115"/>
      <c r="G128" s="34"/>
      <c r="H128" s="34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</row>
    <row r="129" ht="15.75" customHeight="1">
      <c r="A129" s="30"/>
      <c r="B129" s="30"/>
      <c r="C129" s="30"/>
      <c r="D129" s="115"/>
      <c r="E129" s="30"/>
      <c r="F129" s="115"/>
      <c r="G129" s="34"/>
      <c r="H129" s="34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</row>
    <row r="130" ht="15.75" customHeight="1">
      <c r="A130" s="30"/>
      <c r="B130" s="30"/>
      <c r="C130" s="30"/>
      <c r="D130" s="115"/>
      <c r="E130" s="30"/>
      <c r="F130" s="115"/>
      <c r="G130" s="34"/>
      <c r="H130" s="34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</row>
    <row r="131" ht="15.75" customHeight="1">
      <c r="A131" s="30"/>
      <c r="B131" s="30"/>
      <c r="C131" s="30"/>
      <c r="D131" s="115"/>
      <c r="E131" s="30"/>
      <c r="F131" s="115"/>
      <c r="G131" s="34"/>
      <c r="H131" s="34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</row>
    <row r="132" ht="15.75" customHeight="1">
      <c r="A132" s="30"/>
      <c r="B132" s="30"/>
      <c r="C132" s="30"/>
      <c r="D132" s="115"/>
      <c r="E132" s="30"/>
      <c r="F132" s="115"/>
      <c r="G132" s="34"/>
      <c r="H132" s="34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</row>
    <row r="133" ht="15.75" customHeight="1">
      <c r="A133" s="30"/>
      <c r="B133" s="30"/>
      <c r="C133" s="30"/>
      <c r="D133" s="115"/>
      <c r="E133" s="30"/>
      <c r="F133" s="115"/>
      <c r="G133" s="34"/>
      <c r="H133" s="34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</row>
    <row r="134" ht="15.75" customHeight="1">
      <c r="A134" s="30"/>
      <c r="B134" s="30"/>
      <c r="C134" s="30"/>
      <c r="D134" s="115"/>
      <c r="E134" s="30"/>
      <c r="F134" s="115"/>
      <c r="G134" s="34"/>
      <c r="H134" s="34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</row>
    <row r="135" ht="15.75" customHeight="1">
      <c r="A135" s="30"/>
      <c r="B135" s="30"/>
      <c r="C135" s="30"/>
      <c r="D135" s="115"/>
      <c r="E135" s="30"/>
      <c r="F135" s="115"/>
      <c r="G135" s="34"/>
      <c r="H135" s="34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</row>
    <row r="136" ht="15.75" customHeight="1">
      <c r="A136" s="30"/>
      <c r="B136" s="30"/>
      <c r="C136" s="30"/>
      <c r="D136" s="115"/>
      <c r="E136" s="30"/>
      <c r="F136" s="115"/>
      <c r="G136" s="34"/>
      <c r="H136" s="34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</row>
    <row r="137" ht="15.75" customHeight="1">
      <c r="A137" s="30"/>
      <c r="B137" s="30"/>
      <c r="C137" s="30"/>
      <c r="D137" s="115"/>
      <c r="E137" s="30"/>
      <c r="F137" s="115"/>
      <c r="G137" s="34"/>
      <c r="H137" s="34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</row>
    <row r="138" ht="15.75" customHeight="1">
      <c r="A138" s="30"/>
      <c r="B138" s="30"/>
      <c r="C138" s="30"/>
      <c r="D138" s="115"/>
      <c r="E138" s="30"/>
      <c r="F138" s="115"/>
      <c r="G138" s="34"/>
      <c r="H138" s="34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</row>
    <row r="139" ht="15.75" customHeight="1">
      <c r="A139" s="30"/>
      <c r="B139" s="30"/>
      <c r="C139" s="30"/>
      <c r="D139" s="115"/>
      <c r="E139" s="30"/>
      <c r="F139" s="115"/>
      <c r="G139" s="34"/>
      <c r="H139" s="34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</row>
    <row r="140" ht="15.75" customHeight="1">
      <c r="A140" s="30"/>
      <c r="B140" s="30"/>
      <c r="C140" s="30"/>
      <c r="D140" s="115"/>
      <c r="E140" s="30"/>
      <c r="F140" s="115"/>
      <c r="G140" s="34"/>
      <c r="H140" s="34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</row>
    <row r="141" ht="15.75" customHeight="1">
      <c r="A141" s="30"/>
      <c r="B141" s="30"/>
      <c r="C141" s="30"/>
      <c r="D141" s="115"/>
      <c r="E141" s="30"/>
      <c r="F141" s="115"/>
      <c r="G141" s="34"/>
      <c r="H141" s="34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</row>
    <row r="142" ht="15.75" customHeight="1">
      <c r="A142" s="30"/>
      <c r="B142" s="30"/>
      <c r="C142" s="30"/>
      <c r="D142" s="115"/>
      <c r="E142" s="30"/>
      <c r="F142" s="115"/>
      <c r="G142" s="34"/>
      <c r="H142" s="34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</row>
    <row r="143" ht="15.75" customHeight="1">
      <c r="A143" s="30"/>
      <c r="B143" s="30"/>
      <c r="C143" s="30"/>
      <c r="D143" s="115"/>
      <c r="E143" s="30"/>
      <c r="F143" s="115"/>
      <c r="G143" s="34"/>
      <c r="H143" s="34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</row>
    <row r="144" ht="15.75" customHeight="1">
      <c r="A144" s="30"/>
      <c r="B144" s="30"/>
      <c r="C144" s="30"/>
      <c r="D144" s="115"/>
      <c r="E144" s="30"/>
      <c r="F144" s="115"/>
      <c r="G144" s="34"/>
      <c r="H144" s="34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</row>
    <row r="145" ht="15.75" customHeight="1">
      <c r="A145" s="30"/>
      <c r="B145" s="30"/>
      <c r="C145" s="30"/>
      <c r="D145" s="115"/>
      <c r="E145" s="30"/>
      <c r="F145" s="115"/>
      <c r="G145" s="34"/>
      <c r="H145" s="34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</row>
    <row r="146" ht="15.75" customHeight="1">
      <c r="A146" s="30"/>
      <c r="B146" s="30"/>
      <c r="C146" s="30"/>
      <c r="D146" s="115"/>
      <c r="E146" s="30"/>
      <c r="F146" s="115"/>
      <c r="G146" s="34"/>
      <c r="H146" s="34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</row>
    <row r="147" ht="15.75" customHeight="1">
      <c r="A147" s="30"/>
      <c r="B147" s="30"/>
      <c r="C147" s="30"/>
      <c r="D147" s="115"/>
      <c r="E147" s="30"/>
      <c r="F147" s="115"/>
      <c r="G147" s="34"/>
      <c r="H147" s="34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</row>
    <row r="148" ht="15.75" customHeight="1">
      <c r="A148" s="30"/>
      <c r="B148" s="30"/>
      <c r="C148" s="30"/>
      <c r="D148" s="115"/>
      <c r="E148" s="30"/>
      <c r="F148" s="115"/>
      <c r="G148" s="34"/>
      <c r="H148" s="34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</row>
    <row r="149" ht="15.75" customHeight="1">
      <c r="A149" s="30"/>
      <c r="B149" s="30"/>
      <c r="C149" s="30"/>
      <c r="D149" s="115"/>
      <c r="E149" s="30"/>
      <c r="F149" s="115"/>
      <c r="G149" s="34"/>
      <c r="H149" s="34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</row>
    <row r="150" ht="15.75" customHeight="1">
      <c r="A150" s="30"/>
      <c r="B150" s="30"/>
      <c r="C150" s="30"/>
      <c r="D150" s="115"/>
      <c r="E150" s="30"/>
      <c r="F150" s="115"/>
      <c r="G150" s="34"/>
      <c r="H150" s="34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</row>
    <row r="151" ht="15.75" customHeight="1">
      <c r="A151" s="30"/>
      <c r="B151" s="30"/>
      <c r="C151" s="30"/>
      <c r="D151" s="115"/>
      <c r="E151" s="30"/>
      <c r="F151" s="115"/>
      <c r="G151" s="34"/>
      <c r="H151" s="34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</row>
    <row r="152" ht="15.75" customHeight="1">
      <c r="A152" s="30"/>
      <c r="B152" s="30"/>
      <c r="C152" s="30"/>
      <c r="D152" s="115"/>
      <c r="E152" s="30"/>
      <c r="F152" s="115"/>
      <c r="G152" s="34"/>
      <c r="H152" s="34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</row>
    <row r="153" ht="15.75" customHeight="1">
      <c r="A153" s="30"/>
      <c r="B153" s="30"/>
      <c r="C153" s="30"/>
      <c r="D153" s="115"/>
      <c r="E153" s="30"/>
      <c r="F153" s="115"/>
      <c r="G153" s="34"/>
      <c r="H153" s="34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</row>
    <row r="154" ht="15.75" customHeight="1">
      <c r="A154" s="30"/>
      <c r="B154" s="30"/>
      <c r="C154" s="30"/>
      <c r="D154" s="115"/>
      <c r="E154" s="30"/>
      <c r="F154" s="115"/>
      <c r="G154" s="34"/>
      <c r="H154" s="34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</row>
    <row r="155" ht="15.75" customHeight="1">
      <c r="A155" s="30"/>
      <c r="B155" s="30"/>
      <c r="C155" s="30"/>
      <c r="D155" s="115"/>
      <c r="E155" s="30"/>
      <c r="F155" s="115"/>
      <c r="G155" s="34"/>
      <c r="H155" s="34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</row>
    <row r="156" ht="15.75" customHeight="1">
      <c r="A156" s="30"/>
      <c r="D156" s="68"/>
      <c r="F156" s="68"/>
      <c r="G156" s="83"/>
      <c r="H156" s="83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</row>
    <row r="157" ht="15.75" customHeight="1">
      <c r="A157" s="30"/>
      <c r="D157" s="68"/>
      <c r="F157" s="68"/>
      <c r="G157" s="83"/>
      <c r="H157" s="83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</row>
    <row r="158" ht="15.75" customHeight="1">
      <c r="A158" s="30"/>
      <c r="D158" s="68"/>
      <c r="F158" s="68"/>
      <c r="G158" s="83"/>
      <c r="H158" s="83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</row>
    <row r="159" ht="15.75" customHeight="1">
      <c r="A159" s="30"/>
      <c r="D159" s="68"/>
      <c r="F159" s="68"/>
      <c r="G159" s="83"/>
      <c r="H159" s="83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</row>
    <row r="160" ht="15.75" customHeight="1">
      <c r="A160" s="30"/>
      <c r="D160" s="68"/>
      <c r="F160" s="68"/>
      <c r="G160" s="83"/>
      <c r="H160" s="83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</row>
    <row r="161" ht="15.75" customHeight="1">
      <c r="A161" s="30"/>
      <c r="D161" s="68"/>
      <c r="F161" s="68"/>
      <c r="G161" s="83"/>
      <c r="H161" s="83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</row>
    <row r="162" ht="15.75" customHeight="1">
      <c r="A162" s="30"/>
      <c r="D162" s="68"/>
      <c r="F162" s="68"/>
      <c r="G162" s="83"/>
      <c r="H162" s="83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</row>
    <row r="163" ht="15.75" customHeight="1">
      <c r="A163" s="30"/>
      <c r="D163" s="68"/>
      <c r="F163" s="68"/>
      <c r="G163" s="83"/>
      <c r="H163" s="83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</row>
    <row r="164" ht="15.75" customHeight="1">
      <c r="A164" s="30"/>
      <c r="D164" s="68"/>
      <c r="F164" s="68"/>
      <c r="G164" s="83"/>
      <c r="H164" s="83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</row>
    <row r="165" ht="15.75" customHeight="1">
      <c r="A165" s="30"/>
      <c r="D165" s="68"/>
      <c r="F165" s="68"/>
      <c r="G165" s="83"/>
      <c r="H165" s="83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</row>
    <row r="166" ht="15.75" customHeight="1">
      <c r="A166" s="30"/>
      <c r="D166" s="68"/>
      <c r="F166" s="68"/>
      <c r="G166" s="83"/>
      <c r="H166" s="83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</row>
    <row r="167" ht="15.75" customHeight="1">
      <c r="A167" s="30"/>
      <c r="D167" s="68"/>
      <c r="F167" s="68"/>
      <c r="G167" s="83"/>
      <c r="H167" s="83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</row>
    <row r="168" ht="15.75" customHeight="1">
      <c r="A168" s="30"/>
      <c r="D168" s="68"/>
      <c r="F168" s="68"/>
      <c r="G168" s="83"/>
      <c r="H168" s="83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</row>
    <row r="169" ht="15.75" customHeight="1">
      <c r="A169" s="30"/>
      <c r="D169" s="68"/>
      <c r="F169" s="68"/>
      <c r="G169" s="83"/>
      <c r="H169" s="83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</row>
    <row r="170" ht="15.75" customHeight="1">
      <c r="A170" s="30"/>
      <c r="D170" s="68"/>
      <c r="F170" s="68"/>
      <c r="G170" s="83"/>
      <c r="H170" s="83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</row>
    <row r="171" ht="15.75" customHeight="1">
      <c r="A171" s="30"/>
      <c r="D171" s="68"/>
      <c r="F171" s="68"/>
      <c r="G171" s="83"/>
      <c r="H171" s="83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</row>
    <row r="172" ht="15.75" customHeight="1">
      <c r="A172" s="30"/>
      <c r="D172" s="68"/>
      <c r="F172" s="68"/>
      <c r="G172" s="83"/>
      <c r="H172" s="83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</row>
    <row r="173" ht="15.75" customHeight="1">
      <c r="A173" s="30"/>
      <c r="D173" s="68"/>
      <c r="F173" s="68"/>
      <c r="G173" s="83"/>
      <c r="H173" s="83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</row>
    <row r="174" ht="15.75" customHeight="1">
      <c r="A174" s="30"/>
      <c r="D174" s="68"/>
      <c r="F174" s="68"/>
      <c r="G174" s="83"/>
      <c r="H174" s="83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</row>
    <row r="175" ht="15.75" customHeight="1">
      <c r="A175" s="30"/>
      <c r="D175" s="68"/>
      <c r="F175" s="68"/>
      <c r="G175" s="83"/>
      <c r="H175" s="83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</row>
    <row r="176" ht="15.75" customHeight="1">
      <c r="A176" s="30"/>
      <c r="D176" s="68"/>
      <c r="F176" s="68"/>
      <c r="G176" s="83"/>
      <c r="H176" s="83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</row>
    <row r="177" ht="15.75" customHeight="1">
      <c r="A177" s="30"/>
      <c r="D177" s="68"/>
      <c r="F177" s="68"/>
      <c r="G177" s="83"/>
      <c r="H177" s="83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</row>
    <row r="178" ht="15.75" customHeight="1">
      <c r="A178" s="30"/>
      <c r="D178" s="68"/>
      <c r="F178" s="68"/>
      <c r="G178" s="83"/>
      <c r="H178" s="83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</row>
    <row r="179" ht="15.75" customHeight="1">
      <c r="A179" s="30"/>
      <c r="D179" s="68"/>
      <c r="F179" s="68"/>
      <c r="G179" s="83"/>
      <c r="H179" s="83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</row>
    <row r="180" ht="15.75" customHeight="1">
      <c r="A180" s="30"/>
      <c r="D180" s="68"/>
      <c r="F180" s="68"/>
      <c r="G180" s="83"/>
      <c r="H180" s="83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</row>
    <row r="181" ht="15.75" customHeight="1">
      <c r="A181" s="30"/>
      <c r="D181" s="68"/>
      <c r="F181" s="68"/>
      <c r="G181" s="83"/>
      <c r="H181" s="83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</row>
    <row r="182" ht="15.75" customHeight="1">
      <c r="A182" s="30"/>
      <c r="D182" s="68"/>
      <c r="F182" s="68"/>
      <c r="G182" s="83"/>
      <c r="H182" s="83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</row>
    <row r="183" ht="15.75" customHeight="1">
      <c r="A183" s="30"/>
      <c r="D183" s="68"/>
      <c r="F183" s="68"/>
      <c r="G183" s="83"/>
      <c r="H183" s="83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</row>
    <row r="184" ht="15.75" customHeight="1">
      <c r="A184" s="30"/>
      <c r="D184" s="68"/>
      <c r="F184" s="68"/>
      <c r="G184" s="83"/>
      <c r="H184" s="83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</row>
    <row r="185" ht="15.75" customHeight="1">
      <c r="A185" s="30"/>
      <c r="D185" s="68"/>
      <c r="F185" s="68"/>
      <c r="G185" s="83"/>
      <c r="H185" s="83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</row>
    <row r="186" ht="15.75" customHeight="1">
      <c r="A186" s="30"/>
      <c r="D186" s="68"/>
      <c r="F186" s="68"/>
      <c r="G186" s="83"/>
      <c r="H186" s="83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</row>
    <row r="187" ht="15.75" customHeight="1">
      <c r="A187" s="30"/>
      <c r="D187" s="68"/>
      <c r="F187" s="68"/>
      <c r="G187" s="83"/>
      <c r="H187" s="83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</row>
    <row r="188" ht="15.75" customHeight="1">
      <c r="A188" s="30"/>
      <c r="D188" s="68"/>
      <c r="F188" s="68"/>
      <c r="G188" s="83"/>
      <c r="H188" s="83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</row>
    <row r="189" ht="15.75" customHeight="1">
      <c r="A189" s="30"/>
      <c r="D189" s="68"/>
      <c r="F189" s="68"/>
      <c r="G189" s="83"/>
      <c r="H189" s="83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</row>
    <row r="190" ht="15.75" customHeight="1">
      <c r="A190" s="30"/>
      <c r="D190" s="68"/>
      <c r="F190" s="68"/>
      <c r="G190" s="83"/>
      <c r="H190" s="83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</row>
    <row r="191" ht="15.75" customHeight="1">
      <c r="A191" s="30"/>
      <c r="D191" s="68"/>
      <c r="F191" s="68"/>
      <c r="G191" s="83"/>
      <c r="H191" s="83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</row>
    <row r="192" ht="15.75" customHeight="1">
      <c r="A192" s="30"/>
      <c r="D192" s="68"/>
      <c r="F192" s="68"/>
      <c r="G192" s="83"/>
      <c r="H192" s="83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</row>
    <row r="193" ht="15.75" customHeight="1">
      <c r="A193" s="30"/>
      <c r="D193" s="68"/>
      <c r="F193" s="68"/>
      <c r="G193" s="83"/>
      <c r="H193" s="83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</row>
    <row r="194" ht="15.75" customHeight="1">
      <c r="A194" s="30"/>
      <c r="D194" s="68"/>
      <c r="F194" s="68"/>
      <c r="G194" s="83"/>
      <c r="H194" s="83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</row>
    <row r="195" ht="15.75" customHeight="1">
      <c r="A195" s="30"/>
      <c r="D195" s="68"/>
      <c r="F195" s="68"/>
      <c r="G195" s="83"/>
      <c r="H195" s="83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</row>
    <row r="196" ht="15.75" customHeight="1">
      <c r="A196" s="30"/>
      <c r="D196" s="68"/>
      <c r="F196" s="68"/>
      <c r="G196" s="83"/>
      <c r="H196" s="83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</row>
    <row r="197" ht="15.75" customHeight="1">
      <c r="A197" s="30"/>
      <c r="D197" s="68"/>
      <c r="F197" s="68"/>
      <c r="G197" s="83"/>
      <c r="H197" s="83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</row>
    <row r="198" ht="15.75" customHeight="1">
      <c r="A198" s="30"/>
      <c r="D198" s="68"/>
      <c r="F198" s="68"/>
      <c r="G198" s="83"/>
      <c r="H198" s="83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</row>
    <row r="199" ht="15.75" customHeight="1">
      <c r="A199" s="30"/>
      <c r="D199" s="68"/>
      <c r="F199" s="68"/>
      <c r="G199" s="83"/>
      <c r="H199" s="83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</row>
    <row r="200" ht="15.75" customHeight="1">
      <c r="A200" s="30"/>
      <c r="D200" s="68"/>
      <c r="F200" s="68"/>
      <c r="G200" s="83"/>
      <c r="H200" s="83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</row>
    <row r="201" ht="15.75" customHeight="1">
      <c r="A201" s="30"/>
      <c r="D201" s="68"/>
      <c r="F201" s="68"/>
      <c r="G201" s="83"/>
      <c r="H201" s="83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</row>
    <row r="202" ht="15.75" customHeight="1">
      <c r="A202" s="30"/>
      <c r="D202" s="68"/>
      <c r="F202" s="68"/>
      <c r="G202" s="83"/>
      <c r="H202" s="83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</row>
    <row r="203" ht="15.75" customHeight="1">
      <c r="A203" s="30"/>
      <c r="D203" s="68"/>
      <c r="F203" s="68"/>
      <c r="G203" s="83"/>
      <c r="H203" s="83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</row>
    <row r="204" ht="15.75" customHeight="1">
      <c r="A204" s="30"/>
      <c r="D204" s="68"/>
      <c r="F204" s="68"/>
      <c r="G204" s="83"/>
      <c r="H204" s="83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</row>
    <row r="205" ht="15.75" customHeight="1">
      <c r="A205" s="30"/>
      <c r="D205" s="68"/>
      <c r="F205" s="68"/>
      <c r="G205" s="83"/>
      <c r="H205" s="83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</row>
    <row r="206" ht="15.75" customHeight="1">
      <c r="A206" s="30"/>
      <c r="D206" s="68"/>
      <c r="F206" s="68"/>
      <c r="G206" s="83"/>
      <c r="H206" s="83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</row>
    <row r="207" ht="15.75" customHeight="1">
      <c r="A207" s="30"/>
      <c r="D207" s="68"/>
      <c r="F207" s="68"/>
      <c r="G207" s="83"/>
      <c r="H207" s="83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</row>
    <row r="208" ht="15.75" customHeight="1">
      <c r="A208" s="30"/>
      <c r="D208" s="68"/>
      <c r="F208" s="68"/>
      <c r="G208" s="83"/>
      <c r="H208" s="83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</row>
    <row r="209" ht="15.75" customHeight="1">
      <c r="A209" s="30"/>
      <c r="D209" s="68"/>
      <c r="F209" s="68"/>
      <c r="G209" s="83"/>
      <c r="H209" s="83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</row>
    <row r="210" ht="15.75" customHeight="1">
      <c r="A210" s="30"/>
      <c r="D210" s="68"/>
      <c r="F210" s="68"/>
      <c r="G210" s="83"/>
      <c r="H210" s="83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</row>
    <row r="211" ht="15.75" customHeight="1">
      <c r="A211" s="30"/>
      <c r="D211" s="68"/>
      <c r="F211" s="68"/>
      <c r="G211" s="83"/>
      <c r="H211" s="83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</row>
    <row r="212" ht="15.75" customHeight="1">
      <c r="A212" s="30"/>
      <c r="D212" s="68"/>
      <c r="F212" s="68"/>
      <c r="G212" s="83"/>
      <c r="H212" s="83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</row>
    <row r="213" ht="15.75" customHeight="1">
      <c r="A213" s="30"/>
      <c r="D213" s="68"/>
      <c r="F213" s="68"/>
      <c r="G213" s="83"/>
      <c r="H213" s="83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</row>
    <row r="214" ht="15.75" customHeight="1">
      <c r="A214" s="30"/>
      <c r="D214" s="68"/>
      <c r="F214" s="68"/>
      <c r="G214" s="83"/>
      <c r="H214" s="83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</row>
    <row r="215" ht="15.75" customHeight="1">
      <c r="A215" s="30"/>
      <c r="D215" s="68"/>
      <c r="F215" s="68"/>
      <c r="G215" s="83"/>
      <c r="H215" s="83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</row>
    <row r="216" ht="15.75" customHeight="1">
      <c r="A216" s="30"/>
      <c r="D216" s="68"/>
      <c r="F216" s="68"/>
      <c r="G216" s="83"/>
      <c r="H216" s="83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</row>
    <row r="217" ht="15.75" customHeight="1">
      <c r="A217" s="30"/>
      <c r="D217" s="68"/>
      <c r="F217" s="68"/>
      <c r="G217" s="83"/>
      <c r="H217" s="83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</row>
    <row r="218" ht="15.75" customHeight="1">
      <c r="A218" s="30"/>
      <c r="D218" s="68"/>
      <c r="F218" s="68"/>
      <c r="G218" s="83"/>
      <c r="H218" s="83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</row>
    <row r="219" ht="15.75" customHeight="1">
      <c r="A219" s="30"/>
      <c r="D219" s="68"/>
      <c r="F219" s="68"/>
      <c r="G219" s="83"/>
      <c r="H219" s="83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</row>
    <row r="220" ht="15.75" customHeight="1">
      <c r="A220" s="30"/>
      <c r="D220" s="68"/>
      <c r="F220" s="68"/>
      <c r="G220" s="83"/>
      <c r="H220" s="83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</row>
    <row r="221" ht="15.75" customHeight="1">
      <c r="A221" s="30"/>
      <c r="D221" s="68"/>
      <c r="F221" s="68"/>
      <c r="G221" s="83"/>
      <c r="H221" s="83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</row>
    <row r="222" ht="15.75" customHeight="1">
      <c r="A222" s="30"/>
      <c r="D222" s="68"/>
      <c r="F222" s="68"/>
      <c r="G222" s="83"/>
      <c r="H222" s="83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</row>
    <row r="223" ht="15.75" customHeight="1">
      <c r="A223" s="30"/>
      <c r="D223" s="68"/>
      <c r="F223" s="68"/>
      <c r="G223" s="83"/>
      <c r="H223" s="83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</row>
    <row r="224" ht="15.75" customHeight="1">
      <c r="A224" s="30"/>
      <c r="D224" s="68"/>
      <c r="F224" s="68"/>
      <c r="G224" s="83"/>
      <c r="H224" s="83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</row>
    <row r="225" ht="15.75" customHeight="1">
      <c r="A225" s="30"/>
      <c r="D225" s="68"/>
      <c r="F225" s="68"/>
      <c r="G225" s="83"/>
      <c r="H225" s="83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</row>
    <row r="226" ht="15.75" customHeight="1">
      <c r="A226" s="30"/>
      <c r="D226" s="68"/>
      <c r="F226" s="68"/>
      <c r="G226" s="83"/>
      <c r="H226" s="83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</row>
    <row r="227" ht="15.75" customHeight="1">
      <c r="A227" s="30"/>
      <c r="D227" s="68"/>
      <c r="F227" s="68"/>
      <c r="G227" s="83"/>
      <c r="H227" s="83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</row>
    <row r="228" ht="15.75" customHeight="1">
      <c r="A228" s="30"/>
      <c r="D228" s="68"/>
      <c r="F228" s="68"/>
      <c r="G228" s="83"/>
      <c r="H228" s="83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</row>
    <row r="229" ht="15.75" customHeight="1">
      <c r="A229" s="30"/>
      <c r="D229" s="68"/>
      <c r="F229" s="68"/>
      <c r="G229" s="83"/>
      <c r="H229" s="83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</row>
    <row r="230" ht="15.75" customHeight="1">
      <c r="A230" s="30"/>
      <c r="D230" s="68"/>
      <c r="F230" s="68"/>
      <c r="G230" s="83"/>
      <c r="H230" s="83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</row>
    <row r="231" ht="15.75" customHeight="1">
      <c r="A231" s="30"/>
      <c r="D231" s="68"/>
      <c r="F231" s="68"/>
      <c r="G231" s="83"/>
      <c r="H231" s="83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</row>
    <row r="232" ht="15.75" customHeight="1">
      <c r="A232" s="30"/>
      <c r="D232" s="68"/>
      <c r="F232" s="68"/>
      <c r="G232" s="83"/>
      <c r="H232" s="83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</row>
    <row r="233" ht="15.75" customHeight="1">
      <c r="A233" s="30"/>
      <c r="D233" s="68"/>
      <c r="F233" s="68"/>
      <c r="G233" s="83"/>
      <c r="H233" s="83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</row>
    <row r="234" ht="15.75" customHeight="1">
      <c r="A234" s="30"/>
      <c r="D234" s="68"/>
      <c r="F234" s="68"/>
      <c r="G234" s="83"/>
      <c r="H234" s="83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4:D4"/>
    <mergeCell ref="C5:D5"/>
    <mergeCell ref="F5:H5"/>
    <mergeCell ref="C7:D7"/>
    <mergeCell ref="F7:G7"/>
    <mergeCell ref="C14:F14"/>
  </mergeCells>
  <conditionalFormatting sqref="E5">
    <cfRule type="cellIs" dxfId="4" priority="1" operator="greaterThanOrEqual">
      <formula>0.8</formula>
    </cfRule>
  </conditionalFormatting>
  <conditionalFormatting sqref="E5">
    <cfRule type="cellIs" dxfId="5" priority="2" operator="lessThan">
      <formula>0.5</formula>
    </cfRule>
  </conditionalFormatting>
  <conditionalFormatting sqref="E5">
    <cfRule type="cellIs" dxfId="6" priority="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scale="7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3.0"/>
    <col customWidth="1" min="3" max="3" width="9.14"/>
    <col customWidth="1" min="4" max="4" width="69.14"/>
    <col customWidth="1" min="5" max="5" width="12.14"/>
    <col customWidth="1" min="6" max="6" width="15.43"/>
    <col customWidth="1" min="7" max="8" width="12.71"/>
    <col customWidth="1" min="9" max="9" width="11.14"/>
    <col customWidth="1" min="10" max="11" width="14.0"/>
    <col customWidth="1" min="12" max="12" width="11.14"/>
    <col customWidth="1" min="13" max="13" width="1.29"/>
    <col customWidth="1" min="14" max="15" width="10.29"/>
    <col customWidth="1" min="16" max="23" width="8.71"/>
  </cols>
  <sheetData>
    <row r="1" ht="18.0" customHeight="1">
      <c r="A1" s="34"/>
      <c r="B1" s="34"/>
      <c r="C1" s="126"/>
      <c r="D1" s="126"/>
      <c r="E1" s="126"/>
      <c r="F1" s="126"/>
      <c r="G1" s="126"/>
      <c r="H1" s="236"/>
      <c r="I1" s="126"/>
      <c r="J1" s="126"/>
      <c r="K1" s="126"/>
      <c r="L1" s="126"/>
      <c r="M1" s="34"/>
      <c r="N1" s="237"/>
      <c r="O1" s="237"/>
      <c r="P1" s="34"/>
      <c r="Q1" s="34"/>
      <c r="R1" s="34"/>
      <c r="S1" s="34"/>
      <c r="T1" s="34"/>
      <c r="U1" s="34"/>
      <c r="V1" s="34"/>
      <c r="W1" s="34"/>
      <c r="X1" s="30"/>
      <c r="Y1" s="30"/>
      <c r="Z1" s="30"/>
    </row>
    <row r="2" ht="14.25" customHeight="1">
      <c r="A2" s="34"/>
      <c r="B2" s="238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34"/>
      <c r="Q2" s="34"/>
      <c r="R2" s="34"/>
      <c r="S2" s="34"/>
      <c r="T2" s="34"/>
      <c r="U2" s="34"/>
      <c r="V2" s="34"/>
      <c r="W2" s="34"/>
      <c r="X2" s="30"/>
      <c r="Y2" s="30"/>
      <c r="Z2" s="30"/>
    </row>
    <row r="3" ht="19.5" customHeight="1">
      <c r="A3" s="34"/>
      <c r="B3" s="12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34"/>
      <c r="Q3" s="34"/>
      <c r="R3" s="34"/>
      <c r="S3" s="34"/>
      <c r="T3" s="34"/>
      <c r="U3" s="34"/>
      <c r="V3" s="34"/>
      <c r="W3" s="34"/>
      <c r="X3" s="30"/>
      <c r="Y3" s="30"/>
      <c r="Z3" s="30"/>
    </row>
    <row r="4" ht="96.0" customHeight="1">
      <c r="A4" s="34"/>
      <c r="B4" s="34"/>
      <c r="C4" s="126"/>
      <c r="D4" s="126"/>
      <c r="E4" s="126"/>
      <c r="F4" s="126"/>
      <c r="G4" s="126"/>
      <c r="H4" s="236"/>
      <c r="I4" s="126"/>
      <c r="J4" s="126"/>
      <c r="K4" s="126"/>
      <c r="L4" s="126"/>
      <c r="M4" s="34"/>
      <c r="N4" s="237"/>
      <c r="O4" s="237"/>
      <c r="P4" s="34"/>
      <c r="Q4" s="34"/>
      <c r="R4" s="34"/>
      <c r="S4" s="34"/>
      <c r="T4" s="34"/>
      <c r="U4" s="34"/>
      <c r="V4" s="34"/>
      <c r="W4" s="34"/>
      <c r="X4" s="30"/>
      <c r="Y4" s="30"/>
      <c r="Z4" s="30"/>
    </row>
    <row r="5" ht="14.25" customHeight="1">
      <c r="A5" s="34"/>
      <c r="B5" s="239" t="s">
        <v>204</v>
      </c>
      <c r="C5" s="240"/>
      <c r="D5" s="241">
        <v>44734.0</v>
      </c>
      <c r="E5" s="239"/>
      <c r="F5" s="240"/>
      <c r="G5" s="242" t="s">
        <v>205</v>
      </c>
      <c r="H5" s="243"/>
      <c r="I5" s="240"/>
      <c r="J5" s="242" t="s">
        <v>206</v>
      </c>
      <c r="K5" s="243"/>
      <c r="L5" s="240"/>
      <c r="M5" s="242"/>
      <c r="N5" s="243"/>
      <c r="O5" s="24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6.0" customHeight="1">
      <c r="A6" s="34"/>
      <c r="B6" s="30"/>
      <c r="C6" s="96"/>
      <c r="D6" s="96"/>
      <c r="E6" s="96"/>
      <c r="F6" s="96"/>
      <c r="G6" s="96"/>
      <c r="H6" s="244"/>
      <c r="I6" s="96"/>
      <c r="J6" s="96"/>
      <c r="K6" s="96"/>
      <c r="L6" s="96"/>
      <c r="M6" s="30"/>
      <c r="N6" s="245"/>
      <c r="O6" s="245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34"/>
      <c r="B7" s="145" t="s">
        <v>122</v>
      </c>
      <c r="C7" s="246" t="s">
        <v>123</v>
      </c>
      <c r="D7" s="247" t="s">
        <v>124</v>
      </c>
      <c r="E7" s="247" t="s">
        <v>207</v>
      </c>
      <c r="F7" s="247" t="s">
        <v>208</v>
      </c>
      <c r="G7" s="248" t="s">
        <v>138</v>
      </c>
      <c r="H7" s="249" t="s">
        <v>137</v>
      </c>
      <c r="I7" s="248" t="s">
        <v>209</v>
      </c>
      <c r="J7" s="248" t="s">
        <v>138</v>
      </c>
      <c r="K7" s="248" t="s">
        <v>137</v>
      </c>
      <c r="L7" s="145" t="s">
        <v>209</v>
      </c>
      <c r="M7" s="66"/>
      <c r="N7" s="250" t="s">
        <v>210</v>
      </c>
      <c r="O7" s="250" t="s">
        <v>211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7.5" customHeight="1">
      <c r="A8" s="34"/>
      <c r="B8" s="66"/>
      <c r="C8" s="66"/>
      <c r="D8" s="66"/>
      <c r="E8" s="66"/>
      <c r="F8" s="66"/>
      <c r="G8" s="66"/>
      <c r="H8" s="251"/>
      <c r="I8" s="66"/>
      <c r="J8" s="66"/>
      <c r="K8" s="66"/>
      <c r="L8" s="66"/>
      <c r="M8" s="66"/>
      <c r="N8" s="252"/>
      <c r="O8" s="252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9.25" customHeight="1">
      <c r="A9" s="34"/>
      <c r="B9" s="132" t="s">
        <v>132</v>
      </c>
      <c r="C9" s="253">
        <v>1.0</v>
      </c>
      <c r="D9" s="254" t="str">
        <f>IF('Objetivos Estratégicos '!E7="","",'Objetivos Estratégicos '!E7)</f>
        <v/>
      </c>
      <c r="E9" s="254" t="s">
        <v>212</v>
      </c>
      <c r="F9" s="254" t="s">
        <v>213</v>
      </c>
      <c r="G9" s="254">
        <f>SUMIF(Desdobramentos!$5:$5,$D$5,Desdobramentos!$7:$7)</f>
        <v>0</v>
      </c>
      <c r="H9" s="255">
        <f>SUMIF(Desdobramentos!$5:$5,$D$5,Desdobramentos!$8:$8)</f>
        <v>0</v>
      </c>
      <c r="I9" s="256" t="str">
        <f t="shared" ref="I9:I13" si="1">IF(F9="Menos",G9/H9,IFERROR(H9/G9,""))</f>
        <v/>
      </c>
      <c r="J9" s="254">
        <f>SUMIF(Desdobramentos!$5:$5,"&lt;="&amp;$D$5,Desdobramentos!$7:$7)</f>
        <v>7763226</v>
      </c>
      <c r="K9" s="254">
        <f>SUMIF(Desdobramentos!$5:$5,"&lt;="&amp;$D$5,Desdobramentos!$8:$8)</f>
        <v>193878</v>
      </c>
      <c r="L9" s="256">
        <f t="shared" ref="L9:L13" si="2">IFERROR(K9/J9,"")</f>
        <v>0.02497389616</v>
      </c>
      <c r="M9" s="66"/>
      <c r="N9" s="256">
        <v>0.4</v>
      </c>
      <c r="O9" s="256">
        <f t="shared" ref="O9:O13" si="3">IFERROR(IF(F9="Mais",(K9*100%)/J9,(100%-(K9-J9)/J9))*N9,"")</f>
        <v>0.009989558464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9.25" customHeight="1">
      <c r="A10" s="34"/>
      <c r="B10" s="135"/>
      <c r="C10" s="253">
        <v>2.0</v>
      </c>
      <c r="D10" s="254" t="str">
        <f>IF('Objetivos Estratégicos '!E8="","",'Objetivos Estratégicos '!E8)</f>
        <v/>
      </c>
      <c r="E10" s="254" t="s">
        <v>212</v>
      </c>
      <c r="F10" s="254" t="s">
        <v>213</v>
      </c>
      <c r="G10" s="254">
        <f>SUMIF(Desdobramentos!$5:$5,$D$5,Desdobramentos!$9:$9)</f>
        <v>0</v>
      </c>
      <c r="H10" s="255">
        <f>SUMIF(Desdobramentos!$5:$5,$D$5,Desdobramentos!$10:$10)</f>
        <v>0</v>
      </c>
      <c r="I10" s="256" t="str">
        <f t="shared" si="1"/>
        <v/>
      </c>
      <c r="J10" s="254">
        <f>SUMIF(Desdobramentos!$5:$5,"&lt;="&amp;$D$5,Desdobramentos!$9:$9)</f>
        <v>0</v>
      </c>
      <c r="K10" s="254">
        <f>SUMIF(Desdobramentos!$5:$5,"&lt;="&amp;$D$5,Desdobramentos!$10:$10)</f>
        <v>0</v>
      </c>
      <c r="L10" s="256" t="str">
        <f t="shared" si="2"/>
        <v/>
      </c>
      <c r="M10" s="66"/>
      <c r="N10" s="256">
        <v>0.4</v>
      </c>
      <c r="O10" s="256" t="str">
        <f t="shared" si="3"/>
        <v/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9.25" customHeight="1">
      <c r="A11" s="34"/>
      <c r="B11" s="135"/>
      <c r="C11" s="253">
        <v>3.0</v>
      </c>
      <c r="D11" s="254" t="str">
        <f>IF('Objetivos Estratégicos '!E9="","",'Objetivos Estratégicos '!E9)</f>
        <v/>
      </c>
      <c r="E11" s="254" t="s">
        <v>212</v>
      </c>
      <c r="F11" s="254" t="s">
        <v>213</v>
      </c>
      <c r="G11" s="254">
        <f>SUMIF(Desdobramentos!$5:$5,$D$5,Desdobramentos!$11:$11)</f>
        <v>0</v>
      </c>
      <c r="H11" s="255">
        <f>SUMIF(Desdobramentos!$5:$5,$D$5,Desdobramentos!$12:$12)</f>
        <v>0</v>
      </c>
      <c r="I11" s="256" t="str">
        <f t="shared" si="1"/>
        <v/>
      </c>
      <c r="J11" s="254">
        <f>SUMIF(Desdobramentos!$5:$5,"&lt;="&amp;$D$5,Desdobramentos!$11:$11)</f>
        <v>0</v>
      </c>
      <c r="K11" s="254">
        <f>SUMIF(Desdobramentos!$5:$5,"&lt;="&amp;$D$5,Desdobramentos!$12:$12)</f>
        <v>0</v>
      </c>
      <c r="L11" s="256" t="str">
        <f t="shared" si="2"/>
        <v/>
      </c>
      <c r="M11" s="66"/>
      <c r="N11" s="256">
        <v>0.2</v>
      </c>
      <c r="O11" s="256" t="str">
        <f t="shared" si="3"/>
        <v/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9.25" customHeight="1">
      <c r="A12" s="34"/>
      <c r="B12" s="135"/>
      <c r="C12" s="253">
        <v>4.0</v>
      </c>
      <c r="D12" s="254" t="str">
        <f>IF('Objetivos Estratégicos '!E10="","",'Objetivos Estratégicos '!E10)</f>
        <v/>
      </c>
      <c r="E12" s="254" t="s">
        <v>212</v>
      </c>
      <c r="F12" s="254" t="s">
        <v>213</v>
      </c>
      <c r="G12" s="254">
        <f>SUMIF(Desdobramentos!$5:$5,$D$5,Desdobramentos!$13:$13)</f>
        <v>0</v>
      </c>
      <c r="H12" s="255">
        <f>SUMIF(Desdobramentos!$5:$5,$D$5,Desdobramentos!$14:$14)</f>
        <v>0</v>
      </c>
      <c r="I12" s="256" t="str">
        <f t="shared" si="1"/>
        <v/>
      </c>
      <c r="J12" s="254">
        <f>SUMIF(Desdobramentos!$5:$5,"&lt;="&amp;$D$5,Desdobramentos!$13:$13)</f>
        <v>0</v>
      </c>
      <c r="K12" s="254">
        <f>SUMIF(Desdobramentos!$5:$5,"&lt;="&amp;$D$5,Desdobramentos!$14:$14)</f>
        <v>0</v>
      </c>
      <c r="L12" s="256" t="str">
        <f t="shared" si="2"/>
        <v/>
      </c>
      <c r="M12" s="66"/>
      <c r="N12" s="256">
        <v>0.0</v>
      </c>
      <c r="O12" s="256" t="str">
        <f t="shared" si="3"/>
        <v/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9.25" customHeight="1">
      <c r="A13" s="34"/>
      <c r="B13" s="136"/>
      <c r="C13" s="253">
        <v>5.0</v>
      </c>
      <c r="D13" s="254" t="str">
        <f>IF('Objetivos Estratégicos '!E11="","",'Objetivos Estratégicos '!E11)</f>
        <v/>
      </c>
      <c r="E13" s="254" t="s">
        <v>212</v>
      </c>
      <c r="F13" s="254" t="s">
        <v>213</v>
      </c>
      <c r="G13" s="254">
        <f>SUMIF(Desdobramentos!$5:$5,$D$5,Desdobramentos!$15:$15)</f>
        <v>0</v>
      </c>
      <c r="H13" s="255">
        <f>SUMIF(Desdobramentos!$5:$5,$D$5,Desdobramentos!$16:$16)</f>
        <v>0</v>
      </c>
      <c r="I13" s="256" t="str">
        <f t="shared" si="1"/>
        <v/>
      </c>
      <c r="J13" s="254">
        <f>SUMIF(Desdobramentos!$5:$5,"&lt;="&amp;$D$5,Desdobramentos!$15:$15)</f>
        <v>0</v>
      </c>
      <c r="K13" s="254">
        <f>SUMIF(Desdobramentos!$5:$5,"&lt;="&amp;$D$5,Desdobramentos!$16:$16)</f>
        <v>0</v>
      </c>
      <c r="L13" s="256" t="str">
        <f t="shared" si="2"/>
        <v/>
      </c>
      <c r="M13" s="66"/>
      <c r="N13" s="256">
        <v>0.0</v>
      </c>
      <c r="O13" s="256" t="str">
        <f t="shared" si="3"/>
        <v/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3.5" customHeight="1">
      <c r="A14" s="34"/>
      <c r="B14" s="257"/>
      <c r="C14" s="96"/>
      <c r="D14" s="96"/>
      <c r="E14" s="96"/>
      <c r="F14" s="96"/>
      <c r="G14" s="96"/>
      <c r="H14" s="244"/>
      <c r="I14" s="245"/>
      <c r="J14" s="96"/>
      <c r="K14" s="96"/>
      <c r="L14" s="96"/>
      <c r="M14" s="30"/>
      <c r="N14" s="258">
        <f t="shared" ref="N14:O14" si="4">SUM(N9:N13)</f>
        <v>1</v>
      </c>
      <c r="O14" s="258">
        <f t="shared" si="4"/>
        <v>0.009989558464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6.0" customHeight="1">
      <c r="A15" s="34"/>
      <c r="B15" s="30"/>
      <c r="C15" s="30"/>
      <c r="D15" s="96"/>
      <c r="E15" s="96"/>
      <c r="F15" s="96"/>
      <c r="G15" s="96"/>
      <c r="H15" s="244"/>
      <c r="I15" s="96"/>
      <c r="J15" s="96"/>
      <c r="K15" s="96"/>
      <c r="L15" s="96"/>
      <c r="M15" s="30"/>
      <c r="N15" s="245"/>
      <c r="O15" s="245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9.25" customHeight="1">
      <c r="A16" s="34"/>
      <c r="B16" s="132" t="s">
        <v>133</v>
      </c>
      <c r="C16" s="259">
        <v>1.0</v>
      </c>
      <c r="D16" s="259" t="str">
        <f>IF('Objetivos Estratégicos '!E13="","",'Objetivos Estratégicos '!E13)</f>
        <v/>
      </c>
      <c r="E16" s="259"/>
      <c r="F16" s="259"/>
      <c r="G16" s="259">
        <f>SUMIF(Desdobramentos!$5:$5,$D$5,Desdobramentos!$17:$17)</f>
        <v>0</v>
      </c>
      <c r="H16" s="260">
        <f>SUMIF(Desdobramentos!$5:$5,$D$5,Desdobramentos!$18:$18)</f>
        <v>0</v>
      </c>
      <c r="I16" s="261" t="str">
        <f t="shared" ref="I16:I20" si="5">IF(F16="Menos",G16/H16,IFERROR(H16/G16,""))</f>
        <v/>
      </c>
      <c r="J16" s="254">
        <f>SUMIF(Desdobramentos!$5:$5,"&lt;="&amp;$D$5,Desdobramentos!$17:$17)</f>
        <v>0</v>
      </c>
      <c r="K16" s="262">
        <f>SUMIF(Desdobramentos!$5:$5,"&lt;="&amp;$D$5,Desdobramentos!$18:$18)</f>
        <v>0</v>
      </c>
      <c r="L16" s="261" t="str">
        <f t="shared" ref="L16:L20" si="6">IFERROR(K16/J16,"")</f>
        <v/>
      </c>
      <c r="M16" s="66"/>
      <c r="N16" s="261">
        <v>0.2</v>
      </c>
      <c r="O16" s="261" t="str">
        <f t="shared" ref="O16:O20" si="7">IFERROR(IF(F16="Mais",(K16*100%)/J16,(100%-(K16-J16)/J16))*N16,"")</f>
        <v/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9.25" customHeight="1">
      <c r="A17" s="34"/>
      <c r="B17" s="135"/>
      <c r="C17" s="259">
        <v>2.0</v>
      </c>
      <c r="D17" s="259" t="str">
        <f>IF('Objetivos Estratégicos '!E14="","",'Objetivos Estratégicos '!E14)</f>
        <v/>
      </c>
      <c r="E17" s="259"/>
      <c r="F17" s="259" t="s">
        <v>214</v>
      </c>
      <c r="G17" s="259">
        <f>SUMIF(Desdobramentos!$5:$5,$D$5,Desdobramentos!$19:$19)</f>
        <v>0</v>
      </c>
      <c r="H17" s="260">
        <f>SUMIF(Desdobramentos!$5:$5,$D$5,Desdobramentos!$20:$20)</f>
        <v>0</v>
      </c>
      <c r="I17" s="261" t="str">
        <f t="shared" si="5"/>
        <v/>
      </c>
      <c r="J17" s="254">
        <f>SUMIF(Desdobramentos!$5:$5,"&lt;="&amp;$D$5,Desdobramentos!$19:$19)</f>
        <v>0</v>
      </c>
      <c r="K17" s="262">
        <f>SUMIF(Desdobramentos!$5:$5,"&lt;="&amp;$D$5,Desdobramentos!$20:$20)</f>
        <v>0</v>
      </c>
      <c r="L17" s="261" t="str">
        <f t="shared" si="6"/>
        <v/>
      </c>
      <c r="M17" s="66"/>
      <c r="N17" s="261">
        <v>0.8</v>
      </c>
      <c r="O17" s="261" t="str">
        <f t="shared" si="7"/>
        <v/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9.25" customHeight="1">
      <c r="A18" s="34"/>
      <c r="B18" s="135"/>
      <c r="C18" s="259">
        <v>3.0</v>
      </c>
      <c r="D18" s="259" t="str">
        <f>IF('Objetivos Estratégicos '!E15="","",'Objetivos Estratégicos '!E15)</f>
        <v/>
      </c>
      <c r="E18" s="259"/>
      <c r="F18" s="259"/>
      <c r="G18" s="259">
        <f>SUMIF(Desdobramentos!$5:$5,$D$5,Desdobramentos!$21:$21)</f>
        <v>0</v>
      </c>
      <c r="H18" s="260">
        <f>SUMIF(Desdobramentos!$5:$5,$D$5,Desdobramentos!$22:$22)</f>
        <v>0</v>
      </c>
      <c r="I18" s="261" t="str">
        <f t="shared" si="5"/>
        <v/>
      </c>
      <c r="J18" s="254">
        <f>SUMIF(Desdobramentos!$5:$5,"&lt;="&amp;$D$5,Desdobramentos!$21:$21)</f>
        <v>0</v>
      </c>
      <c r="K18" s="262">
        <f>SUMIF(Desdobramentos!$5:$5,"&lt;="&amp;$D$5,Desdobramentos!$22:$22)</f>
        <v>0</v>
      </c>
      <c r="L18" s="261" t="str">
        <f t="shared" si="6"/>
        <v/>
      </c>
      <c r="M18" s="66"/>
      <c r="N18" s="261">
        <v>0.0</v>
      </c>
      <c r="O18" s="261" t="str">
        <f t="shared" si="7"/>
        <v/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9.25" customHeight="1">
      <c r="A19" s="34"/>
      <c r="B19" s="135"/>
      <c r="C19" s="259">
        <v>4.0</v>
      </c>
      <c r="D19" s="259" t="str">
        <f>IF('Objetivos Estratégicos '!E16="","",'Objetivos Estratégicos '!E16)</f>
        <v/>
      </c>
      <c r="E19" s="259"/>
      <c r="F19" s="259"/>
      <c r="G19" s="259">
        <f>SUMIF(Desdobramentos!$5:$5,$D$5,Desdobramentos!$23:$23)</f>
        <v>0</v>
      </c>
      <c r="H19" s="260">
        <f>SUMIF(Desdobramentos!$5:$5,$D$5,Desdobramentos!$24:$24)</f>
        <v>0</v>
      </c>
      <c r="I19" s="261" t="str">
        <f t="shared" si="5"/>
        <v/>
      </c>
      <c r="J19" s="254">
        <f>SUMIF(Desdobramentos!$5:$5,"&lt;="&amp;$D$5,Desdobramentos!$23:$23)</f>
        <v>0</v>
      </c>
      <c r="K19" s="262">
        <f>SUMIF(Desdobramentos!$5:$5,"&lt;="&amp;$D$5,Desdobramentos!$24:$24)</f>
        <v>0</v>
      </c>
      <c r="L19" s="261" t="str">
        <f t="shared" si="6"/>
        <v/>
      </c>
      <c r="M19" s="66"/>
      <c r="N19" s="261">
        <v>0.0</v>
      </c>
      <c r="O19" s="261" t="str">
        <f t="shared" si="7"/>
        <v/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9.25" customHeight="1">
      <c r="A20" s="34"/>
      <c r="B20" s="136"/>
      <c r="C20" s="259">
        <v>5.0</v>
      </c>
      <c r="D20" s="259" t="str">
        <f>IF('Objetivos Estratégicos '!E17="","",'Objetivos Estratégicos '!E17)</f>
        <v/>
      </c>
      <c r="E20" s="259"/>
      <c r="F20" s="259"/>
      <c r="G20" s="259">
        <f>SUMIF(Desdobramentos!$5:$5,$D$5,Desdobramentos!$25:$25)</f>
        <v>0</v>
      </c>
      <c r="H20" s="260">
        <f>SUMIF(Desdobramentos!$5:$5,$D$5,Desdobramentos!$26:$26)</f>
        <v>0</v>
      </c>
      <c r="I20" s="261" t="str">
        <f t="shared" si="5"/>
        <v/>
      </c>
      <c r="J20" s="254">
        <f>SUMIF(Desdobramentos!$5:$5,"&lt;="&amp;$D$5,Desdobramentos!$25:$25)</f>
        <v>0</v>
      </c>
      <c r="K20" s="262">
        <f>SUMIF(Desdobramentos!$5:$5,"&lt;="&amp;$D$5,Desdobramentos!$26:$26)</f>
        <v>0</v>
      </c>
      <c r="L20" s="261" t="str">
        <f t="shared" si="6"/>
        <v/>
      </c>
      <c r="M20" s="66"/>
      <c r="N20" s="261">
        <v>0.0</v>
      </c>
      <c r="O20" s="261" t="str">
        <f t="shared" si="7"/>
        <v/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3.5" customHeight="1">
      <c r="A21" s="34"/>
      <c r="B21" s="30"/>
      <c r="C21" s="30"/>
      <c r="D21" s="30"/>
      <c r="E21" s="30"/>
      <c r="F21" s="30"/>
      <c r="G21" s="30"/>
      <c r="H21" s="263"/>
      <c r="I21" s="30"/>
      <c r="J21" s="30"/>
      <c r="K21" s="30"/>
      <c r="L21" s="30"/>
      <c r="M21" s="30"/>
      <c r="N21" s="258">
        <f t="shared" ref="N21:O21" si="8">SUM(N16:N20)</f>
        <v>1</v>
      </c>
      <c r="O21" s="258">
        <f t="shared" si="8"/>
        <v>0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6.0" customHeight="1">
      <c r="A22" s="34"/>
      <c r="B22" s="30"/>
      <c r="C22" s="96"/>
      <c r="D22" s="96"/>
      <c r="E22" s="96"/>
      <c r="F22" s="96"/>
      <c r="G22" s="96"/>
      <c r="H22" s="244"/>
      <c r="I22" s="96"/>
      <c r="J22" s="96"/>
      <c r="K22" s="96"/>
      <c r="L22" s="96"/>
      <c r="M22" s="30"/>
      <c r="N22" s="245"/>
      <c r="O22" s="245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9.25" customHeight="1">
      <c r="A23" s="34"/>
      <c r="B23" s="139" t="s">
        <v>134</v>
      </c>
      <c r="C23" s="254">
        <v>1.0</v>
      </c>
      <c r="D23" s="254" t="str">
        <f>IF('Objetivos Estratégicos '!E19="","",'Objetivos Estratégicos '!E19)</f>
        <v/>
      </c>
      <c r="E23" s="254"/>
      <c r="F23" s="254"/>
      <c r="G23" s="254">
        <f>SUMIF(Desdobramentos!$5:$5,$D$5,Desdobramentos!$28:$28)</f>
        <v>0</v>
      </c>
      <c r="H23" s="264">
        <f>SUMIF(Desdobramentos!$5:$5,$D$5,Desdobramentos!$29:$29)</f>
        <v>0</v>
      </c>
      <c r="I23" s="256" t="str">
        <f t="shared" ref="I23:I27" si="9">IF(F23="Menos",G23/H23,IFERROR(H23/G23,""))</f>
        <v/>
      </c>
      <c r="J23" s="254">
        <f>SUMIF(Desdobramentos!$5:$5,"&lt;="&amp;$D$5,Desdobramentos!$28:$28)</f>
        <v>0</v>
      </c>
      <c r="K23" s="253">
        <f>SUMIF(Desdobramentos!$5:$5,"&lt;="&amp;$D$5,Desdobramentos!$29:$29)</f>
        <v>0</v>
      </c>
      <c r="L23" s="256" t="str">
        <f t="shared" ref="L23:L27" si="10">IFERROR(K23/J23,"")</f>
        <v/>
      </c>
      <c r="M23" s="66"/>
      <c r="N23" s="256">
        <v>1.0</v>
      </c>
      <c r="O23" s="256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9.25" customHeight="1">
      <c r="A24" s="34"/>
      <c r="B24" s="135"/>
      <c r="C24" s="254">
        <v>2.0</v>
      </c>
      <c r="D24" s="254" t="str">
        <f>IF('Objetivos Estratégicos '!E20="","",'Objetivos Estratégicos '!E20)</f>
        <v/>
      </c>
      <c r="E24" s="254"/>
      <c r="F24" s="254"/>
      <c r="G24" s="254">
        <f>SUMIF(Desdobramentos!$5:$5,$D$5,Desdobramentos!$30:$30)</f>
        <v>0</v>
      </c>
      <c r="H24" s="264">
        <f>SUMIF(Desdobramentos!$5:$5,$D$5,Desdobramentos!$31:$31)</f>
        <v>0</v>
      </c>
      <c r="I24" s="256" t="str">
        <f t="shared" si="9"/>
        <v/>
      </c>
      <c r="J24" s="254">
        <f>SUMIF(Desdobramentos!$5:$5,"&lt;="&amp;$D$5,Desdobramentos!$30:$30)</f>
        <v>0</v>
      </c>
      <c r="K24" s="253">
        <f>SUMIF(Desdobramentos!$5:$5,"&lt;="&amp;$D$5,Desdobramentos!$31:$31)</f>
        <v>0</v>
      </c>
      <c r="L24" s="256" t="str">
        <f t="shared" si="10"/>
        <v/>
      </c>
      <c r="M24" s="66"/>
      <c r="N24" s="256">
        <v>0.0</v>
      </c>
      <c r="O24" s="256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9.25" customHeight="1">
      <c r="A25" s="34"/>
      <c r="B25" s="135"/>
      <c r="C25" s="254">
        <v>3.0</v>
      </c>
      <c r="D25" s="254" t="str">
        <f>IF('Objetivos Estratégicos '!E21="","",'Objetivos Estratégicos '!E21)</f>
        <v/>
      </c>
      <c r="E25" s="254"/>
      <c r="F25" s="254"/>
      <c r="G25" s="254">
        <f>SUMIF(Desdobramentos!$5:$5,$D$5,Desdobramentos!$32:$32)</f>
        <v>0</v>
      </c>
      <c r="H25" s="264">
        <f>SUMIF(Desdobramentos!$5:$5,$D$5,Desdobramentos!$33:$33)</f>
        <v>0</v>
      </c>
      <c r="I25" s="256" t="str">
        <f t="shared" si="9"/>
        <v/>
      </c>
      <c r="J25" s="254">
        <f>SUMIF(Desdobramentos!$5:$5,"&lt;="&amp;$D$5,Desdobramentos!$32:$32)</f>
        <v>0</v>
      </c>
      <c r="K25" s="253">
        <f>SUMIF(Desdobramentos!$5:$5,"&lt;="&amp;$D$5,Desdobramentos!$33:$33)</f>
        <v>0</v>
      </c>
      <c r="L25" s="256" t="str">
        <f t="shared" si="10"/>
        <v/>
      </c>
      <c r="M25" s="66"/>
      <c r="N25" s="256">
        <v>0.0</v>
      </c>
      <c r="O25" s="256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9.25" customHeight="1">
      <c r="A26" s="34"/>
      <c r="B26" s="135"/>
      <c r="C26" s="254">
        <v>4.0</v>
      </c>
      <c r="D26" s="254" t="str">
        <f>IF('Objetivos Estratégicos '!E22="","",'Objetivos Estratégicos '!E22)</f>
        <v/>
      </c>
      <c r="E26" s="254"/>
      <c r="F26" s="254"/>
      <c r="G26" s="254">
        <f>SUMIF(Desdobramentos!$5:$5,$D$5,Desdobramentos!$34:$34)</f>
        <v>0</v>
      </c>
      <c r="H26" s="264">
        <f>SUMIF(Desdobramentos!$5:$5,$D$5,Desdobramentos!$35:$35)</f>
        <v>0</v>
      </c>
      <c r="I26" s="256" t="str">
        <f t="shared" si="9"/>
        <v/>
      </c>
      <c r="J26" s="254">
        <f>SUMIF(Desdobramentos!$5:$5,"&lt;="&amp;$D$5,Desdobramentos!$34:$34)</f>
        <v>0</v>
      </c>
      <c r="K26" s="253">
        <f>SUMIF(Desdobramentos!$5:$5,"&lt;="&amp;$D$5,Desdobramentos!$35:$35)</f>
        <v>0</v>
      </c>
      <c r="L26" s="256" t="str">
        <f t="shared" si="10"/>
        <v/>
      </c>
      <c r="M26" s="66"/>
      <c r="N26" s="256">
        <v>0.0</v>
      </c>
      <c r="O26" s="256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9.25" customHeight="1">
      <c r="A27" s="34"/>
      <c r="B27" s="136"/>
      <c r="C27" s="254">
        <v>5.0</v>
      </c>
      <c r="D27" s="254" t="str">
        <f>IF('Objetivos Estratégicos '!E23="","",'Objetivos Estratégicos '!E23)</f>
        <v/>
      </c>
      <c r="E27" s="254"/>
      <c r="F27" s="254"/>
      <c r="G27" s="254">
        <f>SUMIF(Desdobramentos!$5:$5,$D$5,Desdobramentos!$36:$36)</f>
        <v>0</v>
      </c>
      <c r="H27" s="264">
        <f>SUMIF(Desdobramentos!$5:$5,$D$5,Desdobramentos!$37:$37)</f>
        <v>0</v>
      </c>
      <c r="I27" s="256" t="str">
        <f t="shared" si="9"/>
        <v/>
      </c>
      <c r="J27" s="254">
        <f>SUMIF(Desdobramentos!$5:$5,"&lt;="&amp;$D$5,Desdobramentos!$36:$36)</f>
        <v>0</v>
      </c>
      <c r="K27" s="253">
        <f>SUMIF(Desdobramentos!$5:$5,"&lt;="&amp;$D$5,Desdobramentos!$37:$37)</f>
        <v>0</v>
      </c>
      <c r="L27" s="256" t="str">
        <f t="shared" si="10"/>
        <v/>
      </c>
      <c r="M27" s="66"/>
      <c r="N27" s="256">
        <v>0.0</v>
      </c>
      <c r="O27" s="256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34"/>
      <c r="B28" s="265"/>
      <c r="C28" s="96"/>
      <c r="D28" s="96"/>
      <c r="E28" s="96"/>
      <c r="F28" s="96"/>
      <c r="G28" s="96"/>
      <c r="H28" s="244"/>
      <c r="I28" s="245"/>
      <c r="J28" s="96"/>
      <c r="K28" s="96"/>
      <c r="L28" s="96"/>
      <c r="M28" s="30"/>
      <c r="N28" s="258">
        <f t="shared" ref="N28:O28" si="11">SUM(N23:N27)</f>
        <v>1</v>
      </c>
      <c r="O28" s="258">
        <f t="shared" si="11"/>
        <v>0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6.0" customHeight="1">
      <c r="A29" s="34"/>
      <c r="B29" s="30"/>
      <c r="C29" s="30"/>
      <c r="D29" s="96"/>
      <c r="E29" s="96"/>
      <c r="F29" s="96"/>
      <c r="G29" s="96"/>
      <c r="H29" s="244"/>
      <c r="I29" s="96"/>
      <c r="J29" s="96"/>
      <c r="K29" s="96"/>
      <c r="L29" s="96"/>
      <c r="M29" s="30"/>
      <c r="N29" s="245"/>
      <c r="O29" s="245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9.25" customHeight="1">
      <c r="A30" s="34"/>
      <c r="B30" s="139" t="s">
        <v>135</v>
      </c>
      <c r="C30" s="259">
        <v>1.0</v>
      </c>
      <c r="D30" s="259" t="str">
        <f>IF('Objetivos Estratégicos '!E25="","",'Objetivos Estratégicos '!E25)</f>
        <v/>
      </c>
      <c r="E30" s="259"/>
      <c r="F30" s="259"/>
      <c r="G30" s="259">
        <f>SUMIF(Desdobramentos!$5:$5,$D$5,Desdobramentos!$38:$38)</f>
        <v>0</v>
      </c>
      <c r="H30" s="260">
        <f>SUMIF(Desdobramentos!$5:$5,$D$5,Desdobramentos!$39:$39)</f>
        <v>0</v>
      </c>
      <c r="I30" s="261" t="str">
        <f t="shared" ref="I30:I34" si="12">IF(F30="Menos",G30/H30,IFERROR(H30/G30,""))</f>
        <v/>
      </c>
      <c r="J30" s="259">
        <f>SUMIF(Desdobramentos!$5:$5,"&lt;="&amp;$D$5,Desdobramentos!$38:$38)</f>
        <v>0</v>
      </c>
      <c r="K30" s="262">
        <f>SUMIF(Desdobramentos!$5:$5,"&lt;="&amp;$D$5,Desdobramentos!$39:$39)</f>
        <v>0</v>
      </c>
      <c r="L30" s="261" t="str">
        <f t="shared" ref="L30:L34" si="13">IFERROR(K30/J30,"")</f>
        <v/>
      </c>
      <c r="M30" s="66"/>
      <c r="N30" s="261">
        <v>0.4</v>
      </c>
      <c r="O30" s="261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9.25" customHeight="1">
      <c r="A31" s="34"/>
      <c r="B31" s="135"/>
      <c r="C31" s="259">
        <v>2.0</v>
      </c>
      <c r="D31" s="259" t="str">
        <f>IF('Objetivos Estratégicos '!E26="","",'Objetivos Estratégicos '!E26)</f>
        <v/>
      </c>
      <c r="E31" s="259"/>
      <c r="F31" s="259"/>
      <c r="G31" s="259">
        <f>SUMIF(Desdobramentos!$5:$5,$D$5,Desdobramentos!$40:$40)</f>
        <v>0</v>
      </c>
      <c r="H31" s="260">
        <f>SUMIF(Desdobramentos!$5:$5,$D$5,Desdobramentos!$41:$41)</f>
        <v>0</v>
      </c>
      <c r="I31" s="261" t="str">
        <f t="shared" si="12"/>
        <v/>
      </c>
      <c r="J31" s="259">
        <f>SUMIF(Desdobramentos!$5:$5,"&lt;="&amp;$D$5,Desdobramentos!$40:$40)</f>
        <v>0</v>
      </c>
      <c r="K31" s="262">
        <f>SUMIF(Desdobramentos!$5:$5,"&lt;="&amp;$D$5,Desdobramentos!$41:$41)</f>
        <v>0</v>
      </c>
      <c r="L31" s="261" t="str">
        <f t="shared" si="13"/>
        <v/>
      </c>
      <c r="M31" s="66"/>
      <c r="N31" s="261">
        <v>0.4</v>
      </c>
      <c r="O31" s="261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9.25" customHeight="1">
      <c r="A32" s="34"/>
      <c r="B32" s="135"/>
      <c r="C32" s="259">
        <v>3.0</v>
      </c>
      <c r="D32" s="259" t="str">
        <f>IF('Objetivos Estratégicos '!E27="","",'Objetivos Estratégicos '!E27)</f>
        <v/>
      </c>
      <c r="E32" s="259"/>
      <c r="F32" s="259"/>
      <c r="G32" s="259">
        <f>SUMIF(Desdobramentos!$5:$5,$D$5,Desdobramentos!$42:$42)</f>
        <v>0</v>
      </c>
      <c r="H32" s="260">
        <f>SUMIF(Desdobramentos!$5:$5,$D$5,Desdobramentos!$43:$43)</f>
        <v>0</v>
      </c>
      <c r="I32" s="261" t="str">
        <f t="shared" si="12"/>
        <v/>
      </c>
      <c r="J32" s="259">
        <f>SUMIF(Desdobramentos!$5:$5,"&lt;="&amp;$D$5,Desdobramentos!$42:$42)</f>
        <v>0</v>
      </c>
      <c r="K32" s="262">
        <f>SUMIF(Desdobramentos!$5:$5,"&lt;="&amp;$D$5,Desdobramentos!$43:$43)</f>
        <v>0</v>
      </c>
      <c r="L32" s="261" t="str">
        <f t="shared" si="13"/>
        <v/>
      </c>
      <c r="M32" s="66"/>
      <c r="N32" s="261">
        <v>0.0</v>
      </c>
      <c r="O32" s="261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9.25" customHeight="1">
      <c r="A33" s="34"/>
      <c r="B33" s="135"/>
      <c r="C33" s="259">
        <v>4.0</v>
      </c>
      <c r="D33" s="259" t="str">
        <f>IF('Objetivos Estratégicos '!E28="","",'Objetivos Estratégicos '!E28)</f>
        <v/>
      </c>
      <c r="E33" s="259"/>
      <c r="F33" s="259"/>
      <c r="G33" s="259">
        <f>SUMIF(Desdobramentos!$5:$5,$D$5,Desdobramentos!$44:$44)</f>
        <v>0</v>
      </c>
      <c r="H33" s="260">
        <f>SUMIF(Desdobramentos!$5:$5,$D$5,Desdobramentos!$45:$45)</f>
        <v>0</v>
      </c>
      <c r="I33" s="261" t="str">
        <f t="shared" si="12"/>
        <v/>
      </c>
      <c r="J33" s="259">
        <f>SUMIF(Desdobramentos!$5:$5,"&lt;="&amp;$D$5,Desdobramentos!$44:$44)</f>
        <v>0</v>
      </c>
      <c r="K33" s="262">
        <f>SUMIF(Desdobramentos!$5:$5,"&lt;="&amp;$D$5,Desdobramentos!$45:$45)</f>
        <v>0</v>
      </c>
      <c r="L33" s="261" t="str">
        <f t="shared" si="13"/>
        <v/>
      </c>
      <c r="M33" s="66"/>
      <c r="N33" s="261">
        <v>0.1</v>
      </c>
      <c r="O33" s="261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9.25" customHeight="1">
      <c r="A34" s="34"/>
      <c r="B34" s="136"/>
      <c r="C34" s="259">
        <v>5.0</v>
      </c>
      <c r="D34" s="259" t="str">
        <f>IF('Objetivos Estratégicos '!E29="","",'Objetivos Estratégicos '!E29)</f>
        <v/>
      </c>
      <c r="E34" s="259"/>
      <c r="F34" s="259"/>
      <c r="G34" s="259">
        <f>SUMIF(Desdobramentos!$5:$5,$D$5,Desdobramentos!$46:$46)</f>
        <v>0</v>
      </c>
      <c r="H34" s="260">
        <f>SUMIF(Desdobramentos!$5:$5,$D$5,Desdobramentos!$47:$47)</f>
        <v>0</v>
      </c>
      <c r="I34" s="261" t="str">
        <f t="shared" si="12"/>
        <v/>
      </c>
      <c r="J34" s="259">
        <f>SUMIF(Desdobramentos!$5:$5,"&lt;="&amp;$D$5,Desdobramentos!$46:$46)</f>
        <v>0</v>
      </c>
      <c r="K34" s="262">
        <f>SUMIF(Desdobramentos!$5:$5,"&lt;="&amp;$D$5,Desdobramentos!$47:$47)</f>
        <v>0</v>
      </c>
      <c r="L34" s="261" t="str">
        <f t="shared" si="13"/>
        <v/>
      </c>
      <c r="M34" s="66"/>
      <c r="N34" s="261">
        <v>0.1</v>
      </c>
      <c r="O34" s="261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3.5" customHeight="1">
      <c r="A35" s="34"/>
      <c r="B35" s="30"/>
      <c r="C35" s="96"/>
      <c r="D35" s="96"/>
      <c r="E35" s="96"/>
      <c r="F35" s="96"/>
      <c r="G35" s="96"/>
      <c r="H35" s="244"/>
      <c r="I35" s="96"/>
      <c r="J35" s="96"/>
      <c r="K35" s="96"/>
      <c r="L35" s="96"/>
      <c r="M35" s="30"/>
      <c r="N35" s="258">
        <f t="shared" ref="N35:O35" si="14">SUM(N30:N34)</f>
        <v>1</v>
      </c>
      <c r="O35" s="258">
        <f t="shared" si="14"/>
        <v>0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34"/>
      <c r="B36" s="30"/>
      <c r="C36" s="96"/>
      <c r="D36" s="96"/>
      <c r="E36" s="96"/>
      <c r="F36" s="96"/>
      <c r="G36" s="96"/>
      <c r="H36" s="244"/>
      <c r="I36" s="96"/>
      <c r="J36" s="96"/>
      <c r="K36" s="96"/>
      <c r="L36" s="96"/>
      <c r="M36" s="30"/>
      <c r="N36" s="245"/>
      <c r="O36" s="245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34"/>
      <c r="B37" s="30"/>
      <c r="C37" s="96"/>
      <c r="D37" s="96"/>
      <c r="E37" s="96"/>
      <c r="F37" s="96"/>
      <c r="G37" s="96"/>
      <c r="H37" s="244"/>
      <c r="I37" s="96"/>
      <c r="J37" s="96"/>
      <c r="K37" s="96"/>
      <c r="L37" s="96"/>
      <c r="M37" s="30"/>
      <c r="N37" s="245"/>
      <c r="O37" s="245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34"/>
      <c r="B38" s="30"/>
      <c r="C38" s="96"/>
      <c r="D38" s="96"/>
      <c r="E38" s="96"/>
      <c r="F38" s="96"/>
      <c r="G38" s="96"/>
      <c r="H38" s="244"/>
      <c r="I38" s="96"/>
      <c r="J38" s="96"/>
      <c r="K38" s="96"/>
      <c r="L38" s="96"/>
      <c r="M38" s="30"/>
      <c r="N38" s="245"/>
      <c r="O38" s="245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34"/>
      <c r="B39" s="30"/>
      <c r="C39" s="96"/>
      <c r="D39" s="96"/>
      <c r="E39" s="96"/>
      <c r="F39" s="96"/>
      <c r="G39" s="96"/>
      <c r="H39" s="244"/>
      <c r="I39" s="96"/>
      <c r="J39" s="96"/>
      <c r="K39" s="96"/>
      <c r="L39" s="96"/>
      <c r="M39" s="30"/>
      <c r="N39" s="245"/>
      <c r="O39" s="245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34"/>
      <c r="B40" s="30"/>
      <c r="C40" s="96"/>
      <c r="D40" s="96"/>
      <c r="E40" s="96"/>
      <c r="F40" s="96"/>
      <c r="G40" s="96"/>
      <c r="H40" s="244"/>
      <c r="I40" s="96"/>
      <c r="J40" s="96"/>
      <c r="K40" s="96"/>
      <c r="L40" s="96"/>
      <c r="M40" s="30"/>
      <c r="N40" s="245"/>
      <c r="O40" s="245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34"/>
      <c r="B41" s="30"/>
      <c r="C41" s="96"/>
      <c r="D41" s="96"/>
      <c r="E41" s="96"/>
      <c r="F41" s="96"/>
      <c r="G41" s="96"/>
      <c r="H41" s="244"/>
      <c r="I41" s="96"/>
      <c r="J41" s="96"/>
      <c r="K41" s="96"/>
      <c r="L41" s="96"/>
      <c r="M41" s="30"/>
      <c r="N41" s="245"/>
      <c r="O41" s="245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34"/>
      <c r="B42" s="30"/>
      <c r="C42" s="96"/>
      <c r="D42" s="96"/>
      <c r="E42" s="96"/>
      <c r="F42" s="96"/>
      <c r="G42" s="96"/>
      <c r="H42" s="244"/>
      <c r="I42" s="96"/>
      <c r="J42" s="96"/>
      <c r="K42" s="96"/>
      <c r="L42" s="96"/>
      <c r="M42" s="30"/>
      <c r="N42" s="245"/>
      <c r="O42" s="245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34"/>
      <c r="B43" s="30"/>
      <c r="C43" s="96"/>
      <c r="D43" s="96"/>
      <c r="E43" s="96"/>
      <c r="F43" s="96"/>
      <c r="G43" s="96"/>
      <c r="H43" s="244"/>
      <c r="I43" s="96"/>
      <c r="J43" s="96"/>
      <c r="K43" s="96"/>
      <c r="L43" s="96"/>
      <c r="M43" s="30"/>
      <c r="N43" s="245"/>
      <c r="O43" s="245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34"/>
      <c r="B44" s="30"/>
      <c r="C44" s="96"/>
      <c r="D44" s="96"/>
      <c r="E44" s="96"/>
      <c r="F44" s="96"/>
      <c r="G44" s="96"/>
      <c r="H44" s="244"/>
      <c r="I44" s="96"/>
      <c r="J44" s="96"/>
      <c r="K44" s="96"/>
      <c r="L44" s="96"/>
      <c r="M44" s="30"/>
      <c r="N44" s="245"/>
      <c r="O44" s="245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34"/>
      <c r="B45" s="30"/>
      <c r="C45" s="96"/>
      <c r="D45" s="96"/>
      <c r="E45" s="96"/>
      <c r="F45" s="96"/>
      <c r="G45" s="96"/>
      <c r="H45" s="244"/>
      <c r="I45" s="96"/>
      <c r="J45" s="96"/>
      <c r="K45" s="96"/>
      <c r="L45" s="96"/>
      <c r="M45" s="30"/>
      <c r="N45" s="245"/>
      <c r="O45" s="245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34"/>
      <c r="B46" s="30"/>
      <c r="C46" s="96"/>
      <c r="D46" s="96"/>
      <c r="E46" s="96"/>
      <c r="F46" s="96"/>
      <c r="G46" s="96"/>
      <c r="H46" s="244"/>
      <c r="I46" s="96"/>
      <c r="J46" s="96"/>
      <c r="K46" s="96"/>
      <c r="L46" s="96"/>
      <c r="M46" s="30"/>
      <c r="N46" s="245"/>
      <c r="O46" s="245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34"/>
      <c r="B47" s="30"/>
      <c r="C47" s="96"/>
      <c r="D47" s="96"/>
      <c r="E47" s="96"/>
      <c r="F47" s="96"/>
      <c r="G47" s="96"/>
      <c r="H47" s="244"/>
      <c r="I47" s="96"/>
      <c r="J47" s="96"/>
      <c r="K47" s="96"/>
      <c r="L47" s="96"/>
      <c r="M47" s="30"/>
      <c r="N47" s="245"/>
      <c r="O47" s="24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34"/>
      <c r="B48" s="30"/>
      <c r="C48" s="96"/>
      <c r="D48" s="96"/>
      <c r="E48" s="96"/>
      <c r="F48" s="96"/>
      <c r="G48" s="96"/>
      <c r="H48" s="244"/>
      <c r="I48" s="96"/>
      <c r="J48" s="96"/>
      <c r="K48" s="96"/>
      <c r="L48" s="96"/>
      <c r="M48" s="30"/>
      <c r="N48" s="245"/>
      <c r="O48" s="245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34"/>
      <c r="B49" s="30"/>
      <c r="C49" s="96"/>
      <c r="D49" s="96"/>
      <c r="E49" s="96"/>
      <c r="F49" s="96"/>
      <c r="G49" s="96"/>
      <c r="H49" s="244"/>
      <c r="I49" s="96"/>
      <c r="J49" s="96"/>
      <c r="K49" s="96"/>
      <c r="L49" s="96"/>
      <c r="M49" s="30"/>
      <c r="N49" s="245"/>
      <c r="O49" s="245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34"/>
      <c r="B50" s="30"/>
      <c r="C50" s="96"/>
      <c r="D50" s="96"/>
      <c r="E50" s="96"/>
      <c r="F50" s="96"/>
      <c r="G50" s="96"/>
      <c r="H50" s="244"/>
      <c r="I50" s="96"/>
      <c r="J50" s="96"/>
      <c r="K50" s="96"/>
      <c r="L50" s="96"/>
      <c r="M50" s="30"/>
      <c r="N50" s="245"/>
      <c r="O50" s="245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34"/>
      <c r="B51" s="30"/>
      <c r="C51" s="96"/>
      <c r="D51" s="96"/>
      <c r="E51" s="96"/>
      <c r="F51" s="96"/>
      <c r="G51" s="96"/>
      <c r="H51" s="244"/>
      <c r="I51" s="96"/>
      <c r="J51" s="96"/>
      <c r="K51" s="96"/>
      <c r="L51" s="96"/>
      <c r="M51" s="30"/>
      <c r="N51" s="245"/>
      <c r="O51" s="245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34"/>
      <c r="B52" s="30"/>
      <c r="C52" s="96"/>
      <c r="D52" s="96"/>
      <c r="E52" s="96"/>
      <c r="F52" s="96"/>
      <c r="G52" s="96"/>
      <c r="H52" s="244"/>
      <c r="I52" s="96"/>
      <c r="J52" s="96"/>
      <c r="K52" s="96"/>
      <c r="L52" s="96"/>
      <c r="M52" s="30"/>
      <c r="N52" s="245"/>
      <c r="O52" s="245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34"/>
      <c r="B53" s="30"/>
      <c r="C53" s="96"/>
      <c r="D53" s="96"/>
      <c r="E53" s="96"/>
      <c r="F53" s="96"/>
      <c r="G53" s="96"/>
      <c r="H53" s="244"/>
      <c r="I53" s="96"/>
      <c r="J53" s="96"/>
      <c r="K53" s="96"/>
      <c r="L53" s="96"/>
      <c r="M53" s="30"/>
      <c r="N53" s="245"/>
      <c r="O53" s="245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34"/>
      <c r="B54" s="30"/>
      <c r="C54" s="96"/>
      <c r="D54" s="96"/>
      <c r="E54" s="96"/>
      <c r="F54" s="96"/>
      <c r="G54" s="96"/>
      <c r="H54" s="244"/>
      <c r="I54" s="96"/>
      <c r="J54" s="96"/>
      <c r="K54" s="96"/>
      <c r="L54" s="96"/>
      <c r="M54" s="30"/>
      <c r="N54" s="245"/>
      <c r="O54" s="245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34"/>
      <c r="B55" s="30"/>
      <c r="C55" s="96"/>
      <c r="D55" s="96"/>
      <c r="E55" s="96"/>
      <c r="F55" s="96"/>
      <c r="G55" s="96"/>
      <c r="H55" s="244"/>
      <c r="I55" s="96"/>
      <c r="J55" s="96"/>
      <c r="K55" s="96"/>
      <c r="L55" s="96"/>
      <c r="M55" s="30"/>
      <c r="N55" s="245"/>
      <c r="O55" s="245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34"/>
      <c r="B56" s="30"/>
      <c r="C56" s="96"/>
      <c r="D56" s="96"/>
      <c r="E56" s="96"/>
      <c r="F56" s="96"/>
      <c r="G56" s="96"/>
      <c r="H56" s="244"/>
      <c r="I56" s="96"/>
      <c r="J56" s="96"/>
      <c r="K56" s="96"/>
      <c r="L56" s="96"/>
      <c r="M56" s="30"/>
      <c r="N56" s="245"/>
      <c r="O56" s="245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34"/>
      <c r="B57" s="30"/>
      <c r="C57" s="96"/>
      <c r="D57" s="96"/>
      <c r="E57" s="96"/>
      <c r="F57" s="96"/>
      <c r="G57" s="96"/>
      <c r="H57" s="244"/>
      <c r="I57" s="96"/>
      <c r="J57" s="96"/>
      <c r="K57" s="96"/>
      <c r="L57" s="96"/>
      <c r="M57" s="30"/>
      <c r="N57" s="245"/>
      <c r="O57" s="245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34"/>
      <c r="B58" s="30"/>
      <c r="C58" s="96"/>
      <c r="D58" s="96"/>
      <c r="E58" s="96"/>
      <c r="F58" s="96"/>
      <c r="G58" s="96"/>
      <c r="H58" s="244"/>
      <c r="I58" s="96"/>
      <c r="J58" s="96"/>
      <c r="K58" s="96"/>
      <c r="L58" s="96"/>
      <c r="M58" s="30"/>
      <c r="N58" s="245"/>
      <c r="O58" s="245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34"/>
      <c r="B59" s="30"/>
      <c r="C59" s="96"/>
      <c r="D59" s="96"/>
      <c r="E59" s="96"/>
      <c r="F59" s="96"/>
      <c r="G59" s="96"/>
      <c r="H59" s="244"/>
      <c r="I59" s="96"/>
      <c r="J59" s="96"/>
      <c r="K59" s="96"/>
      <c r="L59" s="96"/>
      <c r="M59" s="30"/>
      <c r="N59" s="245"/>
      <c r="O59" s="245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34"/>
      <c r="B60" s="30"/>
      <c r="C60" s="96"/>
      <c r="D60" s="96"/>
      <c r="E60" s="96"/>
      <c r="F60" s="96"/>
      <c r="G60" s="96"/>
      <c r="H60" s="244"/>
      <c r="I60" s="96"/>
      <c r="J60" s="96"/>
      <c r="K60" s="96"/>
      <c r="L60" s="96"/>
      <c r="M60" s="30"/>
      <c r="N60" s="245"/>
      <c r="O60" s="24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34"/>
      <c r="B61" s="30"/>
      <c r="C61" s="96"/>
      <c r="D61" s="96"/>
      <c r="E61" s="96"/>
      <c r="F61" s="96"/>
      <c r="G61" s="96"/>
      <c r="H61" s="244"/>
      <c r="I61" s="96"/>
      <c r="J61" s="96"/>
      <c r="K61" s="96"/>
      <c r="L61" s="96"/>
      <c r="M61" s="30"/>
      <c r="N61" s="245"/>
      <c r="O61" s="245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34"/>
      <c r="B62" s="30"/>
      <c r="C62" s="96"/>
      <c r="D62" s="96"/>
      <c r="E62" s="96"/>
      <c r="F62" s="96"/>
      <c r="G62" s="96"/>
      <c r="H62" s="244"/>
      <c r="I62" s="96"/>
      <c r="J62" s="96"/>
      <c r="K62" s="96"/>
      <c r="L62" s="96"/>
      <c r="M62" s="30"/>
      <c r="N62" s="245"/>
      <c r="O62" s="24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34"/>
      <c r="B63" s="30"/>
      <c r="C63" s="96"/>
      <c r="D63" s="96"/>
      <c r="E63" s="96"/>
      <c r="F63" s="96"/>
      <c r="G63" s="96"/>
      <c r="H63" s="244"/>
      <c r="I63" s="96"/>
      <c r="J63" s="96"/>
      <c r="K63" s="96"/>
      <c r="L63" s="96"/>
      <c r="M63" s="30"/>
      <c r="N63" s="245"/>
      <c r="O63" s="245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34"/>
      <c r="B64" s="30"/>
      <c r="C64" s="96"/>
      <c r="D64" s="96"/>
      <c r="E64" s="96"/>
      <c r="F64" s="96"/>
      <c r="G64" s="96"/>
      <c r="H64" s="244"/>
      <c r="I64" s="96"/>
      <c r="J64" s="96"/>
      <c r="K64" s="96"/>
      <c r="L64" s="96"/>
      <c r="M64" s="30"/>
      <c r="N64" s="245"/>
      <c r="O64" s="245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34"/>
      <c r="B65" s="30"/>
      <c r="C65" s="96"/>
      <c r="D65" s="96"/>
      <c r="E65" s="96"/>
      <c r="F65" s="96"/>
      <c r="G65" s="96"/>
      <c r="H65" s="244"/>
      <c r="I65" s="96"/>
      <c r="J65" s="96"/>
      <c r="K65" s="96"/>
      <c r="L65" s="96"/>
      <c r="M65" s="30"/>
      <c r="N65" s="245"/>
      <c r="O65" s="245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34"/>
      <c r="B66" s="30"/>
      <c r="C66" s="96"/>
      <c r="D66" s="96"/>
      <c r="E66" s="96"/>
      <c r="F66" s="96"/>
      <c r="G66" s="96"/>
      <c r="H66" s="244"/>
      <c r="I66" s="96"/>
      <c r="J66" s="96"/>
      <c r="K66" s="96"/>
      <c r="L66" s="96"/>
      <c r="M66" s="30"/>
      <c r="N66" s="245"/>
      <c r="O66" s="245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34"/>
      <c r="B67" s="30"/>
      <c r="C67" s="96"/>
      <c r="D67" s="96"/>
      <c r="E67" s="96"/>
      <c r="F67" s="96"/>
      <c r="G67" s="96"/>
      <c r="H67" s="244"/>
      <c r="I67" s="96"/>
      <c r="J67" s="96"/>
      <c r="K67" s="96"/>
      <c r="L67" s="96"/>
      <c r="M67" s="30"/>
      <c r="N67" s="245"/>
      <c r="O67" s="24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34"/>
      <c r="B68" s="30"/>
      <c r="C68" s="96"/>
      <c r="D68" s="96"/>
      <c r="E68" s="96"/>
      <c r="F68" s="96"/>
      <c r="G68" s="96"/>
      <c r="H68" s="244"/>
      <c r="I68" s="96"/>
      <c r="J68" s="96"/>
      <c r="K68" s="96"/>
      <c r="L68" s="96"/>
      <c r="M68" s="30"/>
      <c r="N68" s="245"/>
      <c r="O68" s="24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34"/>
      <c r="B69" s="30"/>
      <c r="C69" s="96"/>
      <c r="D69" s="96"/>
      <c r="E69" s="96"/>
      <c r="F69" s="96"/>
      <c r="G69" s="96"/>
      <c r="H69" s="244"/>
      <c r="I69" s="96"/>
      <c r="J69" s="96"/>
      <c r="K69" s="96"/>
      <c r="L69" s="96"/>
      <c r="M69" s="30"/>
      <c r="N69" s="245"/>
      <c r="O69" s="24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34"/>
      <c r="B70" s="30"/>
      <c r="C70" s="96"/>
      <c r="D70" s="96"/>
      <c r="E70" s="96"/>
      <c r="F70" s="96"/>
      <c r="G70" s="96"/>
      <c r="H70" s="244"/>
      <c r="I70" s="96"/>
      <c r="J70" s="96"/>
      <c r="K70" s="96"/>
      <c r="L70" s="96"/>
      <c r="M70" s="30"/>
      <c r="N70" s="245"/>
      <c r="O70" s="245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34"/>
      <c r="B71" s="30"/>
      <c r="C71" s="96"/>
      <c r="D71" s="96"/>
      <c r="E71" s="96"/>
      <c r="F71" s="96"/>
      <c r="G71" s="96"/>
      <c r="H71" s="244"/>
      <c r="I71" s="96"/>
      <c r="J71" s="96"/>
      <c r="K71" s="96"/>
      <c r="L71" s="96"/>
      <c r="M71" s="30"/>
      <c r="N71" s="245"/>
      <c r="O71" s="24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34"/>
      <c r="B72" s="30"/>
      <c r="C72" s="96"/>
      <c r="D72" s="96"/>
      <c r="E72" s="96"/>
      <c r="F72" s="96"/>
      <c r="G72" s="96"/>
      <c r="H72" s="244"/>
      <c r="I72" s="96"/>
      <c r="J72" s="96"/>
      <c r="K72" s="96"/>
      <c r="L72" s="96"/>
      <c r="M72" s="30"/>
      <c r="N72" s="245"/>
      <c r="O72" s="245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34"/>
      <c r="B73" s="30"/>
      <c r="C73" s="96"/>
      <c r="D73" s="96"/>
      <c r="E73" s="96"/>
      <c r="F73" s="96"/>
      <c r="G73" s="96"/>
      <c r="H73" s="244"/>
      <c r="I73" s="96"/>
      <c r="J73" s="96"/>
      <c r="K73" s="96"/>
      <c r="L73" s="96"/>
      <c r="M73" s="30"/>
      <c r="N73" s="245"/>
      <c r="O73" s="245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34"/>
      <c r="B74" s="30"/>
      <c r="C74" s="96"/>
      <c r="D74" s="96"/>
      <c r="E74" s="96"/>
      <c r="F74" s="96"/>
      <c r="G74" s="96"/>
      <c r="H74" s="244"/>
      <c r="I74" s="96"/>
      <c r="J74" s="96"/>
      <c r="K74" s="96"/>
      <c r="L74" s="96"/>
      <c r="M74" s="30"/>
      <c r="N74" s="245"/>
      <c r="O74" s="245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34"/>
      <c r="B75" s="30"/>
      <c r="C75" s="96"/>
      <c r="D75" s="96"/>
      <c r="E75" s="96"/>
      <c r="F75" s="96"/>
      <c r="G75" s="96"/>
      <c r="H75" s="244"/>
      <c r="I75" s="96"/>
      <c r="J75" s="96"/>
      <c r="K75" s="96"/>
      <c r="L75" s="96"/>
      <c r="M75" s="30"/>
      <c r="N75" s="245"/>
      <c r="O75" s="245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34"/>
      <c r="B76" s="30"/>
      <c r="C76" s="96"/>
      <c r="D76" s="96"/>
      <c r="E76" s="96"/>
      <c r="F76" s="96"/>
      <c r="G76" s="96"/>
      <c r="H76" s="244"/>
      <c r="I76" s="96"/>
      <c r="J76" s="96"/>
      <c r="K76" s="96"/>
      <c r="L76" s="96"/>
      <c r="M76" s="30"/>
      <c r="N76" s="245"/>
      <c r="O76" s="245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34"/>
      <c r="B77" s="30"/>
      <c r="C77" s="96"/>
      <c r="D77" s="96"/>
      <c r="E77" s="96"/>
      <c r="F77" s="96"/>
      <c r="G77" s="96"/>
      <c r="H77" s="244"/>
      <c r="I77" s="96"/>
      <c r="J77" s="96"/>
      <c r="K77" s="96"/>
      <c r="L77" s="96"/>
      <c r="M77" s="30"/>
      <c r="N77" s="245"/>
      <c r="O77" s="245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34"/>
      <c r="B78" s="30"/>
      <c r="C78" s="96"/>
      <c r="D78" s="96"/>
      <c r="E78" s="96"/>
      <c r="F78" s="96"/>
      <c r="G78" s="96"/>
      <c r="H78" s="244"/>
      <c r="I78" s="96"/>
      <c r="J78" s="96"/>
      <c r="K78" s="96"/>
      <c r="L78" s="96"/>
      <c r="M78" s="30"/>
      <c r="N78" s="245"/>
      <c r="O78" s="245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34"/>
      <c r="B79" s="30"/>
      <c r="C79" s="96"/>
      <c r="D79" s="96"/>
      <c r="E79" s="96"/>
      <c r="F79" s="96"/>
      <c r="G79" s="96"/>
      <c r="H79" s="244"/>
      <c r="I79" s="96"/>
      <c r="J79" s="96"/>
      <c r="K79" s="96"/>
      <c r="L79" s="96"/>
      <c r="M79" s="30"/>
      <c r="N79" s="245"/>
      <c r="O79" s="245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34"/>
      <c r="B80" s="30"/>
      <c r="C80" s="96"/>
      <c r="D80" s="96"/>
      <c r="E80" s="96"/>
      <c r="F80" s="96"/>
      <c r="G80" s="96"/>
      <c r="H80" s="244"/>
      <c r="I80" s="96"/>
      <c r="J80" s="96"/>
      <c r="K80" s="96"/>
      <c r="L80" s="96"/>
      <c r="M80" s="30"/>
      <c r="N80" s="245"/>
      <c r="O80" s="245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34"/>
      <c r="B81" s="30"/>
      <c r="C81" s="96"/>
      <c r="D81" s="96"/>
      <c r="E81" s="96"/>
      <c r="F81" s="96"/>
      <c r="G81" s="96"/>
      <c r="H81" s="244"/>
      <c r="I81" s="96"/>
      <c r="J81" s="96"/>
      <c r="K81" s="96"/>
      <c r="L81" s="96"/>
      <c r="M81" s="30"/>
      <c r="N81" s="245"/>
      <c r="O81" s="245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34"/>
      <c r="B82" s="30"/>
      <c r="C82" s="96"/>
      <c r="D82" s="96"/>
      <c r="E82" s="96"/>
      <c r="F82" s="96"/>
      <c r="G82" s="96"/>
      <c r="H82" s="244"/>
      <c r="I82" s="96"/>
      <c r="J82" s="96"/>
      <c r="K82" s="96"/>
      <c r="L82" s="96"/>
      <c r="M82" s="30"/>
      <c r="N82" s="245"/>
      <c r="O82" s="245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34"/>
      <c r="B83" s="30"/>
      <c r="C83" s="96"/>
      <c r="D83" s="96"/>
      <c r="E83" s="96"/>
      <c r="F83" s="96"/>
      <c r="G83" s="96"/>
      <c r="H83" s="244"/>
      <c r="I83" s="96"/>
      <c r="J83" s="96"/>
      <c r="K83" s="96"/>
      <c r="L83" s="96"/>
      <c r="M83" s="30"/>
      <c r="N83" s="245"/>
      <c r="O83" s="245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34"/>
      <c r="B84" s="30"/>
      <c r="C84" s="96"/>
      <c r="D84" s="96"/>
      <c r="E84" s="96"/>
      <c r="F84" s="96"/>
      <c r="G84" s="96"/>
      <c r="H84" s="244"/>
      <c r="I84" s="96"/>
      <c r="J84" s="96"/>
      <c r="K84" s="96"/>
      <c r="L84" s="96"/>
      <c r="M84" s="30"/>
      <c r="N84" s="245"/>
      <c r="O84" s="245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34"/>
      <c r="B85" s="30"/>
      <c r="C85" s="96"/>
      <c r="D85" s="96"/>
      <c r="E85" s="96"/>
      <c r="F85" s="96"/>
      <c r="G85" s="96"/>
      <c r="H85" s="244"/>
      <c r="I85" s="96"/>
      <c r="J85" s="96"/>
      <c r="K85" s="96"/>
      <c r="L85" s="96"/>
      <c r="M85" s="30"/>
      <c r="N85" s="245"/>
      <c r="O85" s="245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34"/>
      <c r="B86" s="30"/>
      <c r="C86" s="96"/>
      <c r="D86" s="96"/>
      <c r="E86" s="96"/>
      <c r="F86" s="96"/>
      <c r="G86" s="96"/>
      <c r="H86" s="244"/>
      <c r="I86" s="96"/>
      <c r="J86" s="96"/>
      <c r="K86" s="96"/>
      <c r="L86" s="96"/>
      <c r="M86" s="30"/>
      <c r="N86" s="245"/>
      <c r="O86" s="245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34"/>
      <c r="B87" s="30"/>
      <c r="C87" s="96"/>
      <c r="D87" s="96"/>
      <c r="E87" s="96"/>
      <c r="F87" s="96"/>
      <c r="G87" s="96"/>
      <c r="H87" s="244"/>
      <c r="I87" s="96"/>
      <c r="J87" s="96"/>
      <c r="K87" s="96"/>
      <c r="L87" s="96"/>
      <c r="M87" s="30"/>
      <c r="N87" s="245"/>
      <c r="O87" s="245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34"/>
      <c r="B88" s="30"/>
      <c r="C88" s="96"/>
      <c r="D88" s="96"/>
      <c r="E88" s="96"/>
      <c r="F88" s="96"/>
      <c r="G88" s="96"/>
      <c r="H88" s="244"/>
      <c r="I88" s="96"/>
      <c r="J88" s="96"/>
      <c r="K88" s="96"/>
      <c r="L88" s="96"/>
      <c r="M88" s="30"/>
      <c r="N88" s="245"/>
      <c r="O88" s="245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34"/>
      <c r="B89" s="30"/>
      <c r="C89" s="96"/>
      <c r="D89" s="96"/>
      <c r="E89" s="96"/>
      <c r="F89" s="96"/>
      <c r="G89" s="96"/>
      <c r="H89" s="244"/>
      <c r="I89" s="96"/>
      <c r="J89" s="96"/>
      <c r="K89" s="96"/>
      <c r="L89" s="96"/>
      <c r="M89" s="30"/>
      <c r="N89" s="245"/>
      <c r="O89" s="245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34"/>
      <c r="B90" s="30"/>
      <c r="C90" s="96"/>
      <c r="D90" s="96"/>
      <c r="E90" s="96"/>
      <c r="F90" s="96"/>
      <c r="G90" s="96"/>
      <c r="H90" s="244"/>
      <c r="I90" s="96"/>
      <c r="J90" s="96"/>
      <c r="K90" s="96"/>
      <c r="L90" s="96"/>
      <c r="M90" s="30"/>
      <c r="N90" s="245"/>
      <c r="O90" s="245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34"/>
      <c r="B91" s="30"/>
      <c r="C91" s="96"/>
      <c r="D91" s="96"/>
      <c r="E91" s="96"/>
      <c r="F91" s="96"/>
      <c r="G91" s="96"/>
      <c r="H91" s="244"/>
      <c r="I91" s="96"/>
      <c r="J91" s="96"/>
      <c r="K91" s="96"/>
      <c r="L91" s="96"/>
      <c r="M91" s="30"/>
      <c r="N91" s="245"/>
      <c r="O91" s="245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34"/>
      <c r="B92" s="30"/>
      <c r="C92" s="96"/>
      <c r="D92" s="96"/>
      <c r="E92" s="96"/>
      <c r="F92" s="96"/>
      <c r="G92" s="96"/>
      <c r="H92" s="244"/>
      <c r="I92" s="96"/>
      <c r="J92" s="96"/>
      <c r="K92" s="96"/>
      <c r="L92" s="96"/>
      <c r="M92" s="30"/>
      <c r="N92" s="245"/>
      <c r="O92" s="245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34"/>
      <c r="B93" s="30"/>
      <c r="C93" s="96"/>
      <c r="D93" s="96"/>
      <c r="E93" s="96"/>
      <c r="F93" s="96"/>
      <c r="G93" s="96"/>
      <c r="H93" s="244"/>
      <c r="I93" s="96"/>
      <c r="J93" s="96"/>
      <c r="K93" s="96"/>
      <c r="L93" s="96"/>
      <c r="M93" s="30"/>
      <c r="N93" s="245"/>
      <c r="O93" s="245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34"/>
      <c r="B94" s="30"/>
      <c r="C94" s="96"/>
      <c r="D94" s="96"/>
      <c r="E94" s="96"/>
      <c r="F94" s="96"/>
      <c r="G94" s="96"/>
      <c r="H94" s="244"/>
      <c r="I94" s="96"/>
      <c r="J94" s="96"/>
      <c r="K94" s="96"/>
      <c r="L94" s="96"/>
      <c r="M94" s="30"/>
      <c r="N94" s="245"/>
      <c r="O94" s="245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34"/>
      <c r="B95" s="30"/>
      <c r="C95" s="96"/>
      <c r="D95" s="96"/>
      <c r="E95" s="96"/>
      <c r="F95" s="96"/>
      <c r="G95" s="96"/>
      <c r="H95" s="244"/>
      <c r="I95" s="96"/>
      <c r="J95" s="96"/>
      <c r="K95" s="96"/>
      <c r="L95" s="96"/>
      <c r="M95" s="30"/>
      <c r="N95" s="245"/>
      <c r="O95" s="245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34"/>
      <c r="B96" s="30"/>
      <c r="C96" s="96"/>
      <c r="D96" s="96"/>
      <c r="E96" s="96"/>
      <c r="F96" s="96"/>
      <c r="G96" s="96"/>
      <c r="H96" s="244"/>
      <c r="I96" s="96"/>
      <c r="J96" s="96"/>
      <c r="K96" s="96"/>
      <c r="L96" s="96"/>
      <c r="M96" s="30"/>
      <c r="N96" s="245"/>
      <c r="O96" s="245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34"/>
      <c r="B97" s="30"/>
      <c r="C97" s="96"/>
      <c r="D97" s="96"/>
      <c r="E97" s="96"/>
      <c r="F97" s="96"/>
      <c r="G97" s="96"/>
      <c r="H97" s="244"/>
      <c r="I97" s="96"/>
      <c r="J97" s="96"/>
      <c r="K97" s="96"/>
      <c r="L97" s="96"/>
      <c r="M97" s="30"/>
      <c r="N97" s="245"/>
      <c r="O97" s="245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34"/>
      <c r="B98" s="30"/>
      <c r="C98" s="96"/>
      <c r="D98" s="96"/>
      <c r="E98" s="96"/>
      <c r="F98" s="96"/>
      <c r="G98" s="96"/>
      <c r="H98" s="244"/>
      <c r="I98" s="96"/>
      <c r="J98" s="96"/>
      <c r="K98" s="96"/>
      <c r="L98" s="96"/>
      <c r="M98" s="30"/>
      <c r="N98" s="245"/>
      <c r="O98" s="245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34"/>
      <c r="B99" s="30"/>
      <c r="C99" s="96"/>
      <c r="D99" s="96"/>
      <c r="E99" s="96"/>
      <c r="F99" s="96"/>
      <c r="G99" s="96"/>
      <c r="H99" s="244"/>
      <c r="I99" s="96"/>
      <c r="J99" s="96"/>
      <c r="K99" s="96"/>
      <c r="L99" s="96"/>
      <c r="M99" s="30"/>
      <c r="N99" s="245"/>
      <c r="O99" s="245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34"/>
      <c r="B100" s="30"/>
      <c r="C100" s="96"/>
      <c r="D100" s="96"/>
      <c r="E100" s="96"/>
      <c r="F100" s="96"/>
      <c r="G100" s="96"/>
      <c r="H100" s="244"/>
      <c r="I100" s="96"/>
      <c r="J100" s="96"/>
      <c r="K100" s="96"/>
      <c r="L100" s="96"/>
      <c r="M100" s="30"/>
      <c r="N100" s="245"/>
      <c r="O100" s="245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34"/>
      <c r="B101" s="30"/>
      <c r="C101" s="96"/>
      <c r="D101" s="96"/>
      <c r="E101" s="96"/>
      <c r="F101" s="96"/>
      <c r="G101" s="96"/>
      <c r="H101" s="244"/>
      <c r="I101" s="96"/>
      <c r="J101" s="96"/>
      <c r="K101" s="96"/>
      <c r="L101" s="96"/>
      <c r="M101" s="30"/>
      <c r="N101" s="245"/>
      <c r="O101" s="245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34"/>
      <c r="B102" s="30"/>
      <c r="C102" s="96"/>
      <c r="D102" s="96"/>
      <c r="E102" s="96"/>
      <c r="F102" s="96"/>
      <c r="G102" s="96"/>
      <c r="H102" s="244"/>
      <c r="I102" s="96"/>
      <c r="J102" s="96"/>
      <c r="K102" s="96"/>
      <c r="L102" s="96"/>
      <c r="M102" s="30"/>
      <c r="N102" s="245"/>
      <c r="O102" s="245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34"/>
      <c r="B103" s="30"/>
      <c r="C103" s="96"/>
      <c r="D103" s="96"/>
      <c r="E103" s="96"/>
      <c r="F103" s="96"/>
      <c r="G103" s="96"/>
      <c r="H103" s="244"/>
      <c r="I103" s="96"/>
      <c r="J103" s="96"/>
      <c r="K103" s="96"/>
      <c r="L103" s="96"/>
      <c r="M103" s="30"/>
      <c r="N103" s="245"/>
      <c r="O103" s="245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34"/>
      <c r="B104" s="30"/>
      <c r="C104" s="96"/>
      <c r="D104" s="96"/>
      <c r="E104" s="96"/>
      <c r="F104" s="96"/>
      <c r="G104" s="96"/>
      <c r="H104" s="244"/>
      <c r="I104" s="96"/>
      <c r="J104" s="96"/>
      <c r="K104" s="96"/>
      <c r="L104" s="96"/>
      <c r="M104" s="30"/>
      <c r="N104" s="245"/>
      <c r="O104" s="245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34"/>
      <c r="B105" s="30"/>
      <c r="C105" s="96"/>
      <c r="D105" s="96"/>
      <c r="E105" s="96"/>
      <c r="F105" s="96"/>
      <c r="G105" s="96"/>
      <c r="H105" s="244"/>
      <c r="I105" s="96"/>
      <c r="J105" s="96"/>
      <c r="K105" s="96"/>
      <c r="L105" s="96"/>
      <c r="M105" s="30"/>
      <c r="N105" s="245"/>
      <c r="O105" s="245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34"/>
      <c r="B106" s="30"/>
      <c r="C106" s="96"/>
      <c r="D106" s="96"/>
      <c r="E106" s="96"/>
      <c r="F106" s="96"/>
      <c r="G106" s="96"/>
      <c r="H106" s="244"/>
      <c r="I106" s="96"/>
      <c r="J106" s="96"/>
      <c r="K106" s="96"/>
      <c r="L106" s="96"/>
      <c r="M106" s="30"/>
      <c r="N106" s="245"/>
      <c r="O106" s="245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34"/>
      <c r="B107" s="30"/>
      <c r="C107" s="96"/>
      <c r="D107" s="96"/>
      <c r="E107" s="96"/>
      <c r="F107" s="96"/>
      <c r="G107" s="96"/>
      <c r="H107" s="244"/>
      <c r="I107" s="96"/>
      <c r="J107" s="96"/>
      <c r="K107" s="96"/>
      <c r="L107" s="96"/>
      <c r="M107" s="30"/>
      <c r="N107" s="245"/>
      <c r="O107" s="245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4"/>
      <c r="B108" s="30"/>
      <c r="C108" s="96"/>
      <c r="D108" s="96"/>
      <c r="E108" s="96"/>
      <c r="F108" s="96"/>
      <c r="G108" s="96"/>
      <c r="H108" s="244"/>
      <c r="I108" s="96"/>
      <c r="J108" s="96"/>
      <c r="K108" s="96"/>
      <c r="L108" s="96"/>
      <c r="M108" s="30"/>
      <c r="N108" s="245"/>
      <c r="O108" s="245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4"/>
      <c r="B109" s="30"/>
      <c r="C109" s="96"/>
      <c r="D109" s="96"/>
      <c r="E109" s="96"/>
      <c r="F109" s="96"/>
      <c r="G109" s="96"/>
      <c r="H109" s="244"/>
      <c r="I109" s="96"/>
      <c r="J109" s="96"/>
      <c r="K109" s="96"/>
      <c r="L109" s="96"/>
      <c r="M109" s="30"/>
      <c r="N109" s="245"/>
      <c r="O109" s="245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4"/>
      <c r="B110" s="30"/>
      <c r="C110" s="96"/>
      <c r="D110" s="96"/>
      <c r="E110" s="96"/>
      <c r="F110" s="96"/>
      <c r="G110" s="96"/>
      <c r="H110" s="244"/>
      <c r="I110" s="96"/>
      <c r="J110" s="96"/>
      <c r="K110" s="96"/>
      <c r="L110" s="96"/>
      <c r="M110" s="30"/>
      <c r="N110" s="245"/>
      <c r="O110" s="245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4"/>
      <c r="B111" s="30"/>
      <c r="C111" s="96"/>
      <c r="D111" s="96"/>
      <c r="E111" s="96"/>
      <c r="F111" s="96"/>
      <c r="G111" s="96"/>
      <c r="H111" s="244"/>
      <c r="I111" s="96"/>
      <c r="J111" s="96"/>
      <c r="K111" s="96"/>
      <c r="L111" s="96"/>
      <c r="M111" s="30"/>
      <c r="N111" s="245"/>
      <c r="O111" s="245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4"/>
      <c r="B112" s="30"/>
      <c r="C112" s="96"/>
      <c r="D112" s="96"/>
      <c r="E112" s="96"/>
      <c r="F112" s="96"/>
      <c r="G112" s="96"/>
      <c r="H112" s="244"/>
      <c r="I112" s="96"/>
      <c r="J112" s="96"/>
      <c r="K112" s="96"/>
      <c r="L112" s="96"/>
      <c r="M112" s="30"/>
      <c r="N112" s="245"/>
      <c r="O112" s="245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34"/>
      <c r="B113" s="30"/>
      <c r="C113" s="96"/>
      <c r="D113" s="96"/>
      <c r="E113" s="96"/>
      <c r="F113" s="96"/>
      <c r="G113" s="96"/>
      <c r="H113" s="244"/>
      <c r="I113" s="96"/>
      <c r="J113" s="96"/>
      <c r="K113" s="96"/>
      <c r="L113" s="96"/>
      <c r="M113" s="30"/>
      <c r="N113" s="245"/>
      <c r="O113" s="245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34"/>
      <c r="B114" s="30"/>
      <c r="C114" s="96"/>
      <c r="D114" s="96"/>
      <c r="E114" s="96"/>
      <c r="F114" s="96"/>
      <c r="G114" s="96"/>
      <c r="H114" s="244"/>
      <c r="I114" s="96"/>
      <c r="J114" s="96"/>
      <c r="K114" s="96"/>
      <c r="L114" s="96"/>
      <c r="M114" s="30"/>
      <c r="N114" s="245"/>
      <c r="O114" s="245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34"/>
      <c r="B115" s="30"/>
      <c r="C115" s="96"/>
      <c r="D115" s="96"/>
      <c r="E115" s="96"/>
      <c r="F115" s="96"/>
      <c r="G115" s="96"/>
      <c r="H115" s="244"/>
      <c r="I115" s="96"/>
      <c r="J115" s="96"/>
      <c r="K115" s="96"/>
      <c r="L115" s="96"/>
      <c r="M115" s="30"/>
      <c r="N115" s="245"/>
      <c r="O115" s="245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34"/>
      <c r="B116" s="30"/>
      <c r="C116" s="96"/>
      <c r="D116" s="96"/>
      <c r="E116" s="96"/>
      <c r="F116" s="96"/>
      <c r="G116" s="96"/>
      <c r="H116" s="244"/>
      <c r="I116" s="96"/>
      <c r="J116" s="96"/>
      <c r="K116" s="96"/>
      <c r="L116" s="96"/>
      <c r="M116" s="30"/>
      <c r="N116" s="245"/>
      <c r="O116" s="245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4"/>
      <c r="B117" s="30"/>
      <c r="C117" s="96"/>
      <c r="D117" s="96"/>
      <c r="E117" s="96"/>
      <c r="F117" s="96"/>
      <c r="G117" s="96"/>
      <c r="H117" s="244"/>
      <c r="I117" s="96"/>
      <c r="J117" s="96"/>
      <c r="K117" s="96"/>
      <c r="L117" s="96"/>
      <c r="M117" s="30"/>
      <c r="N117" s="245"/>
      <c r="O117" s="245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4"/>
      <c r="B118" s="30"/>
      <c r="C118" s="96"/>
      <c r="D118" s="96"/>
      <c r="E118" s="96"/>
      <c r="F118" s="96"/>
      <c r="G118" s="96"/>
      <c r="H118" s="244"/>
      <c r="I118" s="96"/>
      <c r="J118" s="96"/>
      <c r="K118" s="96"/>
      <c r="L118" s="96"/>
      <c r="M118" s="30"/>
      <c r="N118" s="245"/>
      <c r="O118" s="245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4"/>
      <c r="B119" s="30"/>
      <c r="C119" s="96"/>
      <c r="D119" s="96"/>
      <c r="E119" s="96"/>
      <c r="F119" s="96"/>
      <c r="G119" s="96"/>
      <c r="H119" s="244"/>
      <c r="I119" s="96"/>
      <c r="J119" s="96"/>
      <c r="K119" s="96"/>
      <c r="L119" s="96"/>
      <c r="M119" s="30"/>
      <c r="N119" s="245"/>
      <c r="O119" s="245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4"/>
      <c r="B120" s="30"/>
      <c r="C120" s="96"/>
      <c r="D120" s="96"/>
      <c r="E120" s="96"/>
      <c r="F120" s="96"/>
      <c r="G120" s="96"/>
      <c r="H120" s="244"/>
      <c r="I120" s="96"/>
      <c r="J120" s="96"/>
      <c r="K120" s="96"/>
      <c r="L120" s="96"/>
      <c r="M120" s="30"/>
      <c r="N120" s="245"/>
      <c r="O120" s="245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4"/>
      <c r="B121" s="30"/>
      <c r="C121" s="96"/>
      <c r="D121" s="96"/>
      <c r="E121" s="96"/>
      <c r="F121" s="96"/>
      <c r="G121" s="96"/>
      <c r="H121" s="244"/>
      <c r="I121" s="96"/>
      <c r="J121" s="96"/>
      <c r="K121" s="96"/>
      <c r="L121" s="96"/>
      <c r="M121" s="30"/>
      <c r="N121" s="245"/>
      <c r="O121" s="245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4"/>
      <c r="B122" s="30"/>
      <c r="C122" s="96"/>
      <c r="D122" s="96"/>
      <c r="E122" s="96"/>
      <c r="F122" s="96"/>
      <c r="G122" s="96"/>
      <c r="H122" s="244"/>
      <c r="I122" s="96"/>
      <c r="J122" s="96"/>
      <c r="K122" s="96"/>
      <c r="L122" s="96"/>
      <c r="M122" s="30"/>
      <c r="N122" s="245"/>
      <c r="O122" s="245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4"/>
      <c r="B123" s="30"/>
      <c r="C123" s="96"/>
      <c r="D123" s="96"/>
      <c r="E123" s="96"/>
      <c r="F123" s="96"/>
      <c r="G123" s="96"/>
      <c r="H123" s="244"/>
      <c r="I123" s="96"/>
      <c r="J123" s="96"/>
      <c r="K123" s="96"/>
      <c r="L123" s="96"/>
      <c r="M123" s="30"/>
      <c r="N123" s="245"/>
      <c r="O123" s="245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4"/>
      <c r="B124" s="30"/>
      <c r="C124" s="96"/>
      <c r="D124" s="96"/>
      <c r="E124" s="96"/>
      <c r="F124" s="96"/>
      <c r="G124" s="96"/>
      <c r="H124" s="244"/>
      <c r="I124" s="96"/>
      <c r="J124" s="96"/>
      <c r="K124" s="96"/>
      <c r="L124" s="96"/>
      <c r="M124" s="30"/>
      <c r="N124" s="245"/>
      <c r="O124" s="245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4"/>
      <c r="B125" s="30"/>
      <c r="C125" s="96"/>
      <c r="D125" s="96"/>
      <c r="E125" s="96"/>
      <c r="F125" s="96"/>
      <c r="G125" s="96"/>
      <c r="H125" s="244"/>
      <c r="I125" s="96"/>
      <c r="J125" s="96"/>
      <c r="K125" s="96"/>
      <c r="L125" s="96"/>
      <c r="M125" s="30"/>
      <c r="N125" s="245"/>
      <c r="O125" s="245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4"/>
      <c r="B126" s="30"/>
      <c r="C126" s="96"/>
      <c r="D126" s="96"/>
      <c r="E126" s="96"/>
      <c r="F126" s="96"/>
      <c r="G126" s="96"/>
      <c r="H126" s="244"/>
      <c r="I126" s="96"/>
      <c r="J126" s="96"/>
      <c r="K126" s="96"/>
      <c r="L126" s="96"/>
      <c r="M126" s="30"/>
      <c r="N126" s="245"/>
      <c r="O126" s="245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34"/>
      <c r="B127" s="30"/>
      <c r="C127" s="96"/>
      <c r="D127" s="96"/>
      <c r="E127" s="96"/>
      <c r="F127" s="96"/>
      <c r="G127" s="96"/>
      <c r="H127" s="244"/>
      <c r="I127" s="96"/>
      <c r="J127" s="96"/>
      <c r="K127" s="96"/>
      <c r="L127" s="96"/>
      <c r="M127" s="30"/>
      <c r="N127" s="245"/>
      <c r="O127" s="245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34"/>
      <c r="B128" s="30"/>
      <c r="C128" s="96"/>
      <c r="D128" s="96"/>
      <c r="E128" s="96"/>
      <c r="F128" s="96"/>
      <c r="G128" s="96"/>
      <c r="H128" s="244"/>
      <c r="I128" s="96"/>
      <c r="J128" s="96"/>
      <c r="K128" s="96"/>
      <c r="L128" s="96"/>
      <c r="M128" s="30"/>
      <c r="N128" s="245"/>
      <c r="O128" s="245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34"/>
      <c r="B129" s="30"/>
      <c r="C129" s="96"/>
      <c r="D129" s="96"/>
      <c r="E129" s="96"/>
      <c r="F129" s="96"/>
      <c r="G129" s="96"/>
      <c r="H129" s="244"/>
      <c r="I129" s="96"/>
      <c r="J129" s="96"/>
      <c r="K129" s="96"/>
      <c r="L129" s="96"/>
      <c r="M129" s="30"/>
      <c r="N129" s="245"/>
      <c r="O129" s="245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34"/>
      <c r="B130" s="30"/>
      <c r="C130" s="96"/>
      <c r="D130" s="96"/>
      <c r="E130" s="96"/>
      <c r="F130" s="96"/>
      <c r="G130" s="96"/>
      <c r="H130" s="244"/>
      <c r="I130" s="96"/>
      <c r="J130" s="96"/>
      <c r="K130" s="96"/>
      <c r="L130" s="96"/>
      <c r="M130" s="30"/>
      <c r="N130" s="245"/>
      <c r="O130" s="245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4"/>
      <c r="B131" s="30"/>
      <c r="C131" s="96"/>
      <c r="D131" s="96"/>
      <c r="E131" s="96"/>
      <c r="F131" s="96"/>
      <c r="G131" s="96"/>
      <c r="H131" s="244"/>
      <c r="I131" s="96"/>
      <c r="J131" s="96"/>
      <c r="K131" s="96"/>
      <c r="L131" s="96"/>
      <c r="M131" s="30"/>
      <c r="N131" s="245"/>
      <c r="O131" s="245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4"/>
      <c r="B132" s="30"/>
      <c r="C132" s="96"/>
      <c r="D132" s="96"/>
      <c r="E132" s="96"/>
      <c r="F132" s="96"/>
      <c r="G132" s="96"/>
      <c r="H132" s="244"/>
      <c r="I132" s="96"/>
      <c r="J132" s="96"/>
      <c r="K132" s="96"/>
      <c r="L132" s="96"/>
      <c r="M132" s="30"/>
      <c r="N132" s="245"/>
      <c r="O132" s="245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4"/>
      <c r="B133" s="30"/>
      <c r="C133" s="96"/>
      <c r="D133" s="96"/>
      <c r="E133" s="96"/>
      <c r="F133" s="96"/>
      <c r="G133" s="96"/>
      <c r="H133" s="244"/>
      <c r="I133" s="96"/>
      <c r="J133" s="96"/>
      <c r="K133" s="96"/>
      <c r="L133" s="96"/>
      <c r="M133" s="30"/>
      <c r="N133" s="245"/>
      <c r="O133" s="245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4"/>
      <c r="B134" s="30"/>
      <c r="C134" s="96"/>
      <c r="D134" s="96"/>
      <c r="E134" s="96"/>
      <c r="F134" s="96"/>
      <c r="G134" s="96"/>
      <c r="H134" s="244"/>
      <c r="I134" s="96"/>
      <c r="J134" s="96"/>
      <c r="K134" s="96"/>
      <c r="L134" s="96"/>
      <c r="M134" s="30"/>
      <c r="N134" s="245"/>
      <c r="O134" s="245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4"/>
      <c r="B135" s="30"/>
      <c r="C135" s="96"/>
      <c r="D135" s="96"/>
      <c r="E135" s="96"/>
      <c r="F135" s="96"/>
      <c r="G135" s="96"/>
      <c r="H135" s="244"/>
      <c r="I135" s="96"/>
      <c r="J135" s="96"/>
      <c r="K135" s="96"/>
      <c r="L135" s="96"/>
      <c r="M135" s="30"/>
      <c r="N135" s="245"/>
      <c r="O135" s="245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34"/>
      <c r="B136" s="30"/>
      <c r="C136" s="96"/>
      <c r="D136" s="96"/>
      <c r="E136" s="96"/>
      <c r="F136" s="96"/>
      <c r="G136" s="96"/>
      <c r="H136" s="244"/>
      <c r="I136" s="96"/>
      <c r="J136" s="96"/>
      <c r="K136" s="96"/>
      <c r="L136" s="96"/>
      <c r="M136" s="30"/>
      <c r="N136" s="245"/>
      <c r="O136" s="245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4"/>
      <c r="B137" s="30"/>
      <c r="C137" s="96"/>
      <c r="D137" s="96"/>
      <c r="E137" s="96"/>
      <c r="F137" s="96"/>
      <c r="G137" s="96"/>
      <c r="H137" s="244"/>
      <c r="I137" s="96"/>
      <c r="J137" s="96"/>
      <c r="K137" s="96"/>
      <c r="L137" s="96"/>
      <c r="M137" s="30"/>
      <c r="N137" s="245"/>
      <c r="O137" s="245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4"/>
      <c r="B138" s="30"/>
      <c r="C138" s="96"/>
      <c r="D138" s="96"/>
      <c r="E138" s="96"/>
      <c r="F138" s="96"/>
      <c r="G138" s="96"/>
      <c r="H138" s="244"/>
      <c r="I138" s="96"/>
      <c r="J138" s="96"/>
      <c r="K138" s="96"/>
      <c r="L138" s="96"/>
      <c r="M138" s="30"/>
      <c r="N138" s="245"/>
      <c r="O138" s="245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4"/>
      <c r="B139" s="30"/>
      <c r="C139" s="96"/>
      <c r="D139" s="96"/>
      <c r="E139" s="96"/>
      <c r="F139" s="96"/>
      <c r="G139" s="96"/>
      <c r="H139" s="244"/>
      <c r="I139" s="96"/>
      <c r="J139" s="96"/>
      <c r="K139" s="96"/>
      <c r="L139" s="96"/>
      <c r="M139" s="30"/>
      <c r="N139" s="245"/>
      <c r="O139" s="245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4"/>
      <c r="B140" s="30"/>
      <c r="C140" s="96"/>
      <c r="D140" s="96"/>
      <c r="E140" s="96"/>
      <c r="F140" s="96"/>
      <c r="G140" s="96"/>
      <c r="H140" s="244"/>
      <c r="I140" s="96"/>
      <c r="J140" s="96"/>
      <c r="K140" s="96"/>
      <c r="L140" s="96"/>
      <c r="M140" s="30"/>
      <c r="N140" s="245"/>
      <c r="O140" s="245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4"/>
      <c r="B141" s="30"/>
      <c r="C141" s="96"/>
      <c r="D141" s="96"/>
      <c r="E141" s="96"/>
      <c r="F141" s="96"/>
      <c r="G141" s="96"/>
      <c r="H141" s="244"/>
      <c r="I141" s="96"/>
      <c r="J141" s="96"/>
      <c r="K141" s="96"/>
      <c r="L141" s="96"/>
      <c r="M141" s="30"/>
      <c r="N141" s="245"/>
      <c r="O141" s="245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4"/>
      <c r="B142" s="30"/>
      <c r="C142" s="96"/>
      <c r="D142" s="96"/>
      <c r="E142" s="96"/>
      <c r="F142" s="96"/>
      <c r="G142" s="96"/>
      <c r="H142" s="244"/>
      <c r="I142" s="96"/>
      <c r="J142" s="96"/>
      <c r="K142" s="96"/>
      <c r="L142" s="96"/>
      <c r="M142" s="30"/>
      <c r="N142" s="245"/>
      <c r="O142" s="245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4"/>
      <c r="B143" s="30"/>
      <c r="C143" s="96"/>
      <c r="D143" s="96"/>
      <c r="E143" s="96"/>
      <c r="F143" s="96"/>
      <c r="G143" s="96"/>
      <c r="H143" s="244"/>
      <c r="I143" s="96"/>
      <c r="J143" s="96"/>
      <c r="K143" s="96"/>
      <c r="L143" s="96"/>
      <c r="M143" s="30"/>
      <c r="N143" s="245"/>
      <c r="O143" s="245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4"/>
      <c r="B144" s="30"/>
      <c r="C144" s="96"/>
      <c r="D144" s="96"/>
      <c r="E144" s="96"/>
      <c r="F144" s="96"/>
      <c r="G144" s="96"/>
      <c r="H144" s="244"/>
      <c r="I144" s="96"/>
      <c r="J144" s="96"/>
      <c r="K144" s="96"/>
      <c r="L144" s="96"/>
      <c r="M144" s="30"/>
      <c r="N144" s="245"/>
      <c r="O144" s="245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4"/>
      <c r="B145" s="30"/>
      <c r="C145" s="96"/>
      <c r="D145" s="96"/>
      <c r="E145" s="96"/>
      <c r="F145" s="96"/>
      <c r="G145" s="96"/>
      <c r="H145" s="244"/>
      <c r="I145" s="96"/>
      <c r="J145" s="96"/>
      <c r="K145" s="96"/>
      <c r="L145" s="96"/>
      <c r="M145" s="30"/>
      <c r="N145" s="245"/>
      <c r="O145" s="245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4"/>
      <c r="B146" s="30"/>
      <c r="C146" s="96"/>
      <c r="D146" s="96"/>
      <c r="E146" s="96"/>
      <c r="F146" s="96"/>
      <c r="G146" s="96"/>
      <c r="H146" s="244"/>
      <c r="I146" s="96"/>
      <c r="J146" s="96"/>
      <c r="K146" s="96"/>
      <c r="L146" s="96"/>
      <c r="M146" s="30"/>
      <c r="N146" s="245"/>
      <c r="O146" s="245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4"/>
      <c r="B147" s="30"/>
      <c r="C147" s="96"/>
      <c r="D147" s="96"/>
      <c r="E147" s="96"/>
      <c r="F147" s="96"/>
      <c r="G147" s="96"/>
      <c r="H147" s="244"/>
      <c r="I147" s="96"/>
      <c r="J147" s="96"/>
      <c r="K147" s="96"/>
      <c r="L147" s="96"/>
      <c r="M147" s="30"/>
      <c r="N147" s="245"/>
      <c r="O147" s="245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4"/>
      <c r="B148" s="30"/>
      <c r="C148" s="96"/>
      <c r="D148" s="96"/>
      <c r="E148" s="96"/>
      <c r="F148" s="96"/>
      <c r="G148" s="96"/>
      <c r="H148" s="244"/>
      <c r="I148" s="96"/>
      <c r="J148" s="96"/>
      <c r="K148" s="96"/>
      <c r="L148" s="96"/>
      <c r="M148" s="30"/>
      <c r="N148" s="245"/>
      <c r="O148" s="245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4"/>
      <c r="B149" s="30"/>
      <c r="C149" s="96"/>
      <c r="D149" s="96"/>
      <c r="E149" s="96"/>
      <c r="F149" s="96"/>
      <c r="G149" s="96"/>
      <c r="H149" s="244"/>
      <c r="I149" s="96"/>
      <c r="J149" s="96"/>
      <c r="K149" s="96"/>
      <c r="L149" s="96"/>
      <c r="M149" s="30"/>
      <c r="N149" s="245"/>
      <c r="O149" s="245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4"/>
      <c r="B150" s="30"/>
      <c r="C150" s="96"/>
      <c r="D150" s="96"/>
      <c r="E150" s="96"/>
      <c r="F150" s="96"/>
      <c r="G150" s="96"/>
      <c r="H150" s="244"/>
      <c r="I150" s="96"/>
      <c r="J150" s="96"/>
      <c r="K150" s="96"/>
      <c r="L150" s="96"/>
      <c r="M150" s="30"/>
      <c r="N150" s="245"/>
      <c r="O150" s="245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4"/>
      <c r="B151" s="30"/>
      <c r="C151" s="96"/>
      <c r="D151" s="96"/>
      <c r="E151" s="96"/>
      <c r="F151" s="96"/>
      <c r="G151" s="96"/>
      <c r="H151" s="244"/>
      <c r="I151" s="96"/>
      <c r="J151" s="96"/>
      <c r="K151" s="96"/>
      <c r="L151" s="96"/>
      <c r="M151" s="30"/>
      <c r="N151" s="245"/>
      <c r="O151" s="245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4"/>
      <c r="B152" s="30"/>
      <c r="C152" s="96"/>
      <c r="D152" s="96"/>
      <c r="E152" s="96"/>
      <c r="F152" s="96"/>
      <c r="G152" s="96"/>
      <c r="H152" s="244"/>
      <c r="I152" s="96"/>
      <c r="J152" s="96"/>
      <c r="K152" s="96"/>
      <c r="L152" s="96"/>
      <c r="M152" s="30"/>
      <c r="N152" s="245"/>
      <c r="O152" s="245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4"/>
      <c r="B153" s="30"/>
      <c r="C153" s="96"/>
      <c r="D153" s="96"/>
      <c r="E153" s="96"/>
      <c r="F153" s="96"/>
      <c r="G153" s="96"/>
      <c r="H153" s="244"/>
      <c r="I153" s="96"/>
      <c r="J153" s="96"/>
      <c r="K153" s="96"/>
      <c r="L153" s="96"/>
      <c r="M153" s="30"/>
      <c r="N153" s="245"/>
      <c r="O153" s="245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4"/>
      <c r="B154" s="30"/>
      <c r="C154" s="96"/>
      <c r="D154" s="96"/>
      <c r="E154" s="96"/>
      <c r="F154" s="96"/>
      <c r="G154" s="96"/>
      <c r="H154" s="244"/>
      <c r="I154" s="96"/>
      <c r="J154" s="96"/>
      <c r="K154" s="96"/>
      <c r="L154" s="96"/>
      <c r="M154" s="30"/>
      <c r="N154" s="245"/>
      <c r="O154" s="245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4"/>
      <c r="B155" s="30"/>
      <c r="C155" s="96"/>
      <c r="D155" s="96"/>
      <c r="E155" s="96"/>
      <c r="F155" s="96"/>
      <c r="G155" s="96"/>
      <c r="H155" s="244"/>
      <c r="I155" s="96"/>
      <c r="J155" s="96"/>
      <c r="K155" s="96"/>
      <c r="L155" s="96"/>
      <c r="M155" s="30"/>
      <c r="N155" s="245"/>
      <c r="O155" s="245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4"/>
      <c r="B156" s="30"/>
      <c r="C156" s="96"/>
      <c r="D156" s="96"/>
      <c r="E156" s="96"/>
      <c r="F156" s="96"/>
      <c r="G156" s="96"/>
      <c r="H156" s="244"/>
      <c r="I156" s="96"/>
      <c r="J156" s="96"/>
      <c r="K156" s="96"/>
      <c r="L156" s="96"/>
      <c r="M156" s="30"/>
      <c r="N156" s="245"/>
      <c r="O156" s="245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4"/>
      <c r="B157" s="30"/>
      <c r="C157" s="96"/>
      <c r="D157" s="96"/>
      <c r="E157" s="96"/>
      <c r="F157" s="96"/>
      <c r="G157" s="96"/>
      <c r="H157" s="244"/>
      <c r="I157" s="96"/>
      <c r="J157" s="96"/>
      <c r="K157" s="96"/>
      <c r="L157" s="96"/>
      <c r="M157" s="30"/>
      <c r="N157" s="245"/>
      <c r="O157" s="245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4"/>
      <c r="B158" s="30"/>
      <c r="C158" s="96"/>
      <c r="D158" s="96"/>
      <c r="E158" s="96"/>
      <c r="F158" s="96"/>
      <c r="G158" s="96"/>
      <c r="H158" s="244"/>
      <c r="I158" s="96"/>
      <c r="J158" s="96"/>
      <c r="K158" s="96"/>
      <c r="L158" s="96"/>
      <c r="M158" s="30"/>
      <c r="N158" s="245"/>
      <c r="O158" s="245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4"/>
      <c r="B159" s="30"/>
      <c r="C159" s="96"/>
      <c r="D159" s="96"/>
      <c r="E159" s="96"/>
      <c r="F159" s="96"/>
      <c r="G159" s="96"/>
      <c r="H159" s="244"/>
      <c r="I159" s="96"/>
      <c r="J159" s="96"/>
      <c r="K159" s="96"/>
      <c r="L159" s="96"/>
      <c r="M159" s="30"/>
      <c r="N159" s="245"/>
      <c r="O159" s="245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4"/>
      <c r="B160" s="30"/>
      <c r="C160" s="96"/>
      <c r="D160" s="96"/>
      <c r="E160" s="96"/>
      <c r="F160" s="96"/>
      <c r="G160" s="96"/>
      <c r="H160" s="244"/>
      <c r="I160" s="96"/>
      <c r="J160" s="96"/>
      <c r="K160" s="96"/>
      <c r="L160" s="96"/>
      <c r="M160" s="30"/>
      <c r="N160" s="245"/>
      <c r="O160" s="245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34"/>
      <c r="B161" s="30"/>
      <c r="C161" s="96"/>
      <c r="D161" s="96"/>
      <c r="E161" s="96"/>
      <c r="F161" s="96"/>
      <c r="G161" s="96"/>
      <c r="H161" s="244"/>
      <c r="I161" s="96"/>
      <c r="J161" s="96"/>
      <c r="K161" s="96"/>
      <c r="L161" s="96"/>
      <c r="M161" s="30"/>
      <c r="N161" s="245"/>
      <c r="O161" s="245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4"/>
      <c r="B162" s="30"/>
      <c r="C162" s="96"/>
      <c r="D162" s="96"/>
      <c r="E162" s="96"/>
      <c r="F162" s="96"/>
      <c r="G162" s="96"/>
      <c r="H162" s="244"/>
      <c r="I162" s="96"/>
      <c r="J162" s="96"/>
      <c r="K162" s="96"/>
      <c r="L162" s="96"/>
      <c r="M162" s="30"/>
      <c r="N162" s="245"/>
      <c r="O162" s="245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4"/>
      <c r="B163" s="30"/>
      <c r="C163" s="96"/>
      <c r="D163" s="96"/>
      <c r="E163" s="96"/>
      <c r="F163" s="96"/>
      <c r="G163" s="96"/>
      <c r="H163" s="244"/>
      <c r="I163" s="96"/>
      <c r="J163" s="96"/>
      <c r="K163" s="96"/>
      <c r="L163" s="96"/>
      <c r="M163" s="30"/>
      <c r="N163" s="245"/>
      <c r="O163" s="245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34"/>
      <c r="B164" s="30"/>
      <c r="C164" s="96"/>
      <c r="D164" s="96"/>
      <c r="E164" s="96"/>
      <c r="F164" s="96"/>
      <c r="G164" s="96"/>
      <c r="H164" s="244"/>
      <c r="I164" s="96"/>
      <c r="J164" s="96"/>
      <c r="K164" s="96"/>
      <c r="L164" s="96"/>
      <c r="M164" s="30"/>
      <c r="N164" s="245"/>
      <c r="O164" s="245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4"/>
      <c r="B165" s="30"/>
      <c r="C165" s="96"/>
      <c r="D165" s="96"/>
      <c r="E165" s="96"/>
      <c r="F165" s="96"/>
      <c r="G165" s="96"/>
      <c r="H165" s="244"/>
      <c r="I165" s="96"/>
      <c r="J165" s="96"/>
      <c r="K165" s="96"/>
      <c r="L165" s="96"/>
      <c r="M165" s="30"/>
      <c r="N165" s="245"/>
      <c r="O165" s="245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4"/>
      <c r="B166" s="30"/>
      <c r="C166" s="96"/>
      <c r="D166" s="96"/>
      <c r="E166" s="96"/>
      <c r="F166" s="96"/>
      <c r="G166" s="96"/>
      <c r="H166" s="244"/>
      <c r="I166" s="96"/>
      <c r="J166" s="96"/>
      <c r="K166" s="96"/>
      <c r="L166" s="96"/>
      <c r="M166" s="30"/>
      <c r="N166" s="245"/>
      <c r="O166" s="245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4"/>
      <c r="B167" s="30"/>
      <c r="C167" s="96"/>
      <c r="D167" s="96"/>
      <c r="E167" s="96"/>
      <c r="F167" s="96"/>
      <c r="G167" s="96"/>
      <c r="H167" s="244"/>
      <c r="I167" s="96"/>
      <c r="J167" s="96"/>
      <c r="K167" s="96"/>
      <c r="L167" s="96"/>
      <c r="M167" s="30"/>
      <c r="N167" s="245"/>
      <c r="O167" s="245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4"/>
      <c r="B168" s="30"/>
      <c r="C168" s="96"/>
      <c r="D168" s="96"/>
      <c r="E168" s="96"/>
      <c r="F168" s="96"/>
      <c r="G168" s="96"/>
      <c r="H168" s="244"/>
      <c r="I168" s="96"/>
      <c r="J168" s="96"/>
      <c r="K168" s="96"/>
      <c r="L168" s="96"/>
      <c r="M168" s="30"/>
      <c r="N168" s="245"/>
      <c r="O168" s="245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4"/>
      <c r="B169" s="30"/>
      <c r="C169" s="96"/>
      <c r="D169" s="96"/>
      <c r="E169" s="96"/>
      <c r="F169" s="96"/>
      <c r="G169" s="96"/>
      <c r="H169" s="244"/>
      <c r="I169" s="96"/>
      <c r="J169" s="96"/>
      <c r="K169" s="96"/>
      <c r="L169" s="96"/>
      <c r="M169" s="30"/>
      <c r="N169" s="245"/>
      <c r="O169" s="245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4"/>
      <c r="B170" s="30"/>
      <c r="C170" s="96"/>
      <c r="D170" s="96"/>
      <c r="E170" s="96"/>
      <c r="F170" s="96"/>
      <c r="G170" s="96"/>
      <c r="H170" s="244"/>
      <c r="I170" s="96"/>
      <c r="J170" s="96"/>
      <c r="K170" s="96"/>
      <c r="L170" s="96"/>
      <c r="M170" s="30"/>
      <c r="N170" s="245"/>
      <c r="O170" s="245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4"/>
      <c r="B171" s="30"/>
      <c r="C171" s="96"/>
      <c r="D171" s="96"/>
      <c r="E171" s="96"/>
      <c r="F171" s="96"/>
      <c r="G171" s="96"/>
      <c r="H171" s="244"/>
      <c r="I171" s="96"/>
      <c r="J171" s="96"/>
      <c r="K171" s="96"/>
      <c r="L171" s="96"/>
      <c r="M171" s="30"/>
      <c r="N171" s="245"/>
      <c r="O171" s="245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4"/>
      <c r="B172" s="30"/>
      <c r="C172" s="96"/>
      <c r="D172" s="96"/>
      <c r="E172" s="96"/>
      <c r="F172" s="96"/>
      <c r="G172" s="96"/>
      <c r="H172" s="244"/>
      <c r="I172" s="96"/>
      <c r="J172" s="96"/>
      <c r="K172" s="96"/>
      <c r="L172" s="96"/>
      <c r="M172" s="30"/>
      <c r="N172" s="245"/>
      <c r="O172" s="245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4"/>
      <c r="B173" s="30"/>
      <c r="C173" s="96"/>
      <c r="D173" s="96"/>
      <c r="E173" s="96"/>
      <c r="F173" s="96"/>
      <c r="G173" s="96"/>
      <c r="H173" s="244"/>
      <c r="I173" s="96"/>
      <c r="J173" s="96"/>
      <c r="K173" s="96"/>
      <c r="L173" s="96"/>
      <c r="M173" s="30"/>
      <c r="N173" s="245"/>
      <c r="O173" s="245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4"/>
      <c r="B174" s="30"/>
      <c r="C174" s="96"/>
      <c r="D174" s="96"/>
      <c r="E174" s="96"/>
      <c r="F174" s="96"/>
      <c r="G174" s="96"/>
      <c r="H174" s="244"/>
      <c r="I174" s="96"/>
      <c r="J174" s="96"/>
      <c r="K174" s="96"/>
      <c r="L174" s="96"/>
      <c r="M174" s="30"/>
      <c r="N174" s="245"/>
      <c r="O174" s="245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4"/>
      <c r="B175" s="30"/>
      <c r="C175" s="96"/>
      <c r="D175" s="96"/>
      <c r="E175" s="96"/>
      <c r="F175" s="96"/>
      <c r="G175" s="96"/>
      <c r="H175" s="244"/>
      <c r="I175" s="96"/>
      <c r="J175" s="96"/>
      <c r="K175" s="96"/>
      <c r="L175" s="96"/>
      <c r="M175" s="30"/>
      <c r="N175" s="245"/>
      <c r="O175" s="245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34"/>
      <c r="B176" s="30"/>
      <c r="C176" s="96"/>
      <c r="D176" s="96"/>
      <c r="E176" s="96"/>
      <c r="F176" s="96"/>
      <c r="G176" s="96"/>
      <c r="H176" s="244"/>
      <c r="I176" s="96"/>
      <c r="J176" s="96"/>
      <c r="K176" s="96"/>
      <c r="L176" s="96"/>
      <c r="M176" s="30"/>
      <c r="N176" s="245"/>
      <c r="O176" s="245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4"/>
      <c r="B177" s="30"/>
      <c r="C177" s="96"/>
      <c r="D177" s="96"/>
      <c r="E177" s="96"/>
      <c r="F177" s="96"/>
      <c r="G177" s="96"/>
      <c r="H177" s="244"/>
      <c r="I177" s="96"/>
      <c r="J177" s="96"/>
      <c r="K177" s="96"/>
      <c r="L177" s="96"/>
      <c r="M177" s="30"/>
      <c r="N177" s="245"/>
      <c r="O177" s="245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4"/>
      <c r="B178" s="30"/>
      <c r="C178" s="96"/>
      <c r="D178" s="96"/>
      <c r="E178" s="96"/>
      <c r="F178" s="96"/>
      <c r="G178" s="96"/>
      <c r="H178" s="244"/>
      <c r="I178" s="96"/>
      <c r="J178" s="96"/>
      <c r="K178" s="96"/>
      <c r="L178" s="96"/>
      <c r="M178" s="30"/>
      <c r="N178" s="245"/>
      <c r="O178" s="245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4"/>
      <c r="B179" s="30"/>
      <c r="C179" s="96"/>
      <c r="D179" s="96"/>
      <c r="E179" s="96"/>
      <c r="F179" s="96"/>
      <c r="G179" s="96"/>
      <c r="H179" s="244"/>
      <c r="I179" s="96"/>
      <c r="J179" s="96"/>
      <c r="K179" s="96"/>
      <c r="L179" s="96"/>
      <c r="M179" s="30"/>
      <c r="N179" s="245"/>
      <c r="O179" s="245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4"/>
      <c r="B180" s="30"/>
      <c r="C180" s="96"/>
      <c r="D180" s="96"/>
      <c r="E180" s="96"/>
      <c r="F180" s="96"/>
      <c r="G180" s="96"/>
      <c r="H180" s="244"/>
      <c r="I180" s="96"/>
      <c r="J180" s="96"/>
      <c r="K180" s="96"/>
      <c r="L180" s="96"/>
      <c r="M180" s="30"/>
      <c r="N180" s="245"/>
      <c r="O180" s="245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4"/>
      <c r="B181" s="30"/>
      <c r="C181" s="96"/>
      <c r="D181" s="96"/>
      <c r="E181" s="96"/>
      <c r="F181" s="96"/>
      <c r="G181" s="96"/>
      <c r="H181" s="244"/>
      <c r="I181" s="96"/>
      <c r="J181" s="96"/>
      <c r="K181" s="96"/>
      <c r="L181" s="96"/>
      <c r="M181" s="30"/>
      <c r="N181" s="245"/>
      <c r="O181" s="245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4"/>
      <c r="B182" s="30"/>
      <c r="C182" s="96"/>
      <c r="D182" s="96"/>
      <c r="E182" s="96"/>
      <c r="F182" s="96"/>
      <c r="G182" s="96"/>
      <c r="H182" s="244"/>
      <c r="I182" s="96"/>
      <c r="J182" s="96"/>
      <c r="K182" s="96"/>
      <c r="L182" s="96"/>
      <c r="M182" s="30"/>
      <c r="N182" s="245"/>
      <c r="O182" s="245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4"/>
      <c r="B183" s="30"/>
      <c r="C183" s="96"/>
      <c r="D183" s="96"/>
      <c r="E183" s="96"/>
      <c r="F183" s="96"/>
      <c r="G183" s="96"/>
      <c r="H183" s="244"/>
      <c r="I183" s="96"/>
      <c r="J183" s="96"/>
      <c r="K183" s="96"/>
      <c r="L183" s="96"/>
      <c r="M183" s="30"/>
      <c r="N183" s="245"/>
      <c r="O183" s="245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4"/>
      <c r="B184" s="30"/>
      <c r="C184" s="96"/>
      <c r="D184" s="96"/>
      <c r="E184" s="96"/>
      <c r="F184" s="96"/>
      <c r="G184" s="96"/>
      <c r="H184" s="244"/>
      <c r="I184" s="96"/>
      <c r="J184" s="96"/>
      <c r="K184" s="96"/>
      <c r="L184" s="96"/>
      <c r="M184" s="30"/>
      <c r="N184" s="245"/>
      <c r="O184" s="245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4"/>
      <c r="B185" s="30"/>
      <c r="C185" s="96"/>
      <c r="D185" s="96"/>
      <c r="E185" s="96"/>
      <c r="F185" s="96"/>
      <c r="G185" s="96"/>
      <c r="H185" s="244"/>
      <c r="I185" s="96"/>
      <c r="J185" s="96"/>
      <c r="K185" s="96"/>
      <c r="L185" s="96"/>
      <c r="M185" s="30"/>
      <c r="N185" s="245"/>
      <c r="O185" s="245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4"/>
      <c r="B186" s="30"/>
      <c r="C186" s="96"/>
      <c r="D186" s="96"/>
      <c r="E186" s="96"/>
      <c r="F186" s="96"/>
      <c r="G186" s="96"/>
      <c r="H186" s="244"/>
      <c r="I186" s="96"/>
      <c r="J186" s="96"/>
      <c r="K186" s="96"/>
      <c r="L186" s="96"/>
      <c r="M186" s="30"/>
      <c r="N186" s="245"/>
      <c r="O186" s="245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34"/>
      <c r="B187" s="30"/>
      <c r="C187" s="96"/>
      <c r="D187" s="96"/>
      <c r="E187" s="96"/>
      <c r="F187" s="96"/>
      <c r="G187" s="96"/>
      <c r="H187" s="244"/>
      <c r="I187" s="96"/>
      <c r="J187" s="96"/>
      <c r="K187" s="96"/>
      <c r="L187" s="96"/>
      <c r="M187" s="30"/>
      <c r="N187" s="245"/>
      <c r="O187" s="245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4"/>
      <c r="B188" s="30"/>
      <c r="C188" s="96"/>
      <c r="D188" s="96"/>
      <c r="E188" s="96"/>
      <c r="F188" s="96"/>
      <c r="G188" s="96"/>
      <c r="H188" s="244"/>
      <c r="I188" s="96"/>
      <c r="J188" s="96"/>
      <c r="K188" s="96"/>
      <c r="L188" s="96"/>
      <c r="M188" s="30"/>
      <c r="N188" s="245"/>
      <c r="O188" s="245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4"/>
      <c r="B189" s="30"/>
      <c r="C189" s="96"/>
      <c r="D189" s="96"/>
      <c r="E189" s="96"/>
      <c r="F189" s="96"/>
      <c r="G189" s="96"/>
      <c r="H189" s="244"/>
      <c r="I189" s="96"/>
      <c r="J189" s="96"/>
      <c r="K189" s="96"/>
      <c r="L189" s="96"/>
      <c r="M189" s="30"/>
      <c r="N189" s="245"/>
      <c r="O189" s="245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4"/>
      <c r="B190" s="30"/>
      <c r="C190" s="96"/>
      <c r="D190" s="96"/>
      <c r="E190" s="96"/>
      <c r="F190" s="96"/>
      <c r="G190" s="96"/>
      <c r="H190" s="244"/>
      <c r="I190" s="96"/>
      <c r="J190" s="96"/>
      <c r="K190" s="96"/>
      <c r="L190" s="96"/>
      <c r="M190" s="30"/>
      <c r="N190" s="245"/>
      <c r="O190" s="245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34"/>
      <c r="B191" s="30"/>
      <c r="C191" s="96"/>
      <c r="D191" s="96"/>
      <c r="E191" s="96"/>
      <c r="F191" s="96"/>
      <c r="G191" s="96"/>
      <c r="H191" s="244"/>
      <c r="I191" s="96"/>
      <c r="J191" s="96"/>
      <c r="K191" s="96"/>
      <c r="L191" s="96"/>
      <c r="M191" s="30"/>
      <c r="N191" s="245"/>
      <c r="O191" s="245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34"/>
      <c r="B192" s="30"/>
      <c r="C192" s="96"/>
      <c r="D192" s="96"/>
      <c r="E192" s="96"/>
      <c r="F192" s="96"/>
      <c r="G192" s="96"/>
      <c r="H192" s="244"/>
      <c r="I192" s="96"/>
      <c r="J192" s="96"/>
      <c r="K192" s="96"/>
      <c r="L192" s="96"/>
      <c r="M192" s="30"/>
      <c r="N192" s="245"/>
      <c r="O192" s="245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34"/>
      <c r="B193" s="30"/>
      <c r="C193" s="96"/>
      <c r="D193" s="96"/>
      <c r="E193" s="96"/>
      <c r="F193" s="96"/>
      <c r="G193" s="96"/>
      <c r="H193" s="244"/>
      <c r="I193" s="96"/>
      <c r="J193" s="96"/>
      <c r="K193" s="96"/>
      <c r="L193" s="96"/>
      <c r="M193" s="30"/>
      <c r="N193" s="245"/>
      <c r="O193" s="245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34"/>
      <c r="B194" s="30"/>
      <c r="C194" s="96"/>
      <c r="D194" s="96"/>
      <c r="E194" s="96"/>
      <c r="F194" s="96"/>
      <c r="G194" s="96"/>
      <c r="H194" s="244"/>
      <c r="I194" s="96"/>
      <c r="J194" s="96"/>
      <c r="K194" s="96"/>
      <c r="L194" s="96"/>
      <c r="M194" s="30"/>
      <c r="N194" s="245"/>
      <c r="O194" s="245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4"/>
      <c r="B195" s="30"/>
      <c r="C195" s="96"/>
      <c r="D195" s="96"/>
      <c r="E195" s="96"/>
      <c r="F195" s="96"/>
      <c r="G195" s="96"/>
      <c r="H195" s="244"/>
      <c r="I195" s="96"/>
      <c r="J195" s="96"/>
      <c r="K195" s="96"/>
      <c r="L195" s="96"/>
      <c r="M195" s="30"/>
      <c r="N195" s="245"/>
      <c r="O195" s="245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34"/>
      <c r="B196" s="30"/>
      <c r="C196" s="96"/>
      <c r="D196" s="96"/>
      <c r="E196" s="96"/>
      <c r="F196" s="96"/>
      <c r="G196" s="96"/>
      <c r="H196" s="244"/>
      <c r="I196" s="96"/>
      <c r="J196" s="96"/>
      <c r="K196" s="96"/>
      <c r="L196" s="96"/>
      <c r="M196" s="30"/>
      <c r="N196" s="245"/>
      <c r="O196" s="245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34"/>
      <c r="B197" s="30"/>
      <c r="C197" s="96"/>
      <c r="D197" s="96"/>
      <c r="E197" s="96"/>
      <c r="F197" s="96"/>
      <c r="G197" s="96"/>
      <c r="H197" s="244"/>
      <c r="I197" s="96"/>
      <c r="J197" s="96"/>
      <c r="K197" s="96"/>
      <c r="L197" s="96"/>
      <c r="M197" s="30"/>
      <c r="N197" s="245"/>
      <c r="O197" s="245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34"/>
      <c r="B198" s="30"/>
      <c r="C198" s="96"/>
      <c r="D198" s="96"/>
      <c r="E198" s="96"/>
      <c r="F198" s="96"/>
      <c r="G198" s="96"/>
      <c r="H198" s="244"/>
      <c r="I198" s="96"/>
      <c r="J198" s="96"/>
      <c r="K198" s="96"/>
      <c r="L198" s="96"/>
      <c r="M198" s="30"/>
      <c r="N198" s="245"/>
      <c r="O198" s="245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34"/>
      <c r="B199" s="30"/>
      <c r="C199" s="96"/>
      <c r="D199" s="96"/>
      <c r="E199" s="96"/>
      <c r="F199" s="96"/>
      <c r="G199" s="96"/>
      <c r="H199" s="244"/>
      <c r="I199" s="96"/>
      <c r="J199" s="96"/>
      <c r="K199" s="96"/>
      <c r="L199" s="96"/>
      <c r="M199" s="30"/>
      <c r="N199" s="245"/>
      <c r="O199" s="245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34"/>
      <c r="B200" s="30"/>
      <c r="C200" s="96"/>
      <c r="D200" s="96"/>
      <c r="E200" s="96"/>
      <c r="F200" s="96"/>
      <c r="G200" s="96"/>
      <c r="H200" s="244"/>
      <c r="I200" s="96"/>
      <c r="J200" s="96"/>
      <c r="K200" s="96"/>
      <c r="L200" s="96"/>
      <c r="M200" s="30"/>
      <c r="N200" s="245"/>
      <c r="O200" s="245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34"/>
      <c r="B201" s="30"/>
      <c r="C201" s="96"/>
      <c r="D201" s="96"/>
      <c r="E201" s="96"/>
      <c r="F201" s="96"/>
      <c r="G201" s="96"/>
      <c r="H201" s="244"/>
      <c r="I201" s="96"/>
      <c r="J201" s="96"/>
      <c r="K201" s="96"/>
      <c r="L201" s="96"/>
      <c r="M201" s="30"/>
      <c r="N201" s="245"/>
      <c r="O201" s="245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34"/>
      <c r="B202" s="30"/>
      <c r="C202" s="96"/>
      <c r="D202" s="96"/>
      <c r="E202" s="96"/>
      <c r="F202" s="96"/>
      <c r="G202" s="96"/>
      <c r="H202" s="244"/>
      <c r="I202" s="96"/>
      <c r="J202" s="96"/>
      <c r="K202" s="96"/>
      <c r="L202" s="96"/>
      <c r="M202" s="30"/>
      <c r="N202" s="245"/>
      <c r="O202" s="245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34"/>
      <c r="B203" s="30"/>
      <c r="C203" s="96"/>
      <c r="D203" s="96"/>
      <c r="E203" s="96"/>
      <c r="F203" s="96"/>
      <c r="G203" s="96"/>
      <c r="H203" s="244"/>
      <c r="I203" s="96"/>
      <c r="J203" s="96"/>
      <c r="K203" s="96"/>
      <c r="L203" s="96"/>
      <c r="M203" s="30"/>
      <c r="N203" s="245"/>
      <c r="O203" s="245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34"/>
      <c r="B204" s="30"/>
      <c r="C204" s="96"/>
      <c r="D204" s="96"/>
      <c r="E204" s="96"/>
      <c r="F204" s="96"/>
      <c r="G204" s="96"/>
      <c r="H204" s="244"/>
      <c r="I204" s="96"/>
      <c r="J204" s="96"/>
      <c r="K204" s="96"/>
      <c r="L204" s="96"/>
      <c r="M204" s="30"/>
      <c r="N204" s="245"/>
      <c r="O204" s="245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34"/>
      <c r="B205" s="30"/>
      <c r="C205" s="96"/>
      <c r="D205" s="96"/>
      <c r="E205" s="96"/>
      <c r="F205" s="96"/>
      <c r="G205" s="96"/>
      <c r="H205" s="244"/>
      <c r="I205" s="96"/>
      <c r="J205" s="96"/>
      <c r="K205" s="96"/>
      <c r="L205" s="96"/>
      <c r="M205" s="30"/>
      <c r="N205" s="245"/>
      <c r="O205" s="245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34"/>
      <c r="B206" s="30"/>
      <c r="C206" s="96"/>
      <c r="D206" s="96"/>
      <c r="E206" s="96"/>
      <c r="F206" s="96"/>
      <c r="G206" s="96"/>
      <c r="H206" s="244"/>
      <c r="I206" s="96"/>
      <c r="J206" s="96"/>
      <c r="K206" s="96"/>
      <c r="L206" s="96"/>
      <c r="M206" s="30"/>
      <c r="N206" s="245"/>
      <c r="O206" s="245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34"/>
      <c r="B207" s="30"/>
      <c r="C207" s="96"/>
      <c r="D207" s="96"/>
      <c r="E207" s="96"/>
      <c r="F207" s="96"/>
      <c r="G207" s="96"/>
      <c r="H207" s="244"/>
      <c r="I207" s="96"/>
      <c r="J207" s="96"/>
      <c r="K207" s="96"/>
      <c r="L207" s="96"/>
      <c r="M207" s="30"/>
      <c r="N207" s="245"/>
      <c r="O207" s="245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34"/>
      <c r="B208" s="30"/>
      <c r="C208" s="96"/>
      <c r="D208" s="96"/>
      <c r="E208" s="96"/>
      <c r="F208" s="96"/>
      <c r="G208" s="96"/>
      <c r="H208" s="244"/>
      <c r="I208" s="96"/>
      <c r="J208" s="96"/>
      <c r="K208" s="96"/>
      <c r="L208" s="96"/>
      <c r="M208" s="30"/>
      <c r="N208" s="245"/>
      <c r="O208" s="245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4"/>
      <c r="B209" s="30"/>
      <c r="C209" s="96"/>
      <c r="D209" s="96"/>
      <c r="E209" s="96"/>
      <c r="F209" s="96"/>
      <c r="G209" s="96"/>
      <c r="H209" s="244"/>
      <c r="I209" s="96"/>
      <c r="J209" s="96"/>
      <c r="K209" s="96"/>
      <c r="L209" s="96"/>
      <c r="M209" s="30"/>
      <c r="N209" s="245"/>
      <c r="O209" s="245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34"/>
      <c r="B210" s="30"/>
      <c r="C210" s="96"/>
      <c r="D210" s="96"/>
      <c r="E210" s="96"/>
      <c r="F210" s="96"/>
      <c r="G210" s="96"/>
      <c r="H210" s="244"/>
      <c r="I210" s="96"/>
      <c r="J210" s="96"/>
      <c r="K210" s="96"/>
      <c r="L210" s="96"/>
      <c r="M210" s="30"/>
      <c r="N210" s="245"/>
      <c r="O210" s="245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34"/>
      <c r="B211" s="30"/>
      <c r="C211" s="96"/>
      <c r="D211" s="96"/>
      <c r="E211" s="96"/>
      <c r="F211" s="96"/>
      <c r="G211" s="96"/>
      <c r="H211" s="244"/>
      <c r="I211" s="96"/>
      <c r="J211" s="96"/>
      <c r="K211" s="96"/>
      <c r="L211" s="96"/>
      <c r="M211" s="30"/>
      <c r="N211" s="245"/>
      <c r="O211" s="245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4"/>
      <c r="B212" s="30"/>
      <c r="C212" s="96"/>
      <c r="D212" s="96"/>
      <c r="E212" s="96"/>
      <c r="F212" s="96"/>
      <c r="G212" s="96"/>
      <c r="H212" s="244"/>
      <c r="I212" s="96"/>
      <c r="J212" s="96"/>
      <c r="K212" s="96"/>
      <c r="L212" s="96"/>
      <c r="M212" s="30"/>
      <c r="N212" s="245"/>
      <c r="O212" s="245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34"/>
      <c r="B213" s="30"/>
      <c r="C213" s="96"/>
      <c r="D213" s="96"/>
      <c r="E213" s="96"/>
      <c r="F213" s="96"/>
      <c r="G213" s="96"/>
      <c r="H213" s="244"/>
      <c r="I213" s="96"/>
      <c r="J213" s="96"/>
      <c r="K213" s="96"/>
      <c r="L213" s="96"/>
      <c r="M213" s="30"/>
      <c r="N213" s="245"/>
      <c r="O213" s="245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34"/>
      <c r="B214" s="30"/>
      <c r="C214" s="96"/>
      <c r="D214" s="96"/>
      <c r="E214" s="96"/>
      <c r="F214" s="96"/>
      <c r="G214" s="96"/>
      <c r="H214" s="244"/>
      <c r="I214" s="96"/>
      <c r="J214" s="96"/>
      <c r="K214" s="96"/>
      <c r="L214" s="96"/>
      <c r="M214" s="30"/>
      <c r="N214" s="245"/>
      <c r="O214" s="245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34"/>
      <c r="B215" s="30"/>
      <c r="C215" s="96"/>
      <c r="D215" s="96"/>
      <c r="E215" s="96"/>
      <c r="F215" s="96"/>
      <c r="G215" s="96"/>
      <c r="H215" s="244"/>
      <c r="I215" s="96"/>
      <c r="J215" s="96"/>
      <c r="K215" s="96"/>
      <c r="L215" s="96"/>
      <c r="M215" s="30"/>
      <c r="N215" s="245"/>
      <c r="O215" s="245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34"/>
      <c r="B216" s="30"/>
      <c r="C216" s="96"/>
      <c r="D216" s="96"/>
      <c r="E216" s="96"/>
      <c r="F216" s="96"/>
      <c r="G216" s="96"/>
      <c r="H216" s="244"/>
      <c r="I216" s="96"/>
      <c r="J216" s="96"/>
      <c r="K216" s="96"/>
      <c r="L216" s="96"/>
      <c r="M216" s="30"/>
      <c r="N216" s="245"/>
      <c r="O216" s="245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34"/>
      <c r="B217" s="30"/>
      <c r="C217" s="96"/>
      <c r="D217" s="96"/>
      <c r="E217" s="96"/>
      <c r="F217" s="96"/>
      <c r="G217" s="96"/>
      <c r="H217" s="244"/>
      <c r="I217" s="96"/>
      <c r="J217" s="96"/>
      <c r="K217" s="96"/>
      <c r="L217" s="96"/>
      <c r="M217" s="30"/>
      <c r="N217" s="245"/>
      <c r="O217" s="245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34"/>
      <c r="B218" s="30"/>
      <c r="C218" s="96"/>
      <c r="D218" s="96"/>
      <c r="E218" s="96"/>
      <c r="F218" s="96"/>
      <c r="G218" s="96"/>
      <c r="H218" s="244"/>
      <c r="I218" s="96"/>
      <c r="J218" s="96"/>
      <c r="K218" s="96"/>
      <c r="L218" s="96"/>
      <c r="M218" s="30"/>
      <c r="N218" s="245"/>
      <c r="O218" s="245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34"/>
      <c r="B219" s="30"/>
      <c r="C219" s="96"/>
      <c r="D219" s="96"/>
      <c r="E219" s="96"/>
      <c r="F219" s="96"/>
      <c r="G219" s="96"/>
      <c r="H219" s="244"/>
      <c r="I219" s="96"/>
      <c r="J219" s="96"/>
      <c r="K219" s="96"/>
      <c r="L219" s="96"/>
      <c r="M219" s="30"/>
      <c r="N219" s="245"/>
      <c r="O219" s="245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34"/>
      <c r="B220" s="30"/>
      <c r="C220" s="96"/>
      <c r="D220" s="96"/>
      <c r="E220" s="96"/>
      <c r="F220" s="96"/>
      <c r="G220" s="96"/>
      <c r="H220" s="244"/>
      <c r="I220" s="96"/>
      <c r="J220" s="96"/>
      <c r="K220" s="96"/>
      <c r="L220" s="96"/>
      <c r="M220" s="30"/>
      <c r="N220" s="245"/>
      <c r="O220" s="245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34"/>
      <c r="B221" s="30"/>
      <c r="C221" s="96"/>
      <c r="D221" s="96"/>
      <c r="E221" s="96"/>
      <c r="F221" s="96"/>
      <c r="G221" s="96"/>
      <c r="H221" s="244"/>
      <c r="I221" s="96"/>
      <c r="J221" s="96"/>
      <c r="K221" s="96"/>
      <c r="L221" s="96"/>
      <c r="M221" s="30"/>
      <c r="N221" s="245"/>
      <c r="O221" s="245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4"/>
      <c r="B222" s="30"/>
      <c r="C222" s="96"/>
      <c r="D222" s="96"/>
      <c r="E222" s="96"/>
      <c r="F222" s="96"/>
      <c r="G222" s="96"/>
      <c r="H222" s="244"/>
      <c r="I222" s="96"/>
      <c r="J222" s="96"/>
      <c r="K222" s="96"/>
      <c r="L222" s="96"/>
      <c r="M222" s="30"/>
      <c r="N222" s="245"/>
      <c r="O222" s="245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34"/>
      <c r="B223" s="30"/>
      <c r="C223" s="96"/>
      <c r="D223" s="96"/>
      <c r="E223" s="96"/>
      <c r="F223" s="96"/>
      <c r="G223" s="96"/>
      <c r="H223" s="244"/>
      <c r="I223" s="96"/>
      <c r="J223" s="96"/>
      <c r="K223" s="96"/>
      <c r="L223" s="96"/>
      <c r="M223" s="30"/>
      <c r="N223" s="245"/>
      <c r="O223" s="245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34"/>
      <c r="B224" s="30"/>
      <c r="C224" s="96"/>
      <c r="D224" s="96"/>
      <c r="E224" s="96"/>
      <c r="F224" s="96"/>
      <c r="G224" s="96"/>
      <c r="H224" s="244"/>
      <c r="I224" s="96"/>
      <c r="J224" s="96"/>
      <c r="K224" s="96"/>
      <c r="L224" s="96"/>
      <c r="M224" s="30"/>
      <c r="N224" s="245"/>
      <c r="O224" s="245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34"/>
      <c r="B225" s="30"/>
      <c r="C225" s="96"/>
      <c r="D225" s="96"/>
      <c r="E225" s="96"/>
      <c r="F225" s="96"/>
      <c r="G225" s="96"/>
      <c r="H225" s="244"/>
      <c r="I225" s="96"/>
      <c r="J225" s="96"/>
      <c r="K225" s="96"/>
      <c r="L225" s="96"/>
      <c r="M225" s="30"/>
      <c r="N225" s="245"/>
      <c r="O225" s="245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34"/>
      <c r="B226" s="30"/>
      <c r="C226" s="96"/>
      <c r="D226" s="96"/>
      <c r="E226" s="96"/>
      <c r="F226" s="96"/>
      <c r="G226" s="96"/>
      <c r="H226" s="244"/>
      <c r="I226" s="96"/>
      <c r="J226" s="96"/>
      <c r="K226" s="96"/>
      <c r="L226" s="96"/>
      <c r="M226" s="30"/>
      <c r="N226" s="245"/>
      <c r="O226" s="245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34"/>
      <c r="B227" s="30"/>
      <c r="C227" s="96"/>
      <c r="D227" s="96"/>
      <c r="E227" s="96"/>
      <c r="F227" s="96"/>
      <c r="G227" s="96"/>
      <c r="H227" s="244"/>
      <c r="I227" s="96"/>
      <c r="J227" s="96"/>
      <c r="K227" s="96"/>
      <c r="L227" s="96"/>
      <c r="M227" s="30"/>
      <c r="N227" s="245"/>
      <c r="O227" s="245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4"/>
      <c r="B228" s="30"/>
      <c r="C228" s="96"/>
      <c r="D228" s="96"/>
      <c r="E228" s="96"/>
      <c r="F228" s="96"/>
      <c r="G228" s="96"/>
      <c r="H228" s="244"/>
      <c r="I228" s="96"/>
      <c r="J228" s="96"/>
      <c r="K228" s="96"/>
      <c r="L228" s="96"/>
      <c r="M228" s="30"/>
      <c r="N228" s="245"/>
      <c r="O228" s="245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4"/>
      <c r="B229" s="30"/>
      <c r="C229" s="96"/>
      <c r="D229" s="96"/>
      <c r="E229" s="96"/>
      <c r="F229" s="96"/>
      <c r="G229" s="96"/>
      <c r="H229" s="244"/>
      <c r="I229" s="96"/>
      <c r="J229" s="96"/>
      <c r="K229" s="96"/>
      <c r="L229" s="96"/>
      <c r="M229" s="30"/>
      <c r="N229" s="245"/>
      <c r="O229" s="245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4"/>
      <c r="B230" s="30"/>
      <c r="C230" s="96"/>
      <c r="D230" s="96"/>
      <c r="E230" s="96"/>
      <c r="F230" s="96"/>
      <c r="G230" s="96"/>
      <c r="H230" s="244"/>
      <c r="I230" s="96"/>
      <c r="J230" s="96"/>
      <c r="K230" s="96"/>
      <c r="L230" s="96"/>
      <c r="M230" s="30"/>
      <c r="N230" s="245"/>
      <c r="O230" s="245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4"/>
      <c r="B231" s="30"/>
      <c r="C231" s="96"/>
      <c r="D231" s="96"/>
      <c r="E231" s="96"/>
      <c r="F231" s="96"/>
      <c r="G231" s="96"/>
      <c r="H231" s="244"/>
      <c r="I231" s="96"/>
      <c r="J231" s="96"/>
      <c r="K231" s="96"/>
      <c r="L231" s="96"/>
      <c r="M231" s="30"/>
      <c r="N231" s="245"/>
      <c r="O231" s="245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4"/>
      <c r="B232" s="30"/>
      <c r="C232" s="96"/>
      <c r="D232" s="96"/>
      <c r="E232" s="96"/>
      <c r="F232" s="96"/>
      <c r="G232" s="96"/>
      <c r="H232" s="244"/>
      <c r="I232" s="96"/>
      <c r="J232" s="96"/>
      <c r="K232" s="96"/>
      <c r="L232" s="96"/>
      <c r="M232" s="30"/>
      <c r="N232" s="245"/>
      <c r="O232" s="245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4"/>
      <c r="B233" s="30"/>
      <c r="C233" s="96"/>
      <c r="D233" s="96"/>
      <c r="E233" s="96"/>
      <c r="F233" s="96"/>
      <c r="G233" s="96"/>
      <c r="H233" s="244"/>
      <c r="I233" s="96"/>
      <c r="J233" s="96"/>
      <c r="K233" s="96"/>
      <c r="L233" s="96"/>
      <c r="M233" s="30"/>
      <c r="N233" s="245"/>
      <c r="O233" s="245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4"/>
      <c r="B234" s="30"/>
      <c r="C234" s="96"/>
      <c r="D234" s="96"/>
      <c r="E234" s="96"/>
      <c r="F234" s="96"/>
      <c r="G234" s="96"/>
      <c r="H234" s="244"/>
      <c r="I234" s="96"/>
      <c r="J234" s="96"/>
      <c r="K234" s="96"/>
      <c r="L234" s="96"/>
      <c r="M234" s="30"/>
      <c r="N234" s="245"/>
      <c r="O234" s="245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4"/>
      <c r="B235" s="30"/>
      <c r="C235" s="96"/>
      <c r="D235" s="96"/>
      <c r="E235" s="96"/>
      <c r="F235" s="96"/>
      <c r="G235" s="96"/>
      <c r="H235" s="244"/>
      <c r="I235" s="96"/>
      <c r="J235" s="96"/>
      <c r="K235" s="96"/>
      <c r="L235" s="96"/>
      <c r="M235" s="30"/>
      <c r="N235" s="245"/>
      <c r="O235" s="245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B13"/>
    <mergeCell ref="B16:B20"/>
    <mergeCell ref="B23:B27"/>
    <mergeCell ref="B30:B34"/>
    <mergeCell ref="B2:O2"/>
    <mergeCell ref="B3:O3"/>
    <mergeCell ref="B5:C5"/>
    <mergeCell ref="E5:F5"/>
    <mergeCell ref="G5:I5"/>
    <mergeCell ref="J5:L5"/>
    <mergeCell ref="M5:O5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43"/>
    <col customWidth="1" hidden="1" min="2" max="2" width="1.71"/>
    <col customWidth="1" hidden="1" min="3" max="3" width="2.43"/>
    <col customWidth="1" min="4" max="4" width="39.71"/>
    <col customWidth="1" min="5" max="5" width="12.71"/>
    <col customWidth="1" min="6" max="6" width="8.43"/>
    <col customWidth="1" min="7" max="7" width="17.29"/>
    <col customWidth="1" min="8" max="8" width="22.71"/>
    <col customWidth="1" min="9" max="9" width="12.71"/>
    <col customWidth="1" min="10" max="10" width="7.29"/>
    <col customWidth="1" min="11" max="11" width="39.71"/>
    <col customWidth="1" min="12" max="12" width="12.71"/>
    <col customWidth="1" min="13" max="13" width="8.43"/>
    <col customWidth="1" min="14" max="14" width="17.29"/>
    <col customWidth="1" min="15" max="15" width="22.71"/>
    <col customWidth="1" min="16" max="16" width="17.71"/>
    <col customWidth="1" min="17" max="17" width="0.29"/>
    <col customWidth="1" hidden="1" min="18" max="19" width="8.71"/>
    <col customWidth="1" min="20" max="25" width="8.71"/>
  </cols>
  <sheetData>
    <row r="1" ht="33.75" customHeight="1">
      <c r="A1" s="30"/>
      <c r="B1" s="30"/>
      <c r="C1" s="32"/>
      <c r="D1" s="266"/>
      <c r="E1" s="267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9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43.5" customHeight="1">
      <c r="A2" s="35"/>
      <c r="B2" s="30"/>
      <c r="C2" s="37"/>
      <c r="D2" s="270"/>
      <c r="F2" s="37"/>
      <c r="G2" s="37"/>
      <c r="H2" s="37"/>
      <c r="I2" s="37"/>
      <c r="J2" s="37"/>
      <c r="K2" s="37"/>
      <c r="L2" s="37"/>
      <c r="M2" s="37"/>
      <c r="N2" s="37"/>
      <c r="O2" s="37"/>
      <c r="P2" s="271"/>
      <c r="Q2" s="37"/>
      <c r="R2" s="37"/>
      <c r="S2" s="37"/>
      <c r="T2" s="30"/>
      <c r="U2" s="30"/>
      <c r="V2" s="30"/>
      <c r="W2" s="30"/>
      <c r="X2" s="30"/>
      <c r="Y2" s="30"/>
      <c r="Z2" s="30"/>
    </row>
    <row r="3" ht="54.0" customHeight="1">
      <c r="A3" s="30"/>
      <c r="B3" s="30"/>
      <c r="C3" s="30"/>
      <c r="D3" s="272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273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84.75" customHeight="1">
      <c r="A4" s="30"/>
      <c r="B4" s="30"/>
      <c r="C4" s="30"/>
      <c r="D4" s="274" t="s">
        <v>215</v>
      </c>
      <c r="K4" s="275"/>
      <c r="L4" s="275"/>
      <c r="M4" s="275"/>
      <c r="N4" s="275"/>
      <c r="O4" s="66"/>
      <c r="P4" s="276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2.5" customHeight="1">
      <c r="A5" s="30"/>
      <c r="B5" s="30"/>
      <c r="C5" s="277"/>
      <c r="D5" s="278" t="s">
        <v>216</v>
      </c>
      <c r="O5" s="279"/>
      <c r="P5" s="280"/>
      <c r="Q5" s="277"/>
      <c r="R5" s="277"/>
      <c r="S5" s="277"/>
      <c r="T5" s="277"/>
      <c r="U5" s="277"/>
      <c r="V5" s="277"/>
      <c r="W5" s="277"/>
      <c r="X5" s="277"/>
      <c r="Y5" s="277"/>
      <c r="Z5" s="30"/>
    </row>
    <row r="6" ht="3.0" hidden="1" customHeight="1">
      <c r="A6" s="30"/>
      <c r="B6" s="30"/>
      <c r="C6" s="30"/>
      <c r="D6" s="281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276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0" customHeight="1">
      <c r="A7" s="30"/>
      <c r="B7" s="30"/>
      <c r="C7" s="30"/>
      <c r="D7" s="281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276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9.0" customHeight="1">
      <c r="A8" s="30"/>
      <c r="B8" s="30"/>
      <c r="C8" s="30"/>
      <c r="D8" s="281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276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7.75" customHeight="1">
      <c r="A9" s="30"/>
      <c r="B9" s="30"/>
      <c r="C9" s="30"/>
      <c r="D9" s="282" t="s">
        <v>217</v>
      </c>
      <c r="P9" s="283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34.5" customHeight="1">
      <c r="A10" s="30"/>
      <c r="B10" s="30"/>
      <c r="C10" s="30"/>
      <c r="D10" s="284" t="s">
        <v>218</v>
      </c>
      <c r="P10" s="283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6.0" customHeight="1">
      <c r="A11" s="30"/>
      <c r="B11" s="34"/>
      <c r="C11" s="30"/>
      <c r="D11" s="285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7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30"/>
      <c r="B12" s="34"/>
      <c r="C12" s="30"/>
      <c r="D12" s="285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7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46.5" customHeight="1">
      <c r="A13" s="30"/>
      <c r="B13" s="30"/>
      <c r="C13" s="30"/>
      <c r="D13" s="288" t="s">
        <v>219</v>
      </c>
      <c r="P13" s="283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7.5" customHeight="1">
      <c r="A14" s="60"/>
      <c r="B14" s="30"/>
      <c r="C14" s="30"/>
      <c r="D14" s="281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276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32.25" customHeight="1">
      <c r="A15" s="60"/>
      <c r="B15" s="30"/>
      <c r="C15" s="30"/>
      <c r="D15" s="289" t="str">
        <f>'Resultados SWOT Gráficos'!C24</f>
        <v>Análise das forças</v>
      </c>
      <c r="E15" s="66"/>
      <c r="F15" s="66"/>
      <c r="G15" s="66"/>
      <c r="H15" s="66"/>
      <c r="I15" s="66"/>
      <c r="J15" s="66"/>
      <c r="K15" s="290" t="str">
        <f>'Resultados SWOT Gráficos'!H24</f>
        <v>Análise das fraquezas</v>
      </c>
      <c r="L15" s="291"/>
      <c r="M15" s="66"/>
      <c r="N15" s="66"/>
      <c r="O15" s="66"/>
      <c r="P15" s="276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1.25" customHeight="1">
      <c r="A16" s="30"/>
      <c r="B16" s="30"/>
      <c r="C16" s="30"/>
      <c r="D16" s="281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276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36.0" customHeight="1">
      <c r="A17" s="30"/>
      <c r="B17" s="30"/>
      <c r="C17" s="30"/>
      <c r="D17" s="292" t="str">
        <f>'Resultados SWOT Gráficos'!C26</f>
        <v/>
      </c>
      <c r="E17" s="209"/>
      <c r="F17" s="293">
        <f>'Resultados SWOT Gráficos'!E26</f>
        <v>0</v>
      </c>
      <c r="G17" s="294"/>
      <c r="H17" s="294"/>
      <c r="I17" s="209"/>
      <c r="J17" s="66"/>
      <c r="K17" s="211" t="str">
        <f>'Resultados SWOT Gráficos'!H26</f>
        <v/>
      </c>
      <c r="L17" s="209"/>
      <c r="M17" s="293">
        <f>'Resultados SWOT Gráficos'!J26</f>
        <v>0</v>
      </c>
      <c r="N17" s="294"/>
      <c r="O17" s="294"/>
      <c r="P17" s="295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36.0" customHeight="1">
      <c r="A18" s="30"/>
      <c r="B18" s="30"/>
      <c r="C18" s="30"/>
      <c r="D18" s="292" t="str">
        <f>'Resultados SWOT Gráficos'!C27</f>
        <v/>
      </c>
      <c r="E18" s="209"/>
      <c r="F18" s="293">
        <f>'Resultados SWOT Gráficos'!E27</f>
        <v>0</v>
      </c>
      <c r="G18" s="294"/>
      <c r="H18" s="294"/>
      <c r="I18" s="209"/>
      <c r="J18" s="66"/>
      <c r="K18" s="211" t="str">
        <f>'Resultados SWOT Gráficos'!H27</f>
        <v/>
      </c>
      <c r="L18" s="209"/>
      <c r="M18" s="293">
        <f>'Resultados SWOT Gráficos'!J27</f>
        <v>0</v>
      </c>
      <c r="N18" s="294"/>
      <c r="O18" s="294"/>
      <c r="P18" s="295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36.0" customHeight="1">
      <c r="A19" s="30"/>
      <c r="B19" s="30"/>
      <c r="C19" s="30"/>
      <c r="D19" s="292" t="str">
        <f>'Resultados SWOT Gráficos'!C28</f>
        <v/>
      </c>
      <c r="E19" s="209"/>
      <c r="F19" s="293">
        <f>'Resultados SWOT Gráficos'!E28</f>
        <v>0</v>
      </c>
      <c r="G19" s="294"/>
      <c r="H19" s="294"/>
      <c r="I19" s="209"/>
      <c r="J19" s="66"/>
      <c r="K19" s="211" t="str">
        <f>'Resultados SWOT Gráficos'!H28</f>
        <v/>
      </c>
      <c r="L19" s="209"/>
      <c r="M19" s="293">
        <f>'Resultados SWOT Gráficos'!J28</f>
        <v>0</v>
      </c>
      <c r="N19" s="294"/>
      <c r="O19" s="294"/>
      <c r="P19" s="295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36.0" customHeight="1">
      <c r="A20" s="30"/>
      <c r="B20" s="30"/>
      <c r="C20" s="30"/>
      <c r="D20" s="292" t="str">
        <f>'Resultados SWOT Gráficos'!C29</f>
        <v/>
      </c>
      <c r="E20" s="209"/>
      <c r="F20" s="293">
        <f>'Resultados SWOT Gráficos'!E29</f>
        <v>0</v>
      </c>
      <c r="G20" s="294"/>
      <c r="H20" s="294"/>
      <c r="I20" s="209"/>
      <c r="J20" s="66"/>
      <c r="K20" s="211" t="str">
        <f>'Resultados SWOT Gráficos'!H29</f>
        <v/>
      </c>
      <c r="L20" s="209"/>
      <c r="M20" s="293">
        <f>'Resultados SWOT Gráficos'!J29</f>
        <v>0</v>
      </c>
      <c r="N20" s="294"/>
      <c r="O20" s="294"/>
      <c r="P20" s="295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36.0" customHeight="1">
      <c r="A21" s="30"/>
      <c r="B21" s="30"/>
      <c r="C21" s="30"/>
      <c r="D21" s="296" t="str">
        <f>'Resultados SWOT Gráficos'!C30</f>
        <v/>
      </c>
      <c r="E21" s="209"/>
      <c r="F21" s="297">
        <f>'Resultados SWOT Gráficos'!E30</f>
        <v>0</v>
      </c>
      <c r="G21" s="294"/>
      <c r="H21" s="294"/>
      <c r="I21" s="209"/>
      <c r="J21" s="66"/>
      <c r="K21" s="211" t="str">
        <f>'Resultados SWOT Gráficos'!H30</f>
        <v/>
      </c>
      <c r="L21" s="209"/>
      <c r="M21" s="293">
        <f>'Resultados SWOT Gráficos'!J30</f>
        <v>0</v>
      </c>
      <c r="N21" s="294"/>
      <c r="O21" s="294"/>
      <c r="P21" s="295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0" customHeight="1">
      <c r="A22" s="30"/>
      <c r="B22" s="30"/>
      <c r="C22" s="30"/>
      <c r="D22" s="281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276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0" customHeight="1">
      <c r="A23" s="60"/>
      <c r="B23" s="30"/>
      <c r="C23" s="30"/>
      <c r="D23" s="298" t="str">
        <f>'Resultados SWOT Gráficos'!C32</f>
        <v>Análise das oportunidades</v>
      </c>
      <c r="E23" s="66"/>
      <c r="F23" s="66"/>
      <c r="G23" s="66"/>
      <c r="H23" s="66"/>
      <c r="I23" s="66"/>
      <c r="J23" s="66"/>
      <c r="K23" s="299" t="str">
        <f>'Resultados SWOT Gráficos'!H32</f>
        <v>Análise das ameaças</v>
      </c>
      <c r="L23" s="291"/>
      <c r="M23" s="66"/>
      <c r="N23" s="66"/>
      <c r="O23" s="66"/>
      <c r="P23" s="276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0" customHeight="1">
      <c r="A24" s="60"/>
      <c r="B24" s="30"/>
      <c r="C24" s="30"/>
      <c r="D24" s="281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276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36.0" customHeight="1">
      <c r="A25" s="30"/>
      <c r="B25" s="30"/>
      <c r="C25" s="30"/>
      <c r="D25" s="292" t="str">
        <f>'Resultados SWOT Gráficos'!C34</f>
        <v/>
      </c>
      <c r="E25" s="209"/>
      <c r="F25" s="293">
        <f>'Resultados SWOT Gráficos'!E34</f>
        <v>0</v>
      </c>
      <c r="G25" s="294"/>
      <c r="H25" s="294"/>
      <c r="I25" s="209"/>
      <c r="J25" s="66"/>
      <c r="K25" s="211" t="str">
        <f>'Resultados SWOT Gráficos'!H34</f>
        <v/>
      </c>
      <c r="L25" s="209"/>
      <c r="M25" s="293">
        <f>'Resultados SWOT Gráficos'!J34</f>
        <v>0</v>
      </c>
      <c r="N25" s="294"/>
      <c r="O25" s="294"/>
      <c r="P25" s="295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36.0" customHeight="1">
      <c r="A26" s="30"/>
      <c r="B26" s="30"/>
      <c r="C26" s="30"/>
      <c r="D26" s="292" t="str">
        <f>'Resultados SWOT Gráficos'!C35</f>
        <v/>
      </c>
      <c r="E26" s="209"/>
      <c r="F26" s="293">
        <f>'Resultados SWOT Gráficos'!E35</f>
        <v>0</v>
      </c>
      <c r="G26" s="294"/>
      <c r="H26" s="294"/>
      <c r="I26" s="209"/>
      <c r="J26" s="66"/>
      <c r="K26" s="211" t="str">
        <f>'Resultados SWOT Gráficos'!H35</f>
        <v/>
      </c>
      <c r="L26" s="209"/>
      <c r="M26" s="293">
        <f>'Resultados SWOT Gráficos'!J35</f>
        <v>0</v>
      </c>
      <c r="N26" s="294"/>
      <c r="O26" s="294"/>
      <c r="P26" s="295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36.0" customHeight="1">
      <c r="A27" s="30"/>
      <c r="B27" s="30"/>
      <c r="C27" s="30"/>
      <c r="D27" s="292" t="str">
        <f>'Resultados SWOT Gráficos'!C36</f>
        <v/>
      </c>
      <c r="E27" s="209"/>
      <c r="F27" s="293">
        <f>'Resultados SWOT Gráficos'!E36</f>
        <v>0</v>
      </c>
      <c r="G27" s="294"/>
      <c r="H27" s="294"/>
      <c r="I27" s="209"/>
      <c r="J27" s="66"/>
      <c r="K27" s="217" t="str">
        <f>'Resultados SWOT Gráficos'!H36</f>
        <v/>
      </c>
      <c r="L27" s="209"/>
      <c r="M27" s="297">
        <f>'Resultados SWOT Gráficos'!J36</f>
        <v>0</v>
      </c>
      <c r="N27" s="294"/>
      <c r="O27" s="294"/>
      <c r="P27" s="295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36.0" customHeight="1">
      <c r="A28" s="30"/>
      <c r="B28" s="30"/>
      <c r="C28" s="30"/>
      <c r="D28" s="292" t="str">
        <f>'Resultados SWOT Gráficos'!C37</f>
        <v/>
      </c>
      <c r="E28" s="209"/>
      <c r="F28" s="293">
        <f>'Resultados SWOT Gráficos'!E37</f>
        <v>0</v>
      </c>
      <c r="G28" s="294"/>
      <c r="H28" s="294"/>
      <c r="I28" s="209"/>
      <c r="J28" s="66"/>
      <c r="K28" s="217" t="str">
        <f>'Resultados SWOT Gráficos'!H37</f>
        <v/>
      </c>
      <c r="L28" s="209"/>
      <c r="M28" s="297">
        <f>'Resultados SWOT Gráficos'!J37</f>
        <v>0</v>
      </c>
      <c r="N28" s="294"/>
      <c r="O28" s="294"/>
      <c r="P28" s="295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36.0" customHeight="1">
      <c r="A29" s="30"/>
      <c r="B29" s="30"/>
      <c r="C29" s="30"/>
      <c r="D29" s="292" t="str">
        <f>'Resultados SWOT Gráficos'!C38</f>
        <v/>
      </c>
      <c r="E29" s="209"/>
      <c r="F29" s="293">
        <f>'Resultados SWOT Gráficos'!E38</f>
        <v>0</v>
      </c>
      <c r="G29" s="294"/>
      <c r="H29" s="294"/>
      <c r="I29" s="209"/>
      <c r="J29" s="66"/>
      <c r="K29" s="217" t="str">
        <f>'Resultados SWOT Gráficos'!H38</f>
        <v/>
      </c>
      <c r="L29" s="209"/>
      <c r="M29" s="297">
        <f>'Resultados SWOT Gráficos'!J38</f>
        <v>0</v>
      </c>
      <c r="N29" s="294"/>
      <c r="O29" s="294"/>
      <c r="P29" s="295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1.25" customHeight="1">
      <c r="A30" s="30"/>
      <c r="B30" s="30"/>
      <c r="C30" s="30"/>
      <c r="D30" s="281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276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46.5" customHeight="1">
      <c r="A31" s="30"/>
      <c r="B31" s="30"/>
      <c r="C31" s="30"/>
      <c r="D31" s="298" t="s">
        <v>161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276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2.5" customHeight="1">
      <c r="A32" s="30"/>
      <c r="B32" s="30"/>
      <c r="C32" s="30"/>
      <c r="D32" s="300" t="str">
        <f>'Resultados SWOT Gráficos'!C6</f>
        <v>Seu índice é</v>
      </c>
      <c r="E32" s="301" t="str">
        <f>'Resultados SWOT Gráficos'!C9</f>
        <v>Muito Favorável - Se a sua análise está correta, vale muito a pena continuar a fazer exatamente o que você está fazendo apenas adicionando ações de melhorias de forças e oportunidades e medidas de contenção de possíveis fraquezas e ameaças.</v>
      </c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302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67.5" customHeight="1">
      <c r="A33" s="30"/>
      <c r="B33" s="30"/>
      <c r="C33" s="30"/>
      <c r="D33" s="303">
        <f>'Resultados SWOT Gráficos'!C7</f>
        <v>2</v>
      </c>
      <c r="E33" s="189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304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52.5" customHeight="1">
      <c r="A34" s="30"/>
      <c r="B34" s="30"/>
      <c r="C34" s="30"/>
      <c r="D34" s="298" t="s">
        <v>220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276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67.5" customHeight="1">
      <c r="A35" s="30"/>
      <c r="B35" s="30"/>
      <c r="C35" s="30"/>
      <c r="D35" s="305" t="str">
        <f>'Resultados SWOT Gráficos'!C13</f>
        <v>Forças</v>
      </c>
      <c r="E35" s="306">
        <f>'Resultados SWOT Gráficos'!D13</f>
        <v>1</v>
      </c>
      <c r="F35" s="307" t="str">
        <f>'Resultados SWOT Gráficos'!E13</f>
        <v>Suas forças estão mais altas ou iguais as suas fraquezas, mantenha esse bom resultado!</v>
      </c>
      <c r="G35" s="294"/>
      <c r="H35" s="294"/>
      <c r="I35" s="294"/>
      <c r="J35" s="294"/>
      <c r="K35" s="294"/>
      <c r="L35" s="294"/>
      <c r="M35" s="294"/>
      <c r="N35" s="294"/>
      <c r="O35" s="294"/>
      <c r="P35" s="295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67.5" customHeight="1">
      <c r="A36" s="30"/>
      <c r="B36" s="30"/>
      <c r="C36" s="30"/>
      <c r="D36" s="305" t="str">
        <f>'Resultados SWOT Gráficos'!C14</f>
        <v>Fraquezas</v>
      </c>
      <c r="E36" s="308">
        <f>'Resultados SWOT Gráficos'!D14</f>
        <v>0</v>
      </c>
      <c r="F36" s="309" t="str">
        <f>'Resultados SWOT Gráficos'!E14</f>
        <v>Suas fraquezas estão mais baixas ou iguais as suas forças, esse é um bom sinal, mas não se acomode!</v>
      </c>
      <c r="G36" s="63"/>
      <c r="H36" s="63"/>
      <c r="I36" s="63"/>
      <c r="J36" s="63"/>
      <c r="K36" s="63"/>
      <c r="L36" s="63"/>
      <c r="M36" s="63"/>
      <c r="N36" s="63"/>
      <c r="O36" s="63"/>
      <c r="P36" s="31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67.5" customHeight="1">
      <c r="A37" s="30"/>
      <c r="B37" s="30"/>
      <c r="C37" s="30"/>
      <c r="D37" s="305" t="str">
        <f>'Resultados SWOT Gráficos'!C15</f>
        <v>Oportunidades</v>
      </c>
      <c r="E37" s="306">
        <f>'Resultados SWOT Gráficos'!D15</f>
        <v>0</v>
      </c>
      <c r="F37" s="309" t="str">
        <f>'Resultados SWOT Gráficos'!E15</f>
        <v>Você tem mais oportunidades do que ameaças e isso indica um futuro promissor, só falta você alinhar quais forças vão otimizar as chances delas acontecerem de fato.</v>
      </c>
      <c r="G37" s="63"/>
      <c r="H37" s="63"/>
      <c r="I37" s="63"/>
      <c r="J37" s="63"/>
      <c r="K37" s="63"/>
      <c r="L37" s="63"/>
      <c r="M37" s="63"/>
      <c r="N37" s="63"/>
      <c r="O37" s="63"/>
      <c r="P37" s="31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67.5" customHeight="1">
      <c r="A38" s="30"/>
      <c r="B38" s="30"/>
      <c r="C38" s="30"/>
      <c r="D38" s="305" t="str">
        <f>'Resultados SWOT Gráficos'!C16</f>
        <v>Ameaças</v>
      </c>
      <c r="E38" s="308">
        <f>'Resultados SWOT Gráficos'!D16</f>
        <v>0</v>
      </c>
      <c r="F38" s="309" t="str">
        <f>'Resultados SWOT Gráficos'!E16</f>
        <v>Suas ameaças estão maiores ou iguais as oportunidades e isso indica um futuro preocupante, você precisa pensar em planos de ação para diminuir os riscos delas acontecerem o quanto antes.</v>
      </c>
      <c r="G38" s="63"/>
      <c r="H38" s="63"/>
      <c r="I38" s="63"/>
      <c r="J38" s="63"/>
      <c r="K38" s="63"/>
      <c r="L38" s="63"/>
      <c r="M38" s="63"/>
      <c r="N38" s="63"/>
      <c r="O38" s="63"/>
      <c r="P38" s="31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0" customHeight="1">
      <c r="A39" s="30"/>
      <c r="B39" s="30"/>
      <c r="C39" s="30"/>
      <c r="D39" s="281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276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37.5" customHeight="1">
      <c r="A40" s="30"/>
      <c r="B40" s="30"/>
      <c r="C40" s="30"/>
      <c r="D40" s="298" t="str">
        <f>'Resultados SWOT Gráficos'!C17</f>
        <v>Análise geral dos fatores internos e externos</v>
      </c>
      <c r="E40" s="66"/>
      <c r="F40" s="66"/>
      <c r="G40" s="66"/>
      <c r="H40" s="66"/>
      <c r="I40" s="66"/>
      <c r="J40" s="66"/>
      <c r="K40" s="299" t="s">
        <v>183</v>
      </c>
      <c r="L40" s="66"/>
      <c r="M40" s="66"/>
      <c r="N40" s="66"/>
      <c r="O40" s="66"/>
      <c r="P40" s="276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0" customHeight="1">
      <c r="A41" s="30"/>
      <c r="B41" s="30"/>
      <c r="C41" s="30"/>
      <c r="D41" s="281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276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60.0" customHeight="1">
      <c r="A42" s="30"/>
      <c r="B42" s="30"/>
      <c r="C42" s="30"/>
      <c r="D42" s="311" t="str">
        <f>'Resultados SWOT Gráficos'!C19</f>
        <v>Forças</v>
      </c>
      <c r="E42" s="312">
        <f>'Resultados SWOT Gráficos'!D19</f>
        <v>30</v>
      </c>
      <c r="F42" s="17"/>
      <c r="G42" s="17"/>
      <c r="H42" s="17"/>
      <c r="I42" s="17"/>
      <c r="J42" s="66"/>
      <c r="K42" s="66"/>
      <c r="L42" s="66"/>
      <c r="M42" s="66"/>
      <c r="N42" s="66"/>
      <c r="O42" s="66"/>
      <c r="P42" s="276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60.0" customHeight="1">
      <c r="A43" s="30"/>
      <c r="B43" s="30"/>
      <c r="C43" s="30"/>
      <c r="D43" s="311" t="str">
        <f>'Resultados SWOT Gráficos'!C20</f>
        <v>Fraquezas</v>
      </c>
      <c r="E43" s="312">
        <f>'Resultados SWOT Gráficos'!D20</f>
        <v>0</v>
      </c>
      <c r="F43" s="17"/>
      <c r="G43" s="17"/>
      <c r="H43" s="17"/>
      <c r="I43" s="17"/>
      <c r="J43" s="66"/>
      <c r="K43" s="66"/>
      <c r="L43" s="66"/>
      <c r="M43" s="66"/>
      <c r="N43" s="66"/>
      <c r="O43" s="66"/>
      <c r="P43" s="276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60.0" customHeight="1">
      <c r="A44" s="30"/>
      <c r="B44" s="30"/>
      <c r="C44" s="30"/>
      <c r="D44" s="311" t="str">
        <f>'Resultados SWOT Gráficos'!C21</f>
        <v>Oportunidades</v>
      </c>
      <c r="E44" s="312">
        <f>'Resultados SWOT Gráficos'!D21</f>
        <v>0</v>
      </c>
      <c r="F44" s="17"/>
      <c r="G44" s="17"/>
      <c r="H44" s="17"/>
      <c r="I44" s="17"/>
      <c r="J44" s="66"/>
      <c r="K44" s="66"/>
      <c r="L44" s="66"/>
      <c r="M44" s="66"/>
      <c r="N44" s="66"/>
      <c r="O44" s="66"/>
      <c r="P44" s="276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60.0" customHeight="1">
      <c r="A45" s="30"/>
      <c r="B45" s="30"/>
      <c r="C45" s="30"/>
      <c r="D45" s="311" t="str">
        <f>'Resultados SWOT Gráficos'!C22</f>
        <v>Ameaças</v>
      </c>
      <c r="E45" s="312">
        <f>'Resultados SWOT Gráficos'!D22</f>
        <v>0</v>
      </c>
      <c r="F45" s="17"/>
      <c r="G45" s="17"/>
      <c r="H45" s="17"/>
      <c r="I45" s="17"/>
      <c r="J45" s="66"/>
      <c r="K45" s="66"/>
      <c r="L45" s="66"/>
      <c r="M45" s="66"/>
      <c r="N45" s="66"/>
      <c r="O45" s="66"/>
      <c r="P45" s="276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0" customHeight="1">
      <c r="A46" s="30"/>
      <c r="B46" s="30"/>
      <c r="C46" s="30"/>
      <c r="D46" s="281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276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46.5" customHeight="1">
      <c r="A47" s="30"/>
      <c r="B47" s="30"/>
      <c r="C47" s="30"/>
      <c r="D47" s="313" t="s">
        <v>221</v>
      </c>
      <c r="P47" s="283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7.25" customHeight="1">
      <c r="A48" s="30"/>
      <c r="B48" s="30"/>
      <c r="C48" s="30"/>
      <c r="D48" s="281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276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54.75" customHeight="1">
      <c r="A49" s="30"/>
      <c r="B49" s="30"/>
      <c r="C49" s="30"/>
      <c r="D49" s="314" t="str">
        <f>GPA!C5</f>
        <v>Você definiu planos de ação para 0 de 0 dos principais itens da sua SWOT</v>
      </c>
      <c r="E49" s="74"/>
      <c r="F49" s="315">
        <f>GPA!E5</f>
        <v>0</v>
      </c>
      <c r="G49" s="74"/>
      <c r="H49" s="228" t="str">
        <f>GPA!F5</f>
        <v/>
      </c>
      <c r="I49" s="63"/>
      <c r="J49" s="63"/>
      <c r="K49" s="63"/>
      <c r="L49" s="63"/>
      <c r="M49" s="63"/>
      <c r="N49" s="63"/>
      <c r="O49" s="63"/>
      <c r="P49" s="31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30"/>
      <c r="B50" s="30"/>
      <c r="C50" s="30"/>
      <c r="D50" s="281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276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32.25" customHeight="1">
      <c r="A51" s="30"/>
      <c r="B51" s="30"/>
      <c r="C51" s="30"/>
      <c r="D51" s="316" t="s">
        <v>194</v>
      </c>
      <c r="F51" s="195"/>
      <c r="G51" s="66"/>
      <c r="H51" s="66"/>
      <c r="I51" s="66"/>
      <c r="J51" s="66"/>
      <c r="K51" s="207" t="s">
        <v>195</v>
      </c>
      <c r="M51" s="66"/>
      <c r="N51" s="66"/>
      <c r="O51" s="66"/>
      <c r="P51" s="276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32.25" customHeight="1">
      <c r="A52" s="30"/>
      <c r="B52" s="30"/>
      <c r="C52" s="30"/>
      <c r="D52" s="281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276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32.25" customHeight="1">
      <c r="A53" s="30"/>
      <c r="B53" s="30"/>
      <c r="C53" s="30"/>
      <c r="D53" s="281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276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32.25" customHeight="1">
      <c r="A54" s="30"/>
      <c r="B54" s="30"/>
      <c r="C54" s="30"/>
      <c r="D54" s="281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276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32.25" customHeight="1">
      <c r="A55" s="60"/>
      <c r="B55" s="30"/>
      <c r="C55" s="30"/>
      <c r="D55" s="281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276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32.25" customHeight="1">
      <c r="A56" s="60"/>
      <c r="B56" s="30"/>
      <c r="C56" s="30"/>
      <c r="D56" s="281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276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32.25" customHeight="1">
      <c r="A57" s="60"/>
      <c r="B57" s="30"/>
      <c r="C57" s="30"/>
      <c r="D57" s="281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276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32.25" customHeight="1">
      <c r="A58" s="30"/>
      <c r="B58" s="30"/>
      <c r="C58" s="30"/>
      <c r="D58" s="281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276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32.25" customHeight="1">
      <c r="A59" s="30"/>
      <c r="B59" s="30"/>
      <c r="C59" s="30"/>
      <c r="D59" s="281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276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32.25" customHeight="1">
      <c r="A60" s="30"/>
      <c r="B60" s="30"/>
      <c r="C60" s="30"/>
      <c r="D60" s="316" t="s">
        <v>200</v>
      </c>
      <c r="I60" s="66"/>
      <c r="J60" s="66"/>
      <c r="K60" s="66"/>
      <c r="L60" s="66"/>
      <c r="M60" s="66"/>
      <c r="N60" s="66"/>
      <c r="O60" s="66"/>
      <c r="P60" s="276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32.25" customHeight="1">
      <c r="A61" s="30"/>
      <c r="B61" s="30"/>
      <c r="C61" s="30"/>
      <c r="D61" s="281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276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32.25" customHeight="1">
      <c r="A62" s="30"/>
      <c r="B62" s="30"/>
      <c r="C62" s="30"/>
      <c r="D62" s="281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276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32.25" customHeight="1">
      <c r="A63" s="30"/>
      <c r="B63" s="30"/>
      <c r="C63" s="30"/>
      <c r="D63" s="281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276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32.25" customHeight="1">
      <c r="A64" s="30"/>
      <c r="B64" s="30"/>
      <c r="C64" s="30"/>
      <c r="D64" s="281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276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32.25" customHeight="1">
      <c r="A65" s="30"/>
      <c r="B65" s="30"/>
      <c r="C65" s="30"/>
      <c r="D65" s="281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276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32.25" customHeight="1">
      <c r="A66" s="30"/>
      <c r="B66" s="30"/>
      <c r="C66" s="30"/>
      <c r="D66" s="281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276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32.25" customHeight="1">
      <c r="A67" s="30"/>
      <c r="B67" s="30"/>
      <c r="C67" s="30"/>
      <c r="D67" s="281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276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32.25" customHeight="1">
      <c r="A68" s="30"/>
      <c r="B68" s="30"/>
      <c r="C68" s="30"/>
      <c r="D68" s="281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276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32.25" customHeight="1">
      <c r="A69" s="30"/>
      <c r="B69" s="30"/>
      <c r="C69" s="30"/>
      <c r="D69" s="281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276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32.25" customHeight="1">
      <c r="A70" s="30"/>
      <c r="B70" s="30"/>
      <c r="C70" s="30"/>
      <c r="D70" s="281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276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32.25" customHeight="1">
      <c r="A71" s="30"/>
      <c r="B71" s="30"/>
      <c r="C71" s="30"/>
      <c r="D71" s="281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276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32.25" customHeight="1">
      <c r="A72" s="30"/>
      <c r="B72" s="30"/>
      <c r="C72" s="30"/>
      <c r="D72" s="281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276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32.25" customHeight="1">
      <c r="A73" s="30"/>
      <c r="B73" s="30"/>
      <c r="C73" s="30"/>
      <c r="D73" s="281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276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32.25" customHeight="1">
      <c r="A74" s="30"/>
      <c r="B74" s="30"/>
      <c r="C74" s="30"/>
      <c r="D74" s="281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276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32.25" customHeight="1">
      <c r="A75" s="30"/>
      <c r="B75" s="30"/>
      <c r="C75" s="30"/>
      <c r="D75" s="281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276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32.25" customHeight="1">
      <c r="A76" s="30"/>
      <c r="B76" s="30"/>
      <c r="C76" s="30"/>
      <c r="D76" s="281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276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32.25" customHeight="1">
      <c r="A77" s="30"/>
      <c r="B77" s="30"/>
      <c r="C77" s="30"/>
      <c r="D77" s="281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276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32.25" customHeight="1">
      <c r="A78" s="30"/>
      <c r="B78" s="30"/>
      <c r="C78" s="30"/>
      <c r="D78" s="281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276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32.25" customHeight="1">
      <c r="A79" s="30"/>
      <c r="B79" s="30"/>
      <c r="C79" s="30"/>
      <c r="D79" s="281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276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32.25" customHeight="1">
      <c r="A80" s="30"/>
      <c r="B80" s="30"/>
      <c r="C80" s="30"/>
      <c r="D80" s="281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276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32.25" customHeight="1">
      <c r="A81" s="30"/>
      <c r="B81" s="30"/>
      <c r="C81" s="30"/>
      <c r="D81" s="281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276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32.25" customHeight="1">
      <c r="A82" s="30"/>
      <c r="B82" s="30"/>
      <c r="C82" s="30"/>
      <c r="D82" s="281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276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32.25" customHeight="1">
      <c r="A83" s="30"/>
      <c r="B83" s="30"/>
      <c r="C83" s="30"/>
      <c r="D83" s="281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276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32.25" customHeight="1">
      <c r="A84" s="30"/>
      <c r="B84" s="30"/>
      <c r="C84" s="30"/>
      <c r="D84" s="281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276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32.25" customHeight="1">
      <c r="A85" s="30"/>
      <c r="B85" s="30"/>
      <c r="C85" s="30"/>
      <c r="D85" s="281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276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32.25" customHeight="1">
      <c r="A86" s="30"/>
      <c r="B86" s="30"/>
      <c r="C86" s="30"/>
      <c r="D86" s="281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276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32.25" customHeight="1">
      <c r="A87" s="30"/>
      <c r="B87" s="30"/>
      <c r="C87" s="30"/>
      <c r="D87" s="281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276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281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276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281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276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281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276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281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276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281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276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281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276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281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276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281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276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281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276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281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276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281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276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281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276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281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276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281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276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281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276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281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276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281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276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281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276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281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276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281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276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281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276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281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276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281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276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281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276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281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276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281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276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281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276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281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276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281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276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281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276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281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276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281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276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281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276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281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276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281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276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281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276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281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276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281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276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281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276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281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276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281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276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281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276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281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276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281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276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281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276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281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276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281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276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281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276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281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276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281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276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281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276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281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276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281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276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281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276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281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276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281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276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281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276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281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276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281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276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281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276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281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276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281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276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281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276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281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276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281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276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281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276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281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276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281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276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281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276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281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276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281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276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281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276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281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276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281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276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281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276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281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276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281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276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281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276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281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276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281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276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281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276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281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276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281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276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281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276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281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276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281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276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281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276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281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276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281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276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281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276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281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276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281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276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281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276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281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276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281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276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281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276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281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276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281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276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281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276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281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276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281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276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281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276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281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276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281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276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281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276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281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276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281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276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281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276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281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276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281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276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281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276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281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276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281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276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281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276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281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276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281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276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281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276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281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276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281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276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281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276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281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276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281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276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281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276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281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276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281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276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281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276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281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276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281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276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281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276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281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276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281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276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281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276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281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276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281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276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281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276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281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276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281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276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281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276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281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276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281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276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281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276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281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276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281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276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281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276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281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276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281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276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281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276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281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276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281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276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281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276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281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276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281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276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281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276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281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276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281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276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281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276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281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276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281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276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281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276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281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276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281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276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281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276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281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276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281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276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281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276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281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276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281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276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281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276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281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276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281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276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281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276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281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276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281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276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28:E28"/>
    <mergeCell ref="F28:I28"/>
    <mergeCell ref="K28:L28"/>
    <mergeCell ref="M28:P28"/>
    <mergeCell ref="D29:E29"/>
    <mergeCell ref="F29:I29"/>
    <mergeCell ref="K29:L29"/>
    <mergeCell ref="M29:P29"/>
    <mergeCell ref="E32:P33"/>
    <mergeCell ref="F35:P35"/>
    <mergeCell ref="F36:P36"/>
    <mergeCell ref="F37:P37"/>
    <mergeCell ref="F38:P38"/>
    <mergeCell ref="E42:I42"/>
    <mergeCell ref="D1:E2"/>
    <mergeCell ref="D4:J4"/>
    <mergeCell ref="D5:N5"/>
    <mergeCell ref="D9:P9"/>
    <mergeCell ref="D10:P10"/>
    <mergeCell ref="D13:P13"/>
    <mergeCell ref="D17:E17"/>
    <mergeCell ref="M17:P17"/>
    <mergeCell ref="F17:I17"/>
    <mergeCell ref="K17:L17"/>
    <mergeCell ref="D18:E18"/>
    <mergeCell ref="F18:I18"/>
    <mergeCell ref="M18:P18"/>
    <mergeCell ref="F19:I19"/>
    <mergeCell ref="M19:P19"/>
    <mergeCell ref="D19:E19"/>
    <mergeCell ref="D20:E20"/>
    <mergeCell ref="F20:I20"/>
    <mergeCell ref="D21:E21"/>
    <mergeCell ref="F21:I21"/>
    <mergeCell ref="F25:I25"/>
    <mergeCell ref="K25:L25"/>
    <mergeCell ref="M26:P26"/>
    <mergeCell ref="M27:P27"/>
    <mergeCell ref="K18:L18"/>
    <mergeCell ref="K19:L19"/>
    <mergeCell ref="K20:L20"/>
    <mergeCell ref="M20:P20"/>
    <mergeCell ref="K21:L21"/>
    <mergeCell ref="M21:P21"/>
    <mergeCell ref="M25:P25"/>
    <mergeCell ref="D25:E25"/>
    <mergeCell ref="D26:E26"/>
    <mergeCell ref="F26:I26"/>
    <mergeCell ref="K26:L26"/>
    <mergeCell ref="D27:E27"/>
    <mergeCell ref="F27:I27"/>
    <mergeCell ref="K27:L27"/>
    <mergeCell ref="D51:E51"/>
    <mergeCell ref="K51:L51"/>
    <mergeCell ref="D60:H60"/>
    <mergeCell ref="E43:I43"/>
    <mergeCell ref="E44:I44"/>
    <mergeCell ref="E45:I45"/>
    <mergeCell ref="D47:P47"/>
    <mergeCell ref="D49:E49"/>
    <mergeCell ref="F49:G49"/>
    <mergeCell ref="H49:P49"/>
  </mergeCells>
  <conditionalFormatting sqref="D32">
    <cfRule type="expression" dxfId="7" priority="1">
      <formula>$D$33&gt;=1</formula>
    </cfRule>
  </conditionalFormatting>
  <conditionalFormatting sqref="D32">
    <cfRule type="expression" dxfId="8" priority="2">
      <formula>$D$33&gt;=0.3</formula>
    </cfRule>
  </conditionalFormatting>
  <conditionalFormatting sqref="D32">
    <cfRule type="expression" dxfId="9" priority="3">
      <formula>AND($D$33&lt;=0.29,$D$33&gt;=-0.29)</formula>
    </cfRule>
  </conditionalFormatting>
  <conditionalFormatting sqref="D32">
    <cfRule type="expression" dxfId="10" priority="4">
      <formula>$D$33&lt;=-1</formula>
    </cfRule>
  </conditionalFormatting>
  <conditionalFormatting sqref="D32">
    <cfRule type="expression" dxfId="11" priority="5">
      <formula>$D$33&lt;=-0.3</formula>
    </cfRule>
  </conditionalFormatting>
  <conditionalFormatting sqref="D33">
    <cfRule type="cellIs" dxfId="7" priority="6" operator="greaterThanOrEqual">
      <formula>1</formula>
    </cfRule>
  </conditionalFormatting>
  <conditionalFormatting sqref="D33">
    <cfRule type="cellIs" dxfId="8" priority="7" operator="greaterThanOrEqual">
      <formula>0.3</formula>
    </cfRule>
  </conditionalFormatting>
  <conditionalFormatting sqref="D33">
    <cfRule type="cellIs" dxfId="12" priority="8" operator="between">
      <formula>-0.29</formula>
      <formula>0.29</formula>
    </cfRule>
  </conditionalFormatting>
  <conditionalFormatting sqref="D33">
    <cfRule type="cellIs" dxfId="10" priority="9" operator="lessThanOrEqual">
      <formula>-1</formula>
    </cfRule>
  </conditionalFormatting>
  <conditionalFormatting sqref="D33">
    <cfRule type="cellIs" dxfId="11" priority="10" operator="lessThanOrEqual">
      <formula>-0.3</formula>
    </cfRule>
  </conditionalFormatting>
  <conditionalFormatting sqref="F49">
    <cfRule type="cellIs" dxfId="4" priority="11" operator="greaterThanOrEqual">
      <formula>0.8</formula>
    </cfRule>
  </conditionalFormatting>
  <conditionalFormatting sqref="F49">
    <cfRule type="cellIs" dxfId="5" priority="12" operator="lessThan">
      <formula>0.5</formula>
    </cfRule>
  </conditionalFormatting>
  <conditionalFormatting sqref="F49">
    <cfRule type="cellIs" dxfId="6" priority="1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headerFooter>
    <oddHeader>&amp;R&amp;D</oddHeader>
    <oddFooter>&amp;R&amp;P</oddFooter>
  </headerFooter>
  <rowBreaks count="3" manualBreakCount="3">
    <brk id="12" man="1"/>
    <brk id="30" man="1"/>
    <brk id="46" man="1"/>
  </rowBreaks>
  <colBreaks count="1" manualBreakCount="1">
    <brk id="3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2.29"/>
    <col customWidth="1" min="4" max="4" width="39.43"/>
    <col customWidth="1" min="5" max="6" width="44.29"/>
    <col customWidth="1" min="7" max="26" width="11.43"/>
  </cols>
  <sheetData>
    <row r="1" ht="14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4.25" customHeight="1">
      <c r="A2" s="66"/>
      <c r="B2" s="66"/>
      <c r="C2" s="317" t="s">
        <v>222</v>
      </c>
      <c r="D2" s="317" t="s">
        <v>223</v>
      </c>
      <c r="E2" s="317" t="s">
        <v>224</v>
      </c>
      <c r="F2" s="317" t="s">
        <v>225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96.75" customHeight="1">
      <c r="A3" s="66" t="str">
        <f t="shared" ref="A3:A4" si="1">#REF!</f>
        <v>#REF!</v>
      </c>
      <c r="B3" s="66" t="s">
        <v>226</v>
      </c>
      <c r="C3" s="318" t="s">
        <v>227</v>
      </c>
      <c r="D3" s="318" t="s">
        <v>228</v>
      </c>
      <c r="E3" s="318" t="s">
        <v>229</v>
      </c>
      <c r="F3" s="318" t="s">
        <v>230</v>
      </c>
      <c r="G3" s="318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96.75" customHeight="1">
      <c r="A4" s="66" t="str">
        <f t="shared" si="1"/>
        <v>#REF!</v>
      </c>
      <c r="B4" s="66" t="s">
        <v>231</v>
      </c>
      <c r="C4" s="318" t="s">
        <v>232</v>
      </c>
      <c r="D4" s="318" t="s">
        <v>233</v>
      </c>
      <c r="E4" s="318" t="s">
        <v>234</v>
      </c>
      <c r="F4" s="318" t="s">
        <v>235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4.2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4.25" customHeight="1">
      <c r="A6" s="66"/>
      <c r="B6" s="66"/>
      <c r="C6" s="317" t="s">
        <v>236</v>
      </c>
      <c r="D6" s="317" t="s">
        <v>237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0" customHeight="1">
      <c r="A7" s="66"/>
      <c r="B7" s="66"/>
      <c r="C7" s="319" t="s">
        <v>238</v>
      </c>
      <c r="D7" s="66" t="s">
        <v>239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5.0" customHeight="1">
      <c r="A8" s="66"/>
      <c r="B8" s="66"/>
      <c r="C8" s="319" t="s">
        <v>240</v>
      </c>
      <c r="D8" s="320" t="s">
        <v>241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0" customHeight="1">
      <c r="A9" s="66"/>
      <c r="B9" s="66"/>
      <c r="C9" s="66" t="s">
        <v>242</v>
      </c>
      <c r="D9" s="319" t="s">
        <v>243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0" customHeight="1">
      <c r="A10" s="66"/>
      <c r="B10" s="66"/>
      <c r="C10" s="66" t="s">
        <v>244</v>
      </c>
      <c r="D10" s="321" t="s">
        <v>245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0" customHeight="1">
      <c r="A11" s="66"/>
      <c r="B11" s="66"/>
      <c r="C11" s="66" t="s">
        <v>246</v>
      </c>
      <c r="D11" s="321" t="s">
        <v>247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0" customHeight="1">
      <c r="A12" s="66"/>
      <c r="B12" s="66"/>
      <c r="C12" s="66" t="s">
        <v>248</v>
      </c>
      <c r="D12" s="322" t="s">
        <v>249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0" customHeight="1">
      <c r="A13" s="66"/>
      <c r="B13" s="66"/>
      <c r="C13" s="66" t="s">
        <v>250</v>
      </c>
      <c r="D13" s="321" t="s">
        <v>251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0" customHeight="1">
      <c r="A14" s="66"/>
      <c r="B14" s="66"/>
      <c r="C14" s="66" t="s">
        <v>252</v>
      </c>
      <c r="D14" s="320" t="s">
        <v>253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0" customHeight="1">
      <c r="A15" s="66"/>
      <c r="B15" s="66"/>
      <c r="C15" s="66" t="s">
        <v>254</v>
      </c>
      <c r="D15" s="323" t="s">
        <v>255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0" customHeight="1">
      <c r="A16" s="66"/>
      <c r="B16" s="66"/>
      <c r="C16" s="66" t="s">
        <v>256</v>
      </c>
      <c r="D16" s="324" t="s">
        <v>257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0" customHeight="1">
      <c r="A17" s="66"/>
      <c r="B17" s="66"/>
      <c r="C17" s="66" t="s">
        <v>258</v>
      </c>
      <c r="D17" s="66" t="s">
        <v>259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0" customHeight="1">
      <c r="A18" s="66"/>
      <c r="B18" s="66"/>
      <c r="C18" s="66" t="s">
        <v>260</v>
      </c>
      <c r="D18" s="66" t="s">
        <v>261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0" customHeight="1">
      <c r="A19" s="66"/>
      <c r="B19" s="66"/>
      <c r="C19" s="66" t="s">
        <v>262</v>
      </c>
      <c r="D19" s="66" t="s">
        <v>263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0" customHeight="1">
      <c r="A20" s="66"/>
      <c r="B20" s="66"/>
      <c r="C20" s="66" t="s">
        <v>264</v>
      </c>
      <c r="D20" s="66" t="s">
        <v>265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0" customHeight="1">
      <c r="A21" s="66"/>
      <c r="B21" s="66"/>
      <c r="C21" s="66" t="s">
        <v>266</v>
      </c>
      <c r="D21" s="66" t="s">
        <v>267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0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0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4.2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4.2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4.2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4.2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4.2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4.2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4.2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4.2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4.2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4.2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4.2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4.2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4.2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4.2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4.2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4.2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4.2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4.2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4.2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4.2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4.2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4.2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4.2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4.2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4.2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4.2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4.2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4.2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4.2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