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P DUPLICAR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Custo de Aquisiça2o total
</t>
      </text>
    </comment>
  </commentList>
</comments>
</file>

<file path=xl/sharedStrings.xml><?xml version="1.0" encoding="utf-8"?>
<sst xmlns="http://schemas.openxmlformats.org/spreadsheetml/2006/main" count="131" uniqueCount="60">
  <si>
    <t xml:space="preserve"> Funis de Marketing</t>
  </si>
  <si>
    <t>MARKETING PROJETADO</t>
  </si>
  <si>
    <t>MARKETING REALIZADO</t>
  </si>
  <si>
    <t>Comercial</t>
  </si>
  <si>
    <t>MKT + COM</t>
  </si>
  <si>
    <t>Data</t>
  </si>
  <si>
    <t>Investimento Projetado 
em Distribuiçao</t>
  </si>
  <si>
    <t>Investimento Projetado 
em Leads</t>
  </si>
  <si>
    <t>CPL Projetado</t>
  </si>
  <si>
    <t>Leads novos projetados</t>
  </si>
  <si>
    <t>Investimento Realizado</t>
  </si>
  <si>
    <t>CPL Realizado</t>
  </si>
  <si>
    <t>Leads Novos dia</t>
  </si>
  <si>
    <t xml:space="preserve">ligações Telfonicas únicas no dia
(40 min/SDR) </t>
  </si>
  <si>
    <t>Agendamentos realizados no dia</t>
  </si>
  <si>
    <t>taxa de Agendamento</t>
  </si>
  <si>
    <t>Agendamentos para o dia</t>
  </si>
  <si>
    <t>Comparecimentos para dia</t>
  </si>
  <si>
    <t>Taxa de comaparecimento</t>
  </si>
  <si>
    <t>Vendas no dia</t>
  </si>
  <si>
    <t>Faturamento</t>
  </si>
  <si>
    <t>Taxa de Conversão</t>
  </si>
  <si>
    <t>Faturamento total
Efetivo</t>
  </si>
  <si>
    <t>Faturamento previsto</t>
  </si>
  <si>
    <t>CAC Total/Dia</t>
  </si>
  <si>
    <t>Soma</t>
  </si>
  <si>
    <t>Média Mensal</t>
  </si>
  <si>
    <t xml:space="preserve">Social Selling </t>
  </si>
  <si>
    <t>Semana 1</t>
  </si>
  <si>
    <t>Semana 2</t>
  </si>
  <si>
    <t>Semana 3</t>
  </si>
  <si>
    <t>Semana 4</t>
  </si>
  <si>
    <t>Segunda</t>
  </si>
  <si>
    <t>Sexta</t>
  </si>
  <si>
    <t>Total</t>
  </si>
  <si>
    <t>Terça</t>
  </si>
  <si>
    <t xml:space="preserve">Quarta </t>
  </si>
  <si>
    <t>Quinta</t>
  </si>
  <si>
    <t>Novos Seguidores</t>
  </si>
  <si>
    <t>Mensagens enviadas</t>
  </si>
  <si>
    <t>Respostas</t>
  </si>
  <si>
    <t>Taxa de Resposta</t>
  </si>
  <si>
    <t>Agendamentos</t>
  </si>
  <si>
    <t>Comparecimento</t>
  </si>
  <si>
    <t>Vendas</t>
  </si>
  <si>
    <t>Sales Farming</t>
  </si>
  <si>
    <t>Semana 5</t>
  </si>
  <si>
    <t>Leads Processados Total</t>
  </si>
  <si>
    <t>SDRS</t>
  </si>
  <si>
    <t>Leads por SDR</t>
  </si>
  <si>
    <t>Total Mês</t>
  </si>
  <si>
    <t>Lista de Interessados</t>
  </si>
  <si>
    <t>Agend. Fluxo Anterior</t>
  </si>
  <si>
    <t>Comparecimentos</t>
  </si>
  <si>
    <t xml:space="preserve">Email 1 </t>
  </si>
  <si>
    <t>Email 5</t>
  </si>
  <si>
    <t xml:space="preserve">Email 2 </t>
  </si>
  <si>
    <t>Email 3</t>
  </si>
  <si>
    <t>Email 4</t>
  </si>
  <si>
    <t>Taxa de Abertura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</si>
</sst>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[$R$ -416]#,##0.00"/>
    <numFmt numFmtId="166" formatCode="0.0"/>
  </numFmts>
  <fonts count="7">
    <font>
      <sz val="10.0"/>
      <color rgb="FF000000"/>
      <name val="Arial"/>
      <scheme val="minor"/>
    </font>
    <font>
      <b/>
      <sz val="15.0"/>
      <color theme="1"/>
      <name val="Arial"/>
    </font>
    <font/>
    <font>
      <b/>
      <color rgb="FFFFFFFF"/>
      <name val="Arial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1" numFmtId="0" xfId="0" applyBorder="1" applyFont="1"/>
    <xf borderId="6" fillId="0" fontId="1" numFmtId="0" xfId="0" applyBorder="1" applyFont="1"/>
    <xf borderId="0" fillId="2" fontId="3" numFmtId="0" xfId="0" applyAlignment="1" applyFill="1" applyFont="1">
      <alignment horizontal="center"/>
    </xf>
    <xf borderId="0" fillId="2" fontId="4" numFmtId="0" xfId="0" applyAlignment="1" applyFont="1">
      <alignment horizontal="center"/>
    </xf>
    <xf borderId="0" fillId="3" fontId="4" numFmtId="0" xfId="0" applyAlignment="1" applyFill="1" applyFont="1">
      <alignment horizontal="center"/>
    </xf>
    <xf borderId="0" fillId="4" fontId="4" numFmtId="0" xfId="0" applyAlignment="1" applyFill="1" applyFont="1">
      <alignment horizontal="center"/>
    </xf>
    <xf borderId="7" fillId="5" fontId="3" numFmtId="0" xfId="0" applyBorder="1" applyFill="1" applyFont="1"/>
    <xf borderId="7" fillId="6" fontId="3" numFmtId="0" xfId="0" applyBorder="1" applyFill="1" applyFont="1"/>
    <xf borderId="7" fillId="0" fontId="5" numFmtId="164" xfId="0" applyBorder="1" applyFont="1" applyNumberFormat="1"/>
    <xf borderId="7" fillId="0" fontId="5" numFmtId="165" xfId="0" applyBorder="1" applyFont="1" applyNumberFormat="1"/>
    <xf borderId="7" fillId="0" fontId="5" numFmtId="166" xfId="0" applyBorder="1" applyFont="1" applyNumberFormat="1"/>
    <xf borderId="7" fillId="0" fontId="5" numFmtId="0" xfId="0" applyBorder="1" applyFont="1"/>
    <xf borderId="7" fillId="7" fontId="5" numFmtId="10" xfId="0" applyBorder="1" applyFill="1" applyFont="1" applyNumberFormat="1"/>
    <xf borderId="7" fillId="7" fontId="5" numFmtId="165" xfId="0" applyBorder="1" applyFont="1" applyNumberFormat="1"/>
    <xf borderId="7" fillId="7" fontId="5" numFmtId="4" xfId="0" applyBorder="1" applyFont="1" applyNumberFormat="1"/>
    <xf borderId="7" fillId="7" fontId="5" numFmtId="0" xfId="0" applyBorder="1" applyFont="1"/>
    <xf borderId="7" fillId="8" fontId="5" numFmtId="0" xfId="0" applyBorder="1" applyFill="1" applyFont="1"/>
    <xf borderId="0" fillId="7" fontId="5" numFmtId="0" xfId="0" applyFont="1"/>
    <xf borderId="0" fillId="7" fontId="5" numFmtId="0" xfId="0" applyFont="1"/>
    <xf borderId="7" fillId="4" fontId="5" numFmtId="0" xfId="0" applyBorder="1" applyFont="1"/>
    <xf borderId="7" fillId="4" fontId="5" numFmtId="165" xfId="0" applyBorder="1" applyFont="1" applyNumberFormat="1"/>
    <xf borderId="7" fillId="7" fontId="5" numFmtId="0" xfId="0" applyBorder="1" applyFont="1"/>
    <xf borderId="7" fillId="7" fontId="5" numFmtId="10" xfId="0" applyBorder="1" applyFont="1" applyNumberFormat="1"/>
    <xf borderId="7" fillId="7" fontId="5" numFmtId="165" xfId="0" applyBorder="1" applyFont="1" applyNumberFormat="1"/>
    <xf borderId="7" fillId="7" fontId="5" numFmtId="4" xfId="0" applyBorder="1" applyFont="1" applyNumberFormat="1"/>
    <xf borderId="8" fillId="5" fontId="3" numFmtId="0" xfId="0" applyBorder="1" applyFont="1"/>
    <xf borderId="9" fillId="5" fontId="3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5" fontId="3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9" fontId="6" numFmtId="0" xfId="0" applyBorder="1" applyFill="1" applyFont="1"/>
    <xf borderId="15" fillId="0" fontId="2" numFmtId="0" xfId="0" applyBorder="1" applyFont="1"/>
    <xf borderId="16" fillId="9" fontId="6" numFmtId="0" xfId="0" applyBorder="1" applyFont="1"/>
    <xf borderId="8" fillId="0" fontId="5" numFmtId="0" xfId="0" applyBorder="1" applyFont="1"/>
    <xf borderId="9" fillId="0" fontId="6" numFmtId="0" xfId="0" applyBorder="1" applyFont="1"/>
    <xf borderId="17" fillId="0" fontId="6" numFmtId="0" xfId="0" applyBorder="1" applyFont="1"/>
    <xf borderId="14" fillId="8" fontId="5" numFmtId="0" xfId="0" applyBorder="1" applyFont="1"/>
    <xf borderId="0" fillId="8" fontId="5" numFmtId="0" xfId="0" applyFont="1"/>
    <xf borderId="16" fillId="8" fontId="5" numFmtId="0" xfId="0" applyBorder="1" applyFont="1"/>
    <xf borderId="14" fillId="0" fontId="5" numFmtId="0" xfId="0" applyBorder="1" applyFont="1"/>
    <xf borderId="0" fillId="0" fontId="5" numFmtId="0" xfId="0" applyFont="1"/>
    <xf borderId="16" fillId="10" fontId="5" numFmtId="0" xfId="0" applyBorder="1" applyFill="1" applyFont="1"/>
    <xf borderId="0" fillId="10" fontId="5" numFmtId="0" xfId="0" applyFont="1"/>
    <xf borderId="0" fillId="0" fontId="5" numFmtId="10" xfId="0" applyFont="1" applyNumberFormat="1"/>
    <xf borderId="16" fillId="10" fontId="5" numFmtId="10" xfId="0" applyBorder="1" applyFont="1" applyNumberFormat="1"/>
    <xf borderId="11" fillId="0" fontId="5" numFmtId="0" xfId="0" applyBorder="1" applyFont="1"/>
    <xf borderId="12" fillId="0" fontId="5" numFmtId="0" xfId="0" applyBorder="1" applyFont="1"/>
    <xf borderId="18" fillId="10" fontId="5" numFmtId="0" xfId="0" applyBorder="1" applyFont="1"/>
    <xf borderId="12" fillId="10" fontId="5" numFmtId="0" xfId="0" applyBorder="1" applyFont="1"/>
    <xf borderId="19" fillId="5" fontId="3" numFmtId="0" xfId="0" applyBorder="1" applyFont="1"/>
    <xf borderId="0" fillId="9" fontId="6" numFmtId="0" xfId="0" applyFont="1"/>
    <xf borderId="20" fillId="9" fontId="6" numFmtId="0" xfId="0" applyAlignment="1" applyBorder="1" applyFont="1">
      <alignment vertical="bottom"/>
    </xf>
    <xf borderId="19" fillId="0" fontId="2" numFmtId="0" xfId="0" applyBorder="1" applyFont="1"/>
    <xf borderId="21" fillId="0" fontId="2" numFmtId="0" xfId="0" applyBorder="1" applyFont="1"/>
    <xf borderId="1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5" fillId="0" fontId="6" numFmtId="0" xfId="0" applyAlignment="1" applyBorder="1" applyFont="1">
      <alignment vertical="bottom"/>
    </xf>
    <xf borderId="14" fillId="8" fontId="5" numFmtId="0" xfId="0" applyAlignment="1" applyBorder="1" applyFont="1">
      <alignment vertical="bottom"/>
    </xf>
    <xf borderId="0" fillId="8" fontId="5" numFmtId="0" xfId="0" applyAlignment="1" applyFont="1">
      <alignment vertical="bottom"/>
    </xf>
    <xf borderId="15" fillId="8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0" fillId="0" fontId="5" numFmtId="0" xfId="0" applyAlignment="1" applyFont="1">
      <alignment horizontal="right"/>
    </xf>
    <xf borderId="0" fillId="8" fontId="5" numFmtId="0" xfId="0" applyAlignment="1" applyFont="1">
      <alignment horizontal="right" vertical="bottom"/>
    </xf>
    <xf borderId="15" fillId="8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0" fillId="0" fontId="6" numFmtId="0" xfId="0" applyFont="1"/>
    <xf borderId="8" fillId="5" fontId="5" numFmtId="0" xfId="0" applyBorder="1" applyFont="1"/>
    <xf borderId="17" fillId="5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EMPLATE P DUPLIC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5:U35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EMPLATE P DUPLIC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13"/>
    <col customWidth="1" min="2" max="2" width="24.5"/>
    <col customWidth="1" min="3" max="3" width="19.38"/>
    <col customWidth="1" min="4" max="4" width="21.75"/>
    <col customWidth="1" min="5" max="5" width="12.5"/>
    <col customWidth="1" min="6" max="6" width="20.13"/>
    <col customWidth="1" min="7" max="7" width="20.88"/>
    <col customWidth="1" min="8" max="8" width="12.63"/>
    <col customWidth="1" min="9" max="9" width="14.25"/>
    <col customWidth="1" min="10" max="10" width="27.38"/>
    <col customWidth="1" min="11" max="11" width="27.0"/>
    <col customWidth="1" min="12" max="12" width="18.38"/>
    <col customWidth="1" min="13" max="13" width="21.38"/>
    <col customWidth="1" min="14" max="14" width="22.38"/>
    <col customWidth="1" min="15" max="15" width="21.75"/>
    <col customWidth="1" min="16" max="16" width="12.25"/>
    <col customWidth="1" min="17" max="17" width="11.13"/>
    <col customWidth="1" min="18" max="18" width="16.13"/>
    <col customWidth="1" min="19" max="19" width="15.13"/>
    <col customWidth="1" min="20" max="20" width="18.0"/>
    <col customWidth="1" min="21" max="21" width="12.0"/>
    <col customWidth="1" min="22" max="22" width="6.88"/>
    <col customWidth="1" min="23" max="23" width="4.88"/>
    <col customWidth="1" min="24" max="24" width="8.75"/>
    <col customWidth="1" min="25" max="25" width="7.25"/>
    <col customWidth="1" min="26" max="28" width="6.88"/>
    <col customWidth="1" min="29" max="29" width="4.88"/>
    <col customWidth="1" min="30" max="30" width="8.75"/>
    <col customWidth="1" min="31" max="31" width="7.25"/>
    <col customWidth="1" min="32" max="34" width="6.88"/>
    <col customWidth="1" min="35" max="35" width="4.88"/>
  </cols>
  <sheetData>
    <row r="1" ht="15.0" customHeight="1">
      <c r="B1" s="1" t="s">
        <v>0</v>
      </c>
      <c r="C1" s="2"/>
      <c r="D1" s="2"/>
      <c r="E1" s="2"/>
      <c r="F1" s="2"/>
      <c r="G1" s="2"/>
      <c r="H1" s="2"/>
      <c r="I1" s="3"/>
    </row>
    <row r="2" ht="15.0" customHeight="1">
      <c r="B2" s="4"/>
      <c r="C2" s="5"/>
      <c r="D2" s="5"/>
      <c r="E2" s="5"/>
      <c r="F2" s="5"/>
      <c r="G2" s="5"/>
      <c r="H2" s="5"/>
      <c r="I2" s="6"/>
    </row>
    <row r="3" ht="15.0" customHeight="1">
      <c r="C3" s="7"/>
      <c r="D3" s="7" t="s">
        <v>1</v>
      </c>
      <c r="G3" s="8" t="s">
        <v>2</v>
      </c>
      <c r="J3" s="9" t="s">
        <v>3</v>
      </c>
      <c r="S3" s="10" t="s">
        <v>4</v>
      </c>
    </row>
    <row r="4" ht="15.75" customHeight="1">
      <c r="B4" s="11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  <c r="T4" s="11" t="s">
        <v>23</v>
      </c>
      <c r="U4" s="11" t="s">
        <v>24</v>
      </c>
    </row>
    <row r="5" ht="15.75" customHeight="1">
      <c r="B5" s="13">
        <v>44927.0</v>
      </c>
      <c r="C5" s="14">
        <v>130.0</v>
      </c>
      <c r="D5" s="14">
        <v>700.0</v>
      </c>
      <c r="E5" s="14">
        <v>22.0</v>
      </c>
      <c r="F5" s="15">
        <f>D5/E5</f>
        <v>31.81818182</v>
      </c>
      <c r="G5" s="16"/>
      <c r="H5" s="16"/>
      <c r="I5" s="16">
        <v>12.0</v>
      </c>
      <c r="J5" s="16">
        <v>38.0</v>
      </c>
      <c r="K5" s="16">
        <v>8.0</v>
      </c>
      <c r="L5" s="17">
        <f t="shared" ref="L5:L35" si="1">IFERROR(K5/I5,"")</f>
        <v>0.6666666667</v>
      </c>
      <c r="M5" s="16">
        <v>8.0</v>
      </c>
      <c r="N5" s="16">
        <v>4.0</v>
      </c>
      <c r="O5" s="17">
        <f t="shared" ref="O5:O35" si="2">IFERROR(N5/M5," ")</f>
        <v>0.5</v>
      </c>
      <c r="P5" s="16">
        <v>1.0</v>
      </c>
      <c r="Q5" s="14">
        <v>48000.0</v>
      </c>
      <c r="R5" s="17">
        <f t="shared" ref="R5:R35" si="3">IFERROR(P5/N5,"")</f>
        <v>0.25</v>
      </c>
      <c r="S5" s="18"/>
      <c r="T5" s="16"/>
      <c r="U5" s="19" t="str">
        <f t="shared" ref="U5:U36" si="4">IFERROR(I5*#REF!/P5,"")</f>
        <v/>
      </c>
    </row>
    <row r="6" ht="15.75" customHeight="1">
      <c r="B6" s="13">
        <v>44928.0</v>
      </c>
      <c r="C6" s="20"/>
      <c r="D6" s="20"/>
      <c r="E6" s="20"/>
      <c r="F6" s="20"/>
      <c r="G6" s="20"/>
      <c r="H6" s="21"/>
      <c r="I6" s="20"/>
      <c r="J6" s="20"/>
      <c r="K6" s="20"/>
      <c r="L6" s="17" t="str">
        <f t="shared" si="1"/>
        <v/>
      </c>
      <c r="M6" s="20"/>
      <c r="N6" s="20"/>
      <c r="O6" s="17" t="str">
        <f t="shared" si="2"/>
        <v> </v>
      </c>
      <c r="P6" s="20"/>
      <c r="Q6" s="18"/>
      <c r="R6" s="17" t="str">
        <f t="shared" si="3"/>
        <v/>
      </c>
      <c r="S6" s="22"/>
      <c r="T6" s="20"/>
      <c r="U6" s="19" t="str">
        <f t="shared" si="4"/>
        <v/>
      </c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</row>
    <row r="7" ht="15.75" customHeight="1">
      <c r="B7" s="13">
        <v>44929.0</v>
      </c>
      <c r="C7" s="16"/>
      <c r="D7" s="16"/>
      <c r="E7" s="16"/>
      <c r="F7" s="16"/>
      <c r="G7" s="16"/>
      <c r="H7" s="16"/>
      <c r="I7" s="24"/>
      <c r="J7" s="24"/>
      <c r="K7" s="24"/>
      <c r="L7" s="17" t="str">
        <f t="shared" si="1"/>
        <v/>
      </c>
      <c r="M7" s="24"/>
      <c r="N7" s="24"/>
      <c r="O7" s="17" t="str">
        <f t="shared" si="2"/>
        <v> </v>
      </c>
      <c r="P7" s="24"/>
      <c r="Q7" s="25"/>
      <c r="R7" s="17" t="str">
        <f t="shared" si="3"/>
        <v/>
      </c>
      <c r="S7" s="16"/>
      <c r="T7" s="16"/>
      <c r="U7" s="19" t="str">
        <f t="shared" si="4"/>
        <v/>
      </c>
    </row>
    <row r="8" ht="15.75" customHeight="1">
      <c r="B8" s="13">
        <v>44930.0</v>
      </c>
      <c r="C8" s="16"/>
      <c r="D8" s="16"/>
      <c r="E8" s="16"/>
      <c r="F8" s="16"/>
      <c r="G8" s="16"/>
      <c r="H8" s="16"/>
      <c r="I8" s="24"/>
      <c r="J8" s="24"/>
      <c r="K8" s="24"/>
      <c r="L8" s="17" t="str">
        <f t="shared" si="1"/>
        <v/>
      </c>
      <c r="M8" s="24"/>
      <c r="N8" s="24"/>
      <c r="O8" s="17" t="str">
        <f t="shared" si="2"/>
        <v> </v>
      </c>
      <c r="P8" s="24"/>
      <c r="Q8" s="25"/>
      <c r="R8" s="17" t="str">
        <f t="shared" si="3"/>
        <v/>
      </c>
      <c r="S8" s="20"/>
      <c r="T8" s="20"/>
      <c r="U8" s="19" t="str">
        <f t="shared" si="4"/>
        <v/>
      </c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</row>
    <row r="9" ht="15.75" customHeight="1">
      <c r="B9" s="13">
        <v>44931.0</v>
      </c>
      <c r="C9" s="16"/>
      <c r="D9" s="16"/>
      <c r="E9" s="16"/>
      <c r="F9" s="16"/>
      <c r="G9" s="16"/>
      <c r="H9" s="16"/>
      <c r="I9" s="16"/>
      <c r="J9" s="16"/>
      <c r="K9" s="16"/>
      <c r="L9" s="17" t="str">
        <f t="shared" si="1"/>
        <v/>
      </c>
      <c r="M9" s="16"/>
      <c r="N9" s="16"/>
      <c r="O9" s="17" t="str">
        <f t="shared" si="2"/>
        <v> </v>
      </c>
      <c r="P9" s="16"/>
      <c r="Q9" s="18"/>
      <c r="R9" s="17" t="str">
        <f t="shared" si="3"/>
        <v/>
      </c>
      <c r="S9" s="16"/>
      <c r="T9" s="16"/>
      <c r="U9" s="19" t="str">
        <f t="shared" si="4"/>
        <v/>
      </c>
    </row>
    <row r="10" ht="15.75" customHeight="1">
      <c r="B10" s="13">
        <v>44932.0</v>
      </c>
      <c r="C10" s="20"/>
      <c r="D10" s="20"/>
      <c r="E10" s="20"/>
      <c r="F10" s="20"/>
      <c r="G10" s="20"/>
      <c r="H10" s="21"/>
      <c r="I10" s="20"/>
      <c r="J10" s="20"/>
      <c r="K10" s="20"/>
      <c r="L10" s="17" t="str">
        <f t="shared" si="1"/>
        <v/>
      </c>
      <c r="M10" s="20"/>
      <c r="N10" s="20"/>
      <c r="O10" s="17" t="str">
        <f t="shared" si="2"/>
        <v> </v>
      </c>
      <c r="P10" s="20"/>
      <c r="Q10" s="18"/>
      <c r="R10" s="17" t="str">
        <f t="shared" si="3"/>
        <v/>
      </c>
      <c r="S10" s="20"/>
      <c r="T10" s="20"/>
      <c r="U10" s="19" t="str">
        <f t="shared" si="4"/>
        <v/>
      </c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ht="15.75" customHeight="1">
      <c r="B11" s="13">
        <v>44933.0</v>
      </c>
      <c r="C11" s="16"/>
      <c r="D11" s="16"/>
      <c r="E11" s="16"/>
      <c r="F11" s="16"/>
      <c r="G11" s="16"/>
      <c r="H11" s="16"/>
      <c r="I11" s="16"/>
      <c r="J11" s="16"/>
      <c r="K11" s="16"/>
      <c r="L11" s="17" t="str">
        <f t="shared" si="1"/>
        <v/>
      </c>
      <c r="M11" s="16"/>
      <c r="N11" s="16"/>
      <c r="O11" s="17" t="str">
        <f t="shared" si="2"/>
        <v> </v>
      </c>
      <c r="P11" s="16"/>
      <c r="Q11" s="18"/>
      <c r="R11" s="17" t="str">
        <f t="shared" si="3"/>
        <v/>
      </c>
      <c r="S11" s="16"/>
      <c r="T11" s="16"/>
      <c r="U11" s="19" t="str">
        <f t="shared" si="4"/>
        <v/>
      </c>
    </row>
    <row r="12" ht="15.75" customHeight="1">
      <c r="B12" s="13">
        <v>44934.0</v>
      </c>
      <c r="C12" s="20"/>
      <c r="D12" s="20"/>
      <c r="E12" s="20"/>
      <c r="F12" s="20"/>
      <c r="G12" s="20"/>
      <c r="H12" s="21"/>
      <c r="I12" s="20"/>
      <c r="J12" s="20"/>
      <c r="K12" s="20"/>
      <c r="L12" s="17" t="str">
        <f t="shared" si="1"/>
        <v/>
      </c>
      <c r="M12" s="20"/>
      <c r="N12" s="20"/>
      <c r="O12" s="17" t="str">
        <f t="shared" si="2"/>
        <v> </v>
      </c>
      <c r="P12" s="20"/>
      <c r="Q12" s="18"/>
      <c r="R12" s="17" t="str">
        <f t="shared" si="3"/>
        <v/>
      </c>
      <c r="S12" s="20"/>
      <c r="T12" s="20"/>
      <c r="U12" s="19" t="str">
        <f t="shared" si="4"/>
        <v/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ht="15.75" customHeight="1">
      <c r="B13" s="13">
        <v>44935.0</v>
      </c>
      <c r="C13" s="16"/>
      <c r="D13" s="16"/>
      <c r="E13" s="16"/>
      <c r="F13" s="16"/>
      <c r="G13" s="16"/>
      <c r="H13" s="16"/>
      <c r="I13" s="16"/>
      <c r="J13" s="16"/>
      <c r="K13" s="16"/>
      <c r="L13" s="17" t="str">
        <f t="shared" si="1"/>
        <v/>
      </c>
      <c r="M13" s="16"/>
      <c r="N13" s="16"/>
      <c r="O13" s="17" t="str">
        <f t="shared" si="2"/>
        <v> </v>
      </c>
      <c r="P13" s="16"/>
      <c r="Q13" s="14"/>
      <c r="R13" s="17" t="str">
        <f t="shared" si="3"/>
        <v/>
      </c>
      <c r="S13" s="16"/>
      <c r="T13" s="16"/>
      <c r="U13" s="19" t="str">
        <f t="shared" si="4"/>
        <v/>
      </c>
    </row>
    <row r="14" ht="15.75" customHeight="1">
      <c r="B14" s="13">
        <v>44936.0</v>
      </c>
      <c r="C14" s="20"/>
      <c r="D14" s="20"/>
      <c r="E14" s="20"/>
      <c r="F14" s="20"/>
      <c r="G14" s="20"/>
      <c r="H14" s="21"/>
      <c r="I14" s="24"/>
      <c r="J14" s="24"/>
      <c r="K14" s="24"/>
      <c r="L14" s="17" t="str">
        <f t="shared" si="1"/>
        <v/>
      </c>
      <c r="M14" s="24"/>
      <c r="N14" s="24"/>
      <c r="O14" s="17" t="str">
        <f t="shared" si="2"/>
        <v> </v>
      </c>
      <c r="P14" s="24"/>
      <c r="Q14" s="25"/>
      <c r="R14" s="17" t="str">
        <f t="shared" si="3"/>
        <v/>
      </c>
      <c r="S14" s="20"/>
      <c r="T14" s="20"/>
      <c r="U14" s="19" t="str">
        <f t="shared" si="4"/>
        <v/>
      </c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</row>
    <row r="15" ht="15.75" customHeight="1">
      <c r="B15" s="13">
        <v>44937.0</v>
      </c>
      <c r="C15" s="16"/>
      <c r="D15" s="16"/>
      <c r="E15" s="16"/>
      <c r="F15" s="16"/>
      <c r="G15" s="16"/>
      <c r="H15" s="16"/>
      <c r="I15" s="24"/>
      <c r="J15" s="24"/>
      <c r="K15" s="24"/>
      <c r="L15" s="17" t="str">
        <f t="shared" si="1"/>
        <v/>
      </c>
      <c r="M15" s="24"/>
      <c r="N15" s="24"/>
      <c r="O15" s="17" t="str">
        <f t="shared" si="2"/>
        <v> </v>
      </c>
      <c r="P15" s="24"/>
      <c r="Q15" s="25"/>
      <c r="R15" s="17" t="str">
        <f t="shared" si="3"/>
        <v/>
      </c>
      <c r="S15" s="16"/>
      <c r="T15" s="16"/>
      <c r="U15" s="19" t="str">
        <f t="shared" si="4"/>
        <v/>
      </c>
    </row>
    <row r="16" ht="15.75" customHeight="1">
      <c r="B16" s="13">
        <v>44938.0</v>
      </c>
      <c r="C16" s="20"/>
      <c r="D16" s="20"/>
      <c r="E16" s="20"/>
      <c r="F16" s="20"/>
      <c r="G16" s="20"/>
      <c r="H16" s="21"/>
      <c r="I16" s="24"/>
      <c r="J16" s="24"/>
      <c r="K16" s="24"/>
      <c r="L16" s="17" t="str">
        <f t="shared" si="1"/>
        <v/>
      </c>
      <c r="M16" s="24"/>
      <c r="N16" s="24"/>
      <c r="O16" s="17" t="str">
        <f t="shared" si="2"/>
        <v> </v>
      </c>
      <c r="P16" s="24"/>
      <c r="Q16" s="25"/>
      <c r="R16" s="17" t="str">
        <f t="shared" si="3"/>
        <v/>
      </c>
      <c r="S16" s="20"/>
      <c r="T16" s="20"/>
      <c r="U16" s="19" t="str">
        <f t="shared" si="4"/>
        <v/>
      </c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</row>
    <row r="17" ht="15.75" customHeight="1">
      <c r="B17" s="13">
        <v>44939.0</v>
      </c>
      <c r="C17" s="16"/>
      <c r="D17" s="16"/>
      <c r="E17" s="16"/>
      <c r="F17" s="16"/>
      <c r="G17" s="16"/>
      <c r="H17" s="16"/>
      <c r="I17" s="24"/>
      <c r="J17" s="24"/>
      <c r="K17" s="24"/>
      <c r="L17" s="17" t="str">
        <f t="shared" si="1"/>
        <v/>
      </c>
      <c r="M17" s="24"/>
      <c r="N17" s="24"/>
      <c r="O17" s="17" t="str">
        <f t="shared" si="2"/>
        <v> </v>
      </c>
      <c r="P17" s="24"/>
      <c r="Q17" s="25"/>
      <c r="R17" s="17" t="str">
        <f t="shared" si="3"/>
        <v/>
      </c>
      <c r="S17" s="16"/>
      <c r="T17" s="16"/>
      <c r="U17" s="19" t="str">
        <f t="shared" si="4"/>
        <v/>
      </c>
    </row>
    <row r="18" ht="15.75" customHeight="1">
      <c r="B18" s="13">
        <v>44940.0</v>
      </c>
      <c r="C18" s="20"/>
      <c r="D18" s="20"/>
      <c r="E18" s="20"/>
      <c r="F18" s="20"/>
      <c r="G18" s="20"/>
      <c r="H18" s="21"/>
      <c r="I18" s="20"/>
      <c r="J18" s="20"/>
      <c r="K18" s="20"/>
      <c r="L18" s="17" t="str">
        <f t="shared" si="1"/>
        <v/>
      </c>
      <c r="M18" s="20"/>
      <c r="N18" s="20"/>
      <c r="O18" s="17" t="str">
        <f t="shared" si="2"/>
        <v> </v>
      </c>
      <c r="P18" s="20"/>
      <c r="Q18" s="18"/>
      <c r="R18" s="17" t="str">
        <f t="shared" si="3"/>
        <v/>
      </c>
      <c r="S18" s="20"/>
      <c r="T18" s="20"/>
      <c r="U18" s="19" t="str">
        <f t="shared" si="4"/>
        <v/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</row>
    <row r="19" ht="15.75" customHeight="1">
      <c r="B19" s="13">
        <v>44941.0</v>
      </c>
      <c r="C19" s="16"/>
      <c r="D19" s="16"/>
      <c r="E19" s="16"/>
      <c r="F19" s="16"/>
      <c r="G19" s="16"/>
      <c r="H19" s="16"/>
      <c r="I19" s="16"/>
      <c r="J19" s="16"/>
      <c r="K19" s="16"/>
      <c r="L19" s="17" t="str">
        <f t="shared" si="1"/>
        <v/>
      </c>
      <c r="M19" s="16"/>
      <c r="N19" s="16"/>
      <c r="O19" s="17" t="str">
        <f t="shared" si="2"/>
        <v> </v>
      </c>
      <c r="P19" s="16"/>
      <c r="Q19" s="14"/>
      <c r="R19" s="17" t="str">
        <f t="shared" si="3"/>
        <v/>
      </c>
      <c r="S19" s="16"/>
      <c r="T19" s="16"/>
      <c r="U19" s="19" t="str">
        <f t="shared" si="4"/>
        <v/>
      </c>
    </row>
    <row r="20" ht="15.75" customHeight="1">
      <c r="B20" s="13">
        <v>44942.0</v>
      </c>
      <c r="C20" s="20"/>
      <c r="D20" s="20"/>
      <c r="E20" s="20"/>
      <c r="F20" s="20"/>
      <c r="G20" s="20"/>
      <c r="H20" s="21"/>
      <c r="I20" s="20"/>
      <c r="J20" s="20"/>
      <c r="K20" s="20"/>
      <c r="L20" s="17" t="str">
        <f t="shared" si="1"/>
        <v/>
      </c>
      <c r="M20" s="20"/>
      <c r="N20" s="20"/>
      <c r="O20" s="17" t="str">
        <f t="shared" si="2"/>
        <v> </v>
      </c>
      <c r="P20" s="20"/>
      <c r="Q20" s="14"/>
      <c r="R20" s="17" t="str">
        <f t="shared" si="3"/>
        <v/>
      </c>
      <c r="S20" s="20"/>
      <c r="T20" s="20"/>
      <c r="U20" s="19" t="str">
        <f t="shared" si="4"/>
        <v/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</row>
    <row r="21" ht="15.75" customHeight="1">
      <c r="B21" s="13">
        <v>44943.0</v>
      </c>
      <c r="C21" s="16"/>
      <c r="D21" s="16"/>
      <c r="E21" s="16"/>
      <c r="F21" s="16"/>
      <c r="G21" s="16"/>
      <c r="H21" s="16"/>
      <c r="I21" s="24"/>
      <c r="J21" s="24"/>
      <c r="K21" s="24"/>
      <c r="L21" s="17" t="str">
        <f t="shared" si="1"/>
        <v/>
      </c>
      <c r="M21" s="24"/>
      <c r="N21" s="24"/>
      <c r="O21" s="17" t="str">
        <f t="shared" si="2"/>
        <v> </v>
      </c>
      <c r="P21" s="24"/>
      <c r="Q21" s="24"/>
      <c r="R21" s="17" t="str">
        <f t="shared" si="3"/>
        <v/>
      </c>
      <c r="S21" s="16"/>
      <c r="T21" s="16"/>
      <c r="U21" s="19" t="str">
        <f t="shared" si="4"/>
        <v/>
      </c>
    </row>
    <row r="22" ht="15.75" customHeight="1">
      <c r="B22" s="13">
        <v>44944.0</v>
      </c>
      <c r="C22" s="20"/>
      <c r="D22" s="20"/>
      <c r="E22" s="20"/>
      <c r="F22" s="20"/>
      <c r="G22" s="20"/>
      <c r="H22" s="21"/>
      <c r="I22" s="24"/>
      <c r="J22" s="24"/>
      <c r="K22" s="24"/>
      <c r="L22" s="17" t="str">
        <f t="shared" si="1"/>
        <v/>
      </c>
      <c r="M22" s="24"/>
      <c r="N22" s="24"/>
      <c r="O22" s="17" t="str">
        <f t="shared" si="2"/>
        <v> </v>
      </c>
      <c r="P22" s="24"/>
      <c r="Q22" s="24"/>
      <c r="R22" s="17" t="str">
        <f t="shared" si="3"/>
        <v/>
      </c>
      <c r="S22" s="20"/>
      <c r="T22" s="20"/>
      <c r="U22" s="19" t="str">
        <f t="shared" si="4"/>
        <v/>
      </c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</row>
    <row r="23" ht="15.75" customHeight="1">
      <c r="B23" s="13">
        <v>44945.0</v>
      </c>
      <c r="C23" s="16"/>
      <c r="D23" s="16"/>
      <c r="E23" s="16"/>
      <c r="F23" s="16"/>
      <c r="G23" s="16"/>
      <c r="H23" s="16"/>
      <c r="I23" s="16"/>
      <c r="J23" s="16"/>
      <c r="K23" s="16"/>
      <c r="L23" s="17" t="str">
        <f t="shared" si="1"/>
        <v/>
      </c>
      <c r="M23" s="16"/>
      <c r="N23" s="16"/>
      <c r="O23" s="17" t="str">
        <f t="shared" si="2"/>
        <v> </v>
      </c>
      <c r="P23" s="16"/>
      <c r="Q23" s="14"/>
      <c r="R23" s="17" t="str">
        <f t="shared" si="3"/>
        <v/>
      </c>
      <c r="S23" s="16"/>
      <c r="T23" s="16"/>
      <c r="U23" s="19" t="str">
        <f t="shared" si="4"/>
        <v/>
      </c>
    </row>
    <row r="24" ht="15.75" customHeight="1">
      <c r="B24" s="13">
        <v>44946.0</v>
      </c>
      <c r="C24" s="20"/>
      <c r="D24" s="20"/>
      <c r="E24" s="20"/>
      <c r="F24" s="20"/>
      <c r="G24" s="20"/>
      <c r="H24" s="21"/>
      <c r="I24" s="20"/>
      <c r="J24" s="20"/>
      <c r="K24" s="20"/>
      <c r="L24" s="17" t="str">
        <f t="shared" si="1"/>
        <v/>
      </c>
      <c r="M24" s="20"/>
      <c r="N24" s="20"/>
      <c r="O24" s="17" t="str">
        <f t="shared" si="2"/>
        <v> </v>
      </c>
      <c r="P24" s="20"/>
      <c r="Q24" s="18"/>
      <c r="R24" s="17" t="str">
        <f t="shared" si="3"/>
        <v/>
      </c>
      <c r="S24" s="20"/>
      <c r="T24" s="20"/>
      <c r="U24" s="19" t="str">
        <f t="shared" si="4"/>
        <v/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</row>
    <row r="25" ht="15.75" customHeight="1">
      <c r="B25" s="13">
        <v>44947.0</v>
      </c>
      <c r="C25" s="16"/>
      <c r="D25" s="16"/>
      <c r="E25" s="16"/>
      <c r="F25" s="16"/>
      <c r="G25" s="16"/>
      <c r="H25" s="16"/>
      <c r="I25" s="16"/>
      <c r="J25" s="16"/>
      <c r="K25" s="16"/>
      <c r="L25" s="17" t="str">
        <f t="shared" si="1"/>
        <v/>
      </c>
      <c r="M25" s="16"/>
      <c r="N25" s="16"/>
      <c r="O25" s="17" t="str">
        <f t="shared" si="2"/>
        <v> </v>
      </c>
      <c r="P25" s="16"/>
      <c r="Q25" s="14"/>
      <c r="R25" s="17" t="str">
        <f t="shared" si="3"/>
        <v/>
      </c>
      <c r="S25" s="16"/>
      <c r="T25" s="16"/>
      <c r="U25" s="19" t="str">
        <f t="shared" si="4"/>
        <v/>
      </c>
    </row>
    <row r="26" ht="15.75" customHeight="1">
      <c r="B26" s="13">
        <v>44948.0</v>
      </c>
      <c r="C26" s="20"/>
      <c r="D26" s="20"/>
      <c r="E26" s="20"/>
      <c r="F26" s="20"/>
      <c r="G26" s="20"/>
      <c r="H26" s="21"/>
      <c r="I26" s="20"/>
      <c r="J26" s="20"/>
      <c r="K26" s="20"/>
      <c r="L26" s="17" t="str">
        <f t="shared" si="1"/>
        <v/>
      </c>
      <c r="M26" s="20"/>
      <c r="N26" s="20"/>
      <c r="O26" s="17" t="str">
        <f t="shared" si="2"/>
        <v> </v>
      </c>
      <c r="P26" s="20"/>
      <c r="Q26" s="18"/>
      <c r="R26" s="17" t="str">
        <f t="shared" si="3"/>
        <v/>
      </c>
      <c r="S26" s="20"/>
      <c r="T26" s="20"/>
      <c r="U26" s="19" t="str">
        <f t="shared" si="4"/>
        <v/>
      </c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</row>
    <row r="27" ht="15.75" customHeight="1">
      <c r="B27" s="13">
        <v>44949.0</v>
      </c>
      <c r="C27" s="16"/>
      <c r="D27" s="16"/>
      <c r="E27" s="16"/>
      <c r="F27" s="16"/>
      <c r="G27" s="16"/>
      <c r="H27" s="16"/>
      <c r="I27" s="16"/>
      <c r="J27" s="16"/>
      <c r="K27" s="16"/>
      <c r="L27" s="17" t="str">
        <f t="shared" si="1"/>
        <v/>
      </c>
      <c r="M27" s="16"/>
      <c r="N27" s="16"/>
      <c r="O27" s="17" t="str">
        <f t="shared" si="2"/>
        <v> </v>
      </c>
      <c r="P27" s="16"/>
      <c r="Q27" s="14"/>
      <c r="R27" s="17" t="str">
        <f t="shared" si="3"/>
        <v/>
      </c>
      <c r="S27" s="16"/>
      <c r="T27" s="16"/>
      <c r="U27" s="19" t="str">
        <f t="shared" si="4"/>
        <v/>
      </c>
    </row>
    <row r="28" ht="15.75" customHeight="1">
      <c r="B28" s="13">
        <v>44950.0</v>
      </c>
      <c r="C28" s="20"/>
      <c r="D28" s="20"/>
      <c r="E28" s="20"/>
      <c r="F28" s="20"/>
      <c r="G28" s="20"/>
      <c r="H28" s="21"/>
      <c r="I28" s="24"/>
      <c r="J28" s="24"/>
      <c r="K28" s="24"/>
      <c r="L28" s="17" t="str">
        <f t="shared" si="1"/>
        <v/>
      </c>
      <c r="M28" s="24"/>
      <c r="N28" s="24"/>
      <c r="O28" s="17" t="str">
        <f t="shared" si="2"/>
        <v> </v>
      </c>
      <c r="P28" s="24"/>
      <c r="Q28" s="24"/>
      <c r="R28" s="17" t="str">
        <f t="shared" si="3"/>
        <v/>
      </c>
      <c r="S28" s="20"/>
      <c r="T28" s="20"/>
      <c r="U28" s="19" t="str">
        <f t="shared" si="4"/>
        <v/>
      </c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</row>
    <row r="29" ht="15.75" customHeight="1">
      <c r="B29" s="13">
        <v>44951.0</v>
      </c>
      <c r="C29" s="16"/>
      <c r="D29" s="16"/>
      <c r="E29" s="16"/>
      <c r="F29" s="16"/>
      <c r="G29" s="16"/>
      <c r="H29" s="16"/>
      <c r="I29" s="24"/>
      <c r="J29" s="24"/>
      <c r="K29" s="24"/>
      <c r="L29" s="17" t="str">
        <f t="shared" si="1"/>
        <v/>
      </c>
      <c r="M29" s="24"/>
      <c r="N29" s="24"/>
      <c r="O29" s="17" t="str">
        <f t="shared" si="2"/>
        <v> </v>
      </c>
      <c r="P29" s="24"/>
      <c r="Q29" s="24"/>
      <c r="R29" s="17" t="str">
        <f t="shared" si="3"/>
        <v/>
      </c>
      <c r="S29" s="16"/>
      <c r="T29" s="16"/>
      <c r="U29" s="19" t="str">
        <f t="shared" si="4"/>
        <v/>
      </c>
    </row>
    <row r="30" ht="15.75" customHeight="1">
      <c r="B30" s="13">
        <v>44952.0</v>
      </c>
      <c r="C30" s="20"/>
      <c r="D30" s="20"/>
      <c r="E30" s="20"/>
      <c r="F30" s="20"/>
      <c r="G30" s="20"/>
      <c r="H30" s="20"/>
      <c r="I30" s="20"/>
      <c r="J30" s="20"/>
      <c r="K30" s="20"/>
      <c r="L30" s="17" t="str">
        <f t="shared" si="1"/>
        <v/>
      </c>
      <c r="M30" s="20"/>
      <c r="N30" s="20"/>
      <c r="O30" s="17" t="str">
        <f t="shared" si="2"/>
        <v> </v>
      </c>
      <c r="P30" s="20"/>
      <c r="Q30" s="18"/>
      <c r="R30" s="17" t="str">
        <f t="shared" si="3"/>
        <v/>
      </c>
      <c r="S30" s="20"/>
      <c r="T30" s="20"/>
      <c r="U30" s="19" t="str">
        <f t="shared" si="4"/>
        <v/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</row>
    <row r="31" ht="15.75" customHeight="1">
      <c r="B31" s="13">
        <v>44953.0</v>
      </c>
      <c r="C31" s="16"/>
      <c r="D31" s="16"/>
      <c r="E31" s="16"/>
      <c r="F31" s="16"/>
      <c r="G31" s="16"/>
      <c r="H31" s="16"/>
      <c r="I31" s="16"/>
      <c r="J31" s="16"/>
      <c r="K31" s="16"/>
      <c r="L31" s="17" t="str">
        <f t="shared" si="1"/>
        <v/>
      </c>
      <c r="M31" s="16"/>
      <c r="N31" s="16"/>
      <c r="O31" s="17" t="str">
        <f t="shared" si="2"/>
        <v> </v>
      </c>
      <c r="P31" s="16"/>
      <c r="Q31" s="14"/>
      <c r="R31" s="17" t="str">
        <f t="shared" si="3"/>
        <v/>
      </c>
      <c r="S31" s="16"/>
      <c r="T31" s="16"/>
      <c r="U31" s="19" t="str">
        <f t="shared" si="4"/>
        <v/>
      </c>
    </row>
    <row r="32" ht="15.75" customHeight="1">
      <c r="B32" s="13">
        <v>44954.0</v>
      </c>
      <c r="C32" s="20"/>
      <c r="D32" s="20"/>
      <c r="E32" s="20"/>
      <c r="F32" s="20"/>
      <c r="G32" s="20"/>
      <c r="H32" s="20"/>
      <c r="I32" s="20"/>
      <c r="J32" s="20"/>
      <c r="K32" s="20"/>
      <c r="L32" s="17" t="str">
        <f t="shared" si="1"/>
        <v/>
      </c>
      <c r="M32" s="20"/>
      <c r="N32" s="20"/>
      <c r="O32" s="17" t="str">
        <f t="shared" si="2"/>
        <v> </v>
      </c>
      <c r="P32" s="20"/>
      <c r="Q32" s="18"/>
      <c r="R32" s="17" t="str">
        <f t="shared" si="3"/>
        <v/>
      </c>
      <c r="S32" s="20"/>
      <c r="T32" s="20"/>
      <c r="U32" s="19" t="str">
        <f t="shared" si="4"/>
        <v/>
      </c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</row>
    <row r="33" ht="15.75" customHeight="1">
      <c r="B33" s="13">
        <v>44955.0</v>
      </c>
      <c r="C33" s="16"/>
      <c r="D33" s="16"/>
      <c r="E33" s="16"/>
      <c r="F33" s="16"/>
      <c r="G33" s="16"/>
      <c r="H33" s="16"/>
      <c r="I33" s="16"/>
      <c r="J33" s="16"/>
      <c r="K33" s="16"/>
      <c r="L33" s="17" t="str">
        <f t="shared" si="1"/>
        <v/>
      </c>
      <c r="M33" s="16"/>
      <c r="N33" s="16"/>
      <c r="O33" s="17" t="str">
        <f t="shared" si="2"/>
        <v> </v>
      </c>
      <c r="P33" s="16"/>
      <c r="Q33" s="14"/>
      <c r="R33" s="17" t="str">
        <f t="shared" si="3"/>
        <v/>
      </c>
      <c r="S33" s="16"/>
      <c r="T33" s="16"/>
      <c r="U33" s="19" t="str">
        <f t="shared" si="4"/>
        <v/>
      </c>
    </row>
    <row r="34" ht="15.75" customHeight="1">
      <c r="B34" s="13">
        <v>44956.0</v>
      </c>
      <c r="C34" s="20"/>
      <c r="D34" s="20"/>
      <c r="E34" s="20"/>
      <c r="F34" s="20"/>
      <c r="G34" s="20"/>
      <c r="H34" s="20"/>
      <c r="I34" s="20"/>
      <c r="J34" s="20"/>
      <c r="K34" s="20"/>
      <c r="L34" s="17" t="str">
        <f t="shared" si="1"/>
        <v/>
      </c>
      <c r="M34" s="20"/>
      <c r="N34" s="20"/>
      <c r="O34" s="17" t="str">
        <f t="shared" si="2"/>
        <v> </v>
      </c>
      <c r="P34" s="20"/>
      <c r="Q34" s="18"/>
      <c r="R34" s="17" t="str">
        <f t="shared" si="3"/>
        <v/>
      </c>
      <c r="S34" s="20"/>
      <c r="T34" s="20"/>
      <c r="U34" s="19" t="str">
        <f t="shared" si="4"/>
        <v/>
      </c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</row>
    <row r="35" ht="15.75" customHeight="1">
      <c r="B35" s="13">
        <v>44957.0</v>
      </c>
      <c r="C35" s="16"/>
      <c r="D35" s="16"/>
      <c r="E35" s="16"/>
      <c r="F35" s="16"/>
      <c r="G35" s="16"/>
      <c r="H35" s="16"/>
      <c r="I35" s="16"/>
      <c r="J35" s="16"/>
      <c r="K35" s="16"/>
      <c r="L35" s="17" t="str">
        <f t="shared" si="1"/>
        <v/>
      </c>
      <c r="M35" s="16"/>
      <c r="N35" s="16"/>
      <c r="O35" s="17" t="str">
        <f t="shared" si="2"/>
        <v> </v>
      </c>
      <c r="P35" s="16"/>
      <c r="Q35" s="14"/>
      <c r="R35" s="17" t="str">
        <f t="shared" si="3"/>
        <v/>
      </c>
      <c r="S35" s="16"/>
      <c r="T35" s="16"/>
      <c r="U35" s="19" t="str">
        <f t="shared" si="4"/>
        <v/>
      </c>
    </row>
    <row r="36" ht="15.75" customHeight="1">
      <c r="B36" s="26" t="s">
        <v>25</v>
      </c>
      <c r="C36" s="26"/>
      <c r="D36" s="26"/>
      <c r="E36" s="26"/>
      <c r="F36" s="26"/>
      <c r="G36" s="26">
        <f>SUM(G5:G35)</f>
        <v>0</v>
      </c>
      <c r="H36" s="26"/>
      <c r="I36" s="26">
        <f t="shared" ref="I36:K36" si="5">SUM(I5:I35)</f>
        <v>12</v>
      </c>
      <c r="J36" s="26">
        <f t="shared" si="5"/>
        <v>38</v>
      </c>
      <c r="K36" s="26">
        <f t="shared" si="5"/>
        <v>8</v>
      </c>
      <c r="L36" s="27">
        <f>K36/I36</f>
        <v>0.6666666667</v>
      </c>
      <c r="M36" s="26">
        <f t="shared" ref="M36:N36" si="6">SUM(M5:M35)</f>
        <v>8</v>
      </c>
      <c r="N36" s="26">
        <f t="shared" si="6"/>
        <v>4</v>
      </c>
      <c r="O36" s="27">
        <f>N36/M36</f>
        <v>0.5</v>
      </c>
      <c r="P36" s="26">
        <f t="shared" ref="P36:S36" si="7">SUM(P5:P35)</f>
        <v>1</v>
      </c>
      <c r="Q36" s="28">
        <f t="shared" si="7"/>
        <v>48000</v>
      </c>
      <c r="R36" s="27">
        <f t="shared" si="7"/>
        <v>0.25</v>
      </c>
      <c r="S36" s="28">
        <f t="shared" si="7"/>
        <v>0</v>
      </c>
      <c r="T36" s="26"/>
      <c r="U36" s="29" t="str">
        <f t="shared" si="4"/>
        <v/>
      </c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</row>
    <row r="37" ht="15.75" customHeight="1">
      <c r="B37" s="26" t="s">
        <v>26</v>
      </c>
      <c r="C37" s="26"/>
      <c r="D37" s="26"/>
      <c r="E37" s="26"/>
      <c r="F37" s="26"/>
      <c r="G37" s="26"/>
      <c r="H37" s="26"/>
      <c r="I37" s="26"/>
      <c r="J37" s="26"/>
      <c r="K37" s="26"/>
      <c r="L37" s="26">
        <f>IFERROR(MEDIAN(L5:L35),"")</f>
        <v>0.6666666667</v>
      </c>
      <c r="M37" s="26"/>
      <c r="N37" s="26"/>
      <c r="O37" s="26">
        <f>IFERROR(MEDIAN(O5:O35),"")</f>
        <v>0.5</v>
      </c>
      <c r="P37" s="26"/>
      <c r="Q37" s="28"/>
      <c r="R37" s="26">
        <f>IFERROR(MEDIAN(R5:R35),"")</f>
        <v>0.25</v>
      </c>
      <c r="S37" s="26"/>
      <c r="T37" s="26"/>
      <c r="U37" s="29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</row>
    <row r="38" ht="15.75" customHeight="1"/>
    <row r="39" ht="15.75" customHeight="1"/>
    <row r="40" ht="15.75" customHeight="1">
      <c r="B40" s="30" t="s">
        <v>27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3"/>
    </row>
    <row r="41" ht="15.75" customHeight="1"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7"/>
    </row>
    <row r="42" ht="15.75" customHeight="1">
      <c r="B42" s="38"/>
      <c r="C42" s="38"/>
      <c r="D42" s="38"/>
      <c r="E42" s="38"/>
      <c r="F42" s="38"/>
      <c r="G42" s="38" t="s">
        <v>28</v>
      </c>
      <c r="K42" s="38" t="s">
        <v>29</v>
      </c>
      <c r="P42" s="39"/>
      <c r="Q42" s="40"/>
      <c r="R42" s="38" t="s">
        <v>30</v>
      </c>
      <c r="W42" s="39"/>
      <c r="X42" s="38" t="s">
        <v>31</v>
      </c>
      <c r="AC42" s="39"/>
    </row>
    <row r="43" ht="15.75" customHeight="1">
      <c r="B43" s="41"/>
      <c r="C43" s="42"/>
      <c r="D43" s="42"/>
      <c r="E43" s="42"/>
      <c r="F43" s="42"/>
      <c r="G43" s="42" t="s">
        <v>32</v>
      </c>
      <c r="H43" s="42"/>
      <c r="I43" s="42" t="s">
        <v>33</v>
      </c>
      <c r="J43" s="43" t="s">
        <v>34</v>
      </c>
      <c r="K43" s="42" t="s">
        <v>32</v>
      </c>
      <c r="L43" s="42" t="s">
        <v>35</v>
      </c>
      <c r="M43" s="42" t="s">
        <v>36</v>
      </c>
      <c r="N43" s="42" t="s">
        <v>37</v>
      </c>
      <c r="O43" s="42" t="s">
        <v>33</v>
      </c>
      <c r="P43" s="43" t="s">
        <v>34</v>
      </c>
      <c r="Q43" s="42"/>
      <c r="R43" s="42" t="s">
        <v>32</v>
      </c>
      <c r="S43" s="42" t="s">
        <v>35</v>
      </c>
      <c r="T43" s="42" t="s">
        <v>36</v>
      </c>
      <c r="U43" s="42" t="s">
        <v>37</v>
      </c>
      <c r="V43" s="42" t="s">
        <v>33</v>
      </c>
      <c r="W43" s="43" t="s">
        <v>34</v>
      </c>
      <c r="X43" s="42" t="s">
        <v>32</v>
      </c>
      <c r="Y43" s="42" t="s">
        <v>35</v>
      </c>
      <c r="Z43" s="42" t="s">
        <v>36</v>
      </c>
      <c r="AA43" s="42" t="s">
        <v>37</v>
      </c>
      <c r="AB43" s="42" t="s">
        <v>33</v>
      </c>
      <c r="AC43" s="43" t="s">
        <v>34</v>
      </c>
    </row>
    <row r="44" ht="15.75" customHeight="1">
      <c r="B44" s="44" t="s">
        <v>38</v>
      </c>
      <c r="C44" s="45"/>
      <c r="D44" s="45"/>
      <c r="E44" s="45"/>
      <c r="F44" s="45"/>
      <c r="G44" s="45">
        <v>100.0</v>
      </c>
      <c r="H44" s="45"/>
      <c r="I44" s="45"/>
      <c r="J44" s="46">
        <f t="shared" ref="J44:J48" si="8">SUM(G44:I44)</f>
        <v>100</v>
      </c>
      <c r="K44" s="45"/>
      <c r="L44" s="45"/>
      <c r="M44" s="45"/>
      <c r="N44" s="45"/>
      <c r="O44" s="45"/>
      <c r="P44" s="46">
        <f t="shared" ref="P44:P48" si="9">SUM(K44:O44)</f>
        <v>0</v>
      </c>
      <c r="Q44" s="45"/>
      <c r="R44" s="45"/>
      <c r="S44" s="45"/>
      <c r="T44" s="45"/>
      <c r="U44" s="45"/>
      <c r="V44" s="45"/>
      <c r="W44" s="46">
        <f t="shared" ref="W44:W48" si="10">SUM(R44:V44)</f>
        <v>0</v>
      </c>
      <c r="X44" s="45"/>
      <c r="Y44" s="45"/>
      <c r="Z44" s="45"/>
      <c r="AA44" s="45"/>
      <c r="AB44" s="45"/>
      <c r="AC44" s="46">
        <f t="shared" ref="AC44:AC48" si="11">SUM(X44:AB44)</f>
        <v>0</v>
      </c>
    </row>
    <row r="45" ht="15.75" customHeight="1">
      <c r="B45" s="47" t="s">
        <v>39</v>
      </c>
      <c r="C45" s="48"/>
      <c r="D45" s="48"/>
      <c r="E45" s="48"/>
      <c r="F45" s="48"/>
      <c r="G45" s="48">
        <v>50.0</v>
      </c>
      <c r="J45" s="49">
        <f t="shared" si="8"/>
        <v>50</v>
      </c>
      <c r="P45" s="49">
        <f t="shared" si="9"/>
        <v>0</v>
      </c>
      <c r="Q45" s="50"/>
      <c r="W45" s="49">
        <f t="shared" si="10"/>
        <v>0</v>
      </c>
      <c r="AC45" s="49">
        <f t="shared" si="11"/>
        <v>0</v>
      </c>
    </row>
    <row r="46" ht="15.75" customHeight="1">
      <c r="B46" s="44" t="s">
        <v>40</v>
      </c>
      <c r="C46" s="45"/>
      <c r="D46" s="45"/>
      <c r="E46" s="45"/>
      <c r="F46" s="45"/>
      <c r="G46" s="45">
        <v>30.0</v>
      </c>
      <c r="H46" s="45"/>
      <c r="I46" s="45"/>
      <c r="J46" s="46">
        <f t="shared" si="8"/>
        <v>30</v>
      </c>
      <c r="K46" s="45"/>
      <c r="L46" s="45"/>
      <c r="M46" s="45"/>
      <c r="N46" s="45"/>
      <c r="O46" s="45"/>
      <c r="P46" s="46">
        <f t="shared" si="9"/>
        <v>0</v>
      </c>
      <c r="Q46" s="45"/>
      <c r="R46" s="45"/>
      <c r="S46" s="45"/>
      <c r="T46" s="45"/>
      <c r="U46" s="45"/>
      <c r="V46" s="45"/>
      <c r="W46" s="46">
        <f t="shared" si="10"/>
        <v>0</v>
      </c>
      <c r="X46" s="45"/>
      <c r="Y46" s="45"/>
      <c r="Z46" s="45"/>
      <c r="AA46" s="45"/>
      <c r="AB46" s="45"/>
      <c r="AC46" s="46">
        <f t="shared" si="11"/>
        <v>0</v>
      </c>
    </row>
    <row r="47" ht="15.75" customHeight="1">
      <c r="B47" s="47" t="s">
        <v>41</v>
      </c>
      <c r="C47" s="51"/>
      <c r="D47" s="51"/>
      <c r="E47" s="51"/>
      <c r="F47" s="51"/>
      <c r="G47" s="51">
        <f>G46/G45</f>
        <v>0.6</v>
      </c>
      <c r="J47" s="52">
        <f t="shared" si="8"/>
        <v>0.6</v>
      </c>
      <c r="P47" s="49">
        <f t="shared" si="9"/>
        <v>0</v>
      </c>
      <c r="Q47" s="50"/>
      <c r="W47" s="49">
        <f t="shared" si="10"/>
        <v>0</v>
      </c>
      <c r="AC47" s="49">
        <f t="shared" si="11"/>
        <v>0</v>
      </c>
    </row>
    <row r="48" ht="15.75" customHeight="1">
      <c r="B48" s="44" t="s">
        <v>42</v>
      </c>
      <c r="C48" s="45"/>
      <c r="D48" s="45"/>
      <c r="E48" s="45"/>
      <c r="F48" s="45"/>
      <c r="G48" s="45">
        <v>10.0</v>
      </c>
      <c r="H48" s="45"/>
      <c r="I48" s="45"/>
      <c r="J48" s="46">
        <f t="shared" si="8"/>
        <v>10</v>
      </c>
      <c r="K48" s="45"/>
      <c r="L48" s="45"/>
      <c r="M48" s="45"/>
      <c r="N48" s="45"/>
      <c r="O48" s="45"/>
      <c r="P48" s="46">
        <f t="shared" si="9"/>
        <v>0</v>
      </c>
      <c r="Q48" s="45"/>
      <c r="R48" s="45"/>
      <c r="S48" s="45"/>
      <c r="T48" s="45"/>
      <c r="U48" s="45"/>
      <c r="V48" s="45"/>
      <c r="W48" s="46">
        <f t="shared" si="10"/>
        <v>0</v>
      </c>
      <c r="X48" s="45"/>
      <c r="Y48" s="45"/>
      <c r="Z48" s="45"/>
      <c r="AA48" s="45"/>
      <c r="AB48" s="45"/>
      <c r="AC48" s="46">
        <f t="shared" si="11"/>
        <v>0</v>
      </c>
    </row>
    <row r="49" ht="15.75" customHeight="1">
      <c r="B49" s="47" t="s">
        <v>16</v>
      </c>
      <c r="C49" s="48"/>
      <c r="D49" s="48"/>
      <c r="E49" s="48"/>
      <c r="F49" s="48"/>
      <c r="G49" s="48">
        <v>8.0</v>
      </c>
      <c r="J49" s="49"/>
      <c r="P49" s="49"/>
      <c r="Q49" s="50"/>
      <c r="W49" s="49"/>
      <c r="AC49" s="49"/>
    </row>
    <row r="50" ht="15.75" customHeight="1">
      <c r="B50" s="47" t="s">
        <v>43</v>
      </c>
      <c r="C50" s="48"/>
      <c r="D50" s="48"/>
      <c r="E50" s="48"/>
      <c r="F50" s="48"/>
      <c r="G50" s="48">
        <v>6.0</v>
      </c>
      <c r="J50" s="49">
        <f t="shared" ref="J50:J52" si="12">SUM(G50:I50)</f>
        <v>6</v>
      </c>
      <c r="P50" s="49">
        <f t="shared" ref="P50:P52" si="13">SUM(K50:O50)</f>
        <v>0</v>
      </c>
      <c r="Q50" s="50"/>
      <c r="W50" s="49">
        <f t="shared" ref="W50:W52" si="14">SUM(R50:V50)</f>
        <v>0</v>
      </c>
      <c r="AC50" s="49">
        <f t="shared" ref="AC50:AC52" si="15">SUM(X50:AB50)</f>
        <v>0</v>
      </c>
    </row>
    <row r="51" ht="15.75" customHeight="1">
      <c r="B51" s="44" t="s">
        <v>44</v>
      </c>
      <c r="C51" s="45"/>
      <c r="D51" s="45"/>
      <c r="E51" s="45"/>
      <c r="F51" s="45"/>
      <c r="G51" s="45"/>
      <c r="H51" s="45"/>
      <c r="I51" s="45"/>
      <c r="J51" s="46">
        <f t="shared" si="12"/>
        <v>0</v>
      </c>
      <c r="K51" s="45"/>
      <c r="L51" s="45"/>
      <c r="M51" s="45"/>
      <c r="N51" s="45"/>
      <c r="O51" s="45"/>
      <c r="P51" s="46">
        <f t="shared" si="13"/>
        <v>0</v>
      </c>
      <c r="Q51" s="45"/>
      <c r="R51" s="45"/>
      <c r="S51" s="45"/>
      <c r="T51" s="45"/>
      <c r="U51" s="45"/>
      <c r="V51" s="45"/>
      <c r="W51" s="46">
        <f t="shared" si="14"/>
        <v>0</v>
      </c>
      <c r="X51" s="45"/>
      <c r="Y51" s="45"/>
      <c r="Z51" s="45"/>
      <c r="AA51" s="45"/>
      <c r="AB51" s="45"/>
      <c r="AC51" s="46">
        <f t="shared" si="15"/>
        <v>0</v>
      </c>
    </row>
    <row r="52" ht="15.75" customHeight="1">
      <c r="B52" s="53"/>
      <c r="C52" s="54"/>
      <c r="D52" s="54"/>
      <c r="E52" s="54"/>
      <c r="F52" s="54"/>
      <c r="G52" s="54"/>
      <c r="H52" s="54"/>
      <c r="I52" s="54"/>
      <c r="J52" s="55">
        <f t="shared" si="12"/>
        <v>0</v>
      </c>
      <c r="K52" s="54"/>
      <c r="L52" s="54"/>
      <c r="M52" s="54"/>
      <c r="N52" s="54"/>
      <c r="O52" s="54"/>
      <c r="P52" s="55">
        <f t="shared" si="13"/>
        <v>0</v>
      </c>
      <c r="Q52" s="56"/>
      <c r="R52" s="54"/>
      <c r="S52" s="54"/>
      <c r="T52" s="54"/>
      <c r="U52" s="54"/>
      <c r="V52" s="54"/>
      <c r="W52" s="55">
        <f t="shared" si="14"/>
        <v>0</v>
      </c>
      <c r="X52" s="54"/>
      <c r="Y52" s="54"/>
      <c r="Z52" s="54"/>
      <c r="AA52" s="54"/>
      <c r="AB52" s="54"/>
      <c r="AC52" s="55">
        <f t="shared" si="15"/>
        <v>0</v>
      </c>
    </row>
    <row r="53" ht="15.75" customHeight="1"/>
    <row r="54" ht="15.75" customHeight="1"/>
    <row r="55" ht="15.75" customHeight="1">
      <c r="B55" s="30" t="s">
        <v>45</v>
      </c>
      <c r="C55" s="57"/>
      <c r="D55" s="57"/>
      <c r="E55" s="57"/>
      <c r="F55" s="57"/>
      <c r="G55" s="31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3"/>
    </row>
    <row r="56" ht="15.75" customHeight="1">
      <c r="B56" s="34"/>
      <c r="C56" s="57"/>
      <c r="D56" s="57"/>
      <c r="E56" s="57"/>
      <c r="F56" s="57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7"/>
    </row>
    <row r="57" ht="15.75" customHeight="1">
      <c r="B57" s="38"/>
      <c r="C57" s="58"/>
      <c r="D57" s="58"/>
      <c r="E57" s="58"/>
      <c r="F57" s="58"/>
      <c r="G57" s="58" t="s">
        <v>28</v>
      </c>
      <c r="J57" s="39"/>
      <c r="K57" s="38" t="s">
        <v>29</v>
      </c>
      <c r="P57" s="39"/>
      <c r="Q57" s="40"/>
      <c r="R57" s="38" t="s">
        <v>30</v>
      </c>
      <c r="W57" s="39"/>
      <c r="X57" s="38" t="s">
        <v>31</v>
      </c>
      <c r="AC57" s="39"/>
      <c r="AD57" s="59" t="s">
        <v>46</v>
      </c>
      <c r="AE57" s="60"/>
      <c r="AF57" s="60"/>
      <c r="AG57" s="60"/>
      <c r="AH57" s="60"/>
      <c r="AI57" s="61"/>
    </row>
    <row r="58" ht="15.75" customHeight="1">
      <c r="B58" s="41"/>
      <c r="C58" s="42"/>
      <c r="D58" s="42"/>
      <c r="E58" s="42"/>
      <c r="F58" s="42"/>
      <c r="G58" s="42" t="s">
        <v>32</v>
      </c>
      <c r="H58" s="42"/>
      <c r="I58" s="42" t="s">
        <v>33</v>
      </c>
      <c r="J58" s="43" t="s">
        <v>34</v>
      </c>
      <c r="K58" s="42" t="s">
        <v>32</v>
      </c>
      <c r="L58" s="42" t="s">
        <v>35</v>
      </c>
      <c r="M58" s="42" t="s">
        <v>36</v>
      </c>
      <c r="N58" s="42" t="s">
        <v>37</v>
      </c>
      <c r="O58" s="42" t="s">
        <v>33</v>
      </c>
      <c r="P58" s="43" t="s">
        <v>34</v>
      </c>
      <c r="Q58" s="42"/>
      <c r="R58" s="42" t="s">
        <v>32</v>
      </c>
      <c r="S58" s="42" t="s">
        <v>35</v>
      </c>
      <c r="T58" s="42" t="s">
        <v>36</v>
      </c>
      <c r="U58" s="42" t="s">
        <v>37</v>
      </c>
      <c r="V58" s="42" t="s">
        <v>33</v>
      </c>
      <c r="W58" s="43" t="s">
        <v>34</v>
      </c>
      <c r="X58" s="42" t="s">
        <v>32</v>
      </c>
      <c r="Y58" s="42" t="s">
        <v>35</v>
      </c>
      <c r="Z58" s="42" t="s">
        <v>36</v>
      </c>
      <c r="AA58" s="42" t="s">
        <v>37</v>
      </c>
      <c r="AB58" s="42" t="s">
        <v>33</v>
      </c>
      <c r="AC58" s="43" t="s">
        <v>34</v>
      </c>
      <c r="AD58" s="62" t="s">
        <v>32</v>
      </c>
      <c r="AE58" s="63" t="s">
        <v>35</v>
      </c>
      <c r="AF58" s="63" t="s">
        <v>36</v>
      </c>
      <c r="AG58" s="63" t="s">
        <v>37</v>
      </c>
      <c r="AH58" s="64" t="s">
        <v>33</v>
      </c>
      <c r="AI58" s="64" t="s">
        <v>34</v>
      </c>
    </row>
    <row r="59" ht="15.75" customHeight="1">
      <c r="B59" s="44" t="s">
        <v>47</v>
      </c>
      <c r="C59" s="45"/>
      <c r="D59" s="45"/>
      <c r="E59" s="45"/>
      <c r="F59" s="45"/>
      <c r="G59" s="45"/>
      <c r="H59" s="45"/>
      <c r="I59" s="45"/>
      <c r="J59" s="46">
        <f t="shared" ref="J59:J66" si="16">SUM(G59:I59)</f>
        <v>0</v>
      </c>
      <c r="K59" s="45"/>
      <c r="L59" s="45"/>
      <c r="M59" s="45"/>
      <c r="N59" s="45"/>
      <c r="O59" s="45"/>
      <c r="P59" s="46">
        <f t="shared" ref="P59:P66" si="17">SUM(K59:O59)</f>
        <v>0</v>
      </c>
      <c r="Q59" s="45"/>
      <c r="R59" s="45"/>
      <c r="S59" s="45"/>
      <c r="T59" s="45"/>
      <c r="U59" s="45"/>
      <c r="V59" s="45"/>
      <c r="W59" s="46">
        <f t="shared" ref="W59:W66" si="18">SUM(R59:V59)</f>
        <v>0</v>
      </c>
      <c r="X59" s="45"/>
      <c r="Y59" s="45"/>
      <c r="Z59" s="45"/>
      <c r="AA59" s="45"/>
      <c r="AB59" s="45"/>
      <c r="AC59" s="46">
        <f t="shared" ref="AC59:AC66" si="19">SUM(X59:AB59)</f>
        <v>0</v>
      </c>
      <c r="AD59" s="65"/>
      <c r="AE59" s="66"/>
      <c r="AF59" s="66"/>
      <c r="AG59" s="66"/>
      <c r="AH59" s="67"/>
      <c r="AI59" s="46">
        <f t="shared" ref="AI59:AI66" si="20">SUM(AD59:AH59)</f>
        <v>0</v>
      </c>
    </row>
    <row r="60" ht="15.75" customHeight="1">
      <c r="B60" s="47" t="s">
        <v>48</v>
      </c>
      <c r="J60" s="49">
        <f t="shared" si="16"/>
        <v>0</v>
      </c>
      <c r="P60" s="49">
        <f t="shared" si="17"/>
        <v>0</v>
      </c>
      <c r="Q60" s="50"/>
      <c r="W60" s="49">
        <f t="shared" si="18"/>
        <v>0</v>
      </c>
      <c r="AC60" s="49">
        <f t="shared" si="19"/>
        <v>0</v>
      </c>
      <c r="AD60" s="68"/>
      <c r="AE60" s="69"/>
      <c r="AF60" s="69"/>
      <c r="AG60" s="69"/>
      <c r="AH60" s="70"/>
      <c r="AI60" s="49">
        <f t="shared" si="20"/>
        <v>0</v>
      </c>
    </row>
    <row r="61" ht="15.75" customHeight="1">
      <c r="B61" s="44" t="s">
        <v>49</v>
      </c>
      <c r="C61" s="45"/>
      <c r="D61" s="45"/>
      <c r="E61" s="45"/>
      <c r="F61" s="45"/>
      <c r="G61" s="45"/>
      <c r="H61" s="45"/>
      <c r="I61" s="45"/>
      <c r="J61" s="46">
        <f t="shared" si="16"/>
        <v>0</v>
      </c>
      <c r="K61" s="45"/>
      <c r="L61" s="45"/>
      <c r="M61" s="45"/>
      <c r="N61" s="45"/>
      <c r="O61" s="45"/>
      <c r="P61" s="46">
        <f t="shared" si="17"/>
        <v>0</v>
      </c>
      <c r="Q61" s="45"/>
      <c r="R61" s="45"/>
      <c r="S61" s="45"/>
      <c r="T61" s="45"/>
      <c r="U61" s="45"/>
      <c r="V61" s="45"/>
      <c r="W61" s="46">
        <f t="shared" si="18"/>
        <v>0</v>
      </c>
      <c r="X61" s="45"/>
      <c r="Y61" s="45"/>
      <c r="Z61" s="45"/>
      <c r="AA61" s="45"/>
      <c r="AB61" s="45"/>
      <c r="AC61" s="46">
        <f t="shared" si="19"/>
        <v>0</v>
      </c>
      <c r="AD61" s="65"/>
      <c r="AE61" s="66"/>
      <c r="AF61" s="66"/>
      <c r="AG61" s="66"/>
      <c r="AH61" s="67"/>
      <c r="AI61" s="46">
        <f t="shared" si="20"/>
        <v>0</v>
      </c>
    </row>
    <row r="62" ht="15.75" customHeight="1">
      <c r="A62" s="71" t="s">
        <v>50</v>
      </c>
      <c r="B62" s="47" t="s">
        <v>51</v>
      </c>
      <c r="J62" s="49">
        <f t="shared" si="16"/>
        <v>0</v>
      </c>
      <c r="P62" s="49">
        <f t="shared" si="17"/>
        <v>0</v>
      </c>
      <c r="Q62" s="50"/>
      <c r="W62" s="49">
        <f t="shared" si="18"/>
        <v>0</v>
      </c>
      <c r="AC62" s="49">
        <f t="shared" si="19"/>
        <v>0</v>
      </c>
      <c r="AD62" s="68"/>
      <c r="AE62" s="69"/>
      <c r="AF62" s="69"/>
      <c r="AG62" s="69"/>
      <c r="AH62" s="70"/>
      <c r="AI62" s="49">
        <f t="shared" si="20"/>
        <v>0</v>
      </c>
    </row>
    <row r="63" ht="15.75" customHeight="1">
      <c r="A63" s="48">
        <f>J63+R63+Y63+AF63+AM63</f>
        <v>8</v>
      </c>
      <c r="B63" s="44" t="s">
        <v>52</v>
      </c>
      <c r="C63" s="45"/>
      <c r="D63" s="45"/>
      <c r="E63" s="45"/>
      <c r="F63" s="45"/>
      <c r="G63" s="45">
        <v>2.0</v>
      </c>
      <c r="H63" s="45"/>
      <c r="I63" s="45"/>
      <c r="J63" s="46">
        <f t="shared" si="16"/>
        <v>2</v>
      </c>
      <c r="K63" s="45"/>
      <c r="L63" s="45"/>
      <c r="M63" s="45"/>
      <c r="N63" s="45"/>
      <c r="O63" s="45"/>
      <c r="P63" s="46">
        <f t="shared" si="17"/>
        <v>0</v>
      </c>
      <c r="Q63" s="45"/>
      <c r="R63" s="45"/>
      <c r="S63" s="45"/>
      <c r="T63" s="45">
        <v>2.0</v>
      </c>
      <c r="U63" s="45">
        <v>4.0</v>
      </c>
      <c r="V63" s="45">
        <v>1.0</v>
      </c>
      <c r="W63" s="46">
        <f t="shared" si="18"/>
        <v>7</v>
      </c>
      <c r="X63" s="45">
        <v>2.0</v>
      </c>
      <c r="Y63" s="45">
        <v>4.0</v>
      </c>
      <c r="Z63" s="45">
        <v>1.0</v>
      </c>
      <c r="AA63" s="45"/>
      <c r="AB63" s="45"/>
      <c r="AC63" s="46">
        <f t="shared" si="19"/>
        <v>7</v>
      </c>
      <c r="AD63" s="65"/>
      <c r="AE63" s="66"/>
      <c r="AF63" s="72">
        <v>2.0</v>
      </c>
      <c r="AG63" s="72">
        <v>4.0</v>
      </c>
      <c r="AH63" s="73">
        <v>1.0</v>
      </c>
      <c r="AI63" s="46">
        <f t="shared" si="20"/>
        <v>7</v>
      </c>
    </row>
    <row r="64" ht="15.75" customHeight="1">
      <c r="B64" s="47" t="s">
        <v>53</v>
      </c>
      <c r="J64" s="49">
        <f t="shared" si="16"/>
        <v>0</v>
      </c>
      <c r="P64" s="49">
        <f t="shared" si="17"/>
        <v>0</v>
      </c>
      <c r="Q64" s="50"/>
      <c r="W64" s="49">
        <f t="shared" si="18"/>
        <v>0</v>
      </c>
      <c r="AC64" s="49">
        <f t="shared" si="19"/>
        <v>0</v>
      </c>
      <c r="AD64" s="68"/>
      <c r="AE64" s="69"/>
      <c r="AF64" s="69"/>
      <c r="AG64" s="69"/>
      <c r="AH64" s="70"/>
      <c r="AI64" s="49">
        <f t="shared" si="20"/>
        <v>0</v>
      </c>
    </row>
    <row r="65" ht="15.75" customHeight="1">
      <c r="B65" s="44" t="s">
        <v>44</v>
      </c>
      <c r="C65" s="45"/>
      <c r="D65" s="45"/>
      <c r="E65" s="45"/>
      <c r="F65" s="45"/>
      <c r="G65" s="45"/>
      <c r="H65" s="45"/>
      <c r="I65" s="45"/>
      <c r="J65" s="46">
        <f t="shared" si="16"/>
        <v>0</v>
      </c>
      <c r="K65" s="45"/>
      <c r="L65" s="45"/>
      <c r="M65" s="45"/>
      <c r="N65" s="45"/>
      <c r="O65" s="45"/>
      <c r="P65" s="46">
        <f t="shared" si="17"/>
        <v>0</v>
      </c>
      <c r="Q65" s="45"/>
      <c r="R65" s="45"/>
      <c r="S65" s="45"/>
      <c r="T65" s="45"/>
      <c r="U65" s="45"/>
      <c r="V65" s="45"/>
      <c r="W65" s="46">
        <f t="shared" si="18"/>
        <v>0</v>
      </c>
      <c r="X65" s="45"/>
      <c r="Y65" s="45"/>
      <c r="Z65" s="45"/>
      <c r="AA65" s="45"/>
      <c r="AB65" s="45"/>
      <c r="AC65" s="46">
        <f t="shared" si="19"/>
        <v>0</v>
      </c>
      <c r="AD65" s="65"/>
      <c r="AE65" s="66"/>
      <c r="AF65" s="66"/>
      <c r="AG65" s="66"/>
      <c r="AH65" s="67"/>
      <c r="AI65" s="46">
        <f t="shared" si="20"/>
        <v>0</v>
      </c>
    </row>
    <row r="66" ht="15.75" customHeight="1">
      <c r="B66" s="53"/>
      <c r="C66" s="54"/>
      <c r="D66" s="54"/>
      <c r="E66" s="54"/>
      <c r="F66" s="54"/>
      <c r="G66" s="54"/>
      <c r="H66" s="54"/>
      <c r="I66" s="54"/>
      <c r="J66" s="55">
        <f t="shared" si="16"/>
        <v>0</v>
      </c>
      <c r="K66" s="54"/>
      <c r="L66" s="54"/>
      <c r="M66" s="54"/>
      <c r="N66" s="54"/>
      <c r="O66" s="54"/>
      <c r="P66" s="55">
        <f t="shared" si="17"/>
        <v>0</v>
      </c>
      <c r="Q66" s="56"/>
      <c r="R66" s="54"/>
      <c r="S66" s="54"/>
      <c r="T66" s="54"/>
      <c r="U66" s="54"/>
      <c r="V66" s="54"/>
      <c r="W66" s="55">
        <f t="shared" si="18"/>
        <v>0</v>
      </c>
      <c r="X66" s="54"/>
      <c r="Y66" s="54"/>
      <c r="Z66" s="54"/>
      <c r="AA66" s="54"/>
      <c r="AB66" s="54"/>
      <c r="AC66" s="55">
        <f t="shared" si="19"/>
        <v>0</v>
      </c>
      <c r="AD66" s="74"/>
      <c r="AE66" s="75"/>
      <c r="AF66" s="75"/>
      <c r="AG66" s="75"/>
      <c r="AH66" s="76"/>
      <c r="AI66" s="55">
        <f t="shared" si="20"/>
        <v>0</v>
      </c>
    </row>
    <row r="67" ht="15.75" customHeight="1">
      <c r="C67" s="48"/>
      <c r="D67" s="48"/>
      <c r="E67" s="48"/>
      <c r="F67" s="48"/>
      <c r="G67" s="48"/>
      <c r="T67" s="48"/>
      <c r="U67" s="48"/>
      <c r="AA67" s="48"/>
      <c r="AB67" s="48"/>
      <c r="AH67" s="48"/>
      <c r="AI67" s="48"/>
    </row>
    <row r="68" ht="15.75" customHeight="1">
      <c r="C68" s="77"/>
      <c r="D68" s="77"/>
      <c r="E68" s="77"/>
      <c r="F68" s="77"/>
      <c r="G68" s="77"/>
      <c r="H68" s="77"/>
      <c r="I68" s="77"/>
      <c r="K68" s="77"/>
      <c r="L68" s="77"/>
      <c r="M68" s="77"/>
      <c r="N68" s="77"/>
      <c r="O68" s="77"/>
      <c r="T68" s="77"/>
      <c r="U68" s="77"/>
      <c r="V68" s="77"/>
      <c r="W68" s="77"/>
      <c r="X68" s="77"/>
      <c r="AA68" s="77"/>
      <c r="AB68" s="77"/>
      <c r="AC68" s="77"/>
      <c r="AD68" s="77"/>
      <c r="AE68" s="77"/>
      <c r="AH68" s="77"/>
      <c r="AI68" s="77"/>
      <c r="AJ68" s="77"/>
      <c r="AK68" s="77"/>
      <c r="AL68" s="77"/>
    </row>
    <row r="69" ht="15.75" customHeight="1">
      <c r="C69" s="77"/>
      <c r="D69" s="77"/>
      <c r="E69" s="77"/>
      <c r="F69" s="77"/>
      <c r="G69" s="77"/>
      <c r="H69" s="77"/>
      <c r="I69" s="77"/>
      <c r="K69" s="77"/>
      <c r="L69" s="77"/>
      <c r="M69" s="77"/>
      <c r="N69" s="77"/>
      <c r="O69" s="77"/>
      <c r="T69" s="77"/>
      <c r="U69" s="77"/>
      <c r="V69" s="77"/>
      <c r="W69" s="77"/>
      <c r="X69" s="77"/>
      <c r="AA69" s="77"/>
      <c r="AB69" s="77"/>
      <c r="AC69" s="77"/>
      <c r="AD69" s="77"/>
      <c r="AE69" s="77"/>
      <c r="AH69" s="77"/>
      <c r="AI69" s="77"/>
      <c r="AJ69" s="77"/>
      <c r="AK69" s="77"/>
      <c r="AL69" s="77"/>
    </row>
    <row r="70" ht="15.75" customHeight="1">
      <c r="B70" s="78"/>
      <c r="C70" s="31"/>
      <c r="D70" s="31"/>
      <c r="E70" s="31"/>
      <c r="F70" s="31"/>
      <c r="G70" s="31" t="s">
        <v>54</v>
      </c>
      <c r="H70" s="31"/>
      <c r="I70" s="31" t="s">
        <v>55</v>
      </c>
      <c r="J70" s="79" t="s">
        <v>34</v>
      </c>
      <c r="K70" s="31" t="s">
        <v>54</v>
      </c>
      <c r="L70" s="31" t="s">
        <v>56</v>
      </c>
      <c r="M70" s="31" t="s">
        <v>57</v>
      </c>
      <c r="N70" s="31" t="s">
        <v>58</v>
      </c>
      <c r="O70" s="31" t="s">
        <v>55</v>
      </c>
      <c r="P70" s="79" t="s">
        <v>34</v>
      </c>
      <c r="Q70" s="31"/>
      <c r="R70" s="31" t="s">
        <v>54</v>
      </c>
      <c r="S70" s="31" t="s">
        <v>56</v>
      </c>
      <c r="T70" s="31" t="s">
        <v>57</v>
      </c>
      <c r="U70" s="31" t="s">
        <v>58</v>
      </c>
      <c r="V70" s="31" t="s">
        <v>55</v>
      </c>
      <c r="W70" s="79" t="s">
        <v>34</v>
      </c>
      <c r="X70" s="31" t="s">
        <v>54</v>
      </c>
      <c r="Y70" s="31" t="s">
        <v>56</v>
      </c>
      <c r="Z70" s="31" t="s">
        <v>57</v>
      </c>
      <c r="AA70" s="31" t="s">
        <v>58</v>
      </c>
      <c r="AB70" s="31" t="s">
        <v>55</v>
      </c>
      <c r="AC70" s="79" t="s">
        <v>34</v>
      </c>
      <c r="AD70" s="31" t="s">
        <v>54</v>
      </c>
      <c r="AE70" s="31" t="s">
        <v>56</v>
      </c>
      <c r="AF70" s="31" t="s">
        <v>57</v>
      </c>
      <c r="AG70" s="31" t="s">
        <v>58</v>
      </c>
      <c r="AH70" s="31" t="s">
        <v>55</v>
      </c>
      <c r="AI70" s="79" t="s">
        <v>34</v>
      </c>
      <c r="AJ70" s="77"/>
      <c r="AK70" s="77"/>
      <c r="AL70" s="77"/>
    </row>
    <row r="71" ht="15.75" customHeight="1">
      <c r="B71" s="44" t="s">
        <v>59</v>
      </c>
      <c r="C71" s="45"/>
      <c r="D71" s="45"/>
      <c r="E71" s="45"/>
      <c r="F71" s="45"/>
      <c r="G71" s="45"/>
      <c r="H71" s="45"/>
      <c r="I71" s="45"/>
      <c r="J71" s="46"/>
      <c r="K71" s="45"/>
      <c r="L71" s="45"/>
      <c r="M71" s="45"/>
      <c r="N71" s="45"/>
      <c r="O71" s="45"/>
      <c r="P71" s="46"/>
      <c r="Q71" s="45"/>
      <c r="R71" s="45"/>
      <c r="S71" s="45"/>
      <c r="T71" s="45"/>
      <c r="U71" s="45"/>
      <c r="V71" s="45"/>
      <c r="W71" s="46"/>
      <c r="X71" s="45"/>
      <c r="Y71" s="45"/>
      <c r="Z71" s="45"/>
      <c r="AA71" s="45"/>
      <c r="AB71" s="45"/>
      <c r="AC71" s="46"/>
      <c r="AD71" s="45"/>
      <c r="AE71" s="45"/>
      <c r="AF71" s="45"/>
      <c r="AG71" s="45"/>
      <c r="AH71" s="45"/>
      <c r="AI71" s="46"/>
    </row>
    <row r="72" ht="15.75" customHeight="1">
      <c r="B72" s="53" t="s">
        <v>41</v>
      </c>
      <c r="C72" s="54"/>
      <c r="D72" s="54"/>
      <c r="E72" s="54"/>
      <c r="F72" s="54"/>
      <c r="G72" s="54"/>
      <c r="H72" s="54"/>
      <c r="I72" s="54"/>
      <c r="J72" s="55"/>
      <c r="K72" s="54"/>
      <c r="L72" s="54"/>
      <c r="M72" s="54"/>
      <c r="N72" s="54"/>
      <c r="O72" s="54"/>
      <c r="P72" s="55"/>
      <c r="Q72" s="56"/>
      <c r="R72" s="54"/>
      <c r="S72" s="54"/>
      <c r="T72" s="54"/>
      <c r="U72" s="54"/>
      <c r="V72" s="54"/>
      <c r="W72" s="55"/>
      <c r="X72" s="54"/>
      <c r="Y72" s="54"/>
      <c r="Z72" s="54"/>
      <c r="AA72" s="54"/>
      <c r="AB72" s="54"/>
      <c r="AC72" s="55"/>
      <c r="AD72" s="54"/>
      <c r="AE72" s="54"/>
      <c r="AF72" s="54"/>
      <c r="AG72" s="54"/>
      <c r="AH72" s="54"/>
      <c r="AI72" s="5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B2"/>
    <mergeCell ref="D3:F3"/>
    <mergeCell ref="G3:I3"/>
    <mergeCell ref="J3:R3"/>
    <mergeCell ref="S3:U3"/>
    <mergeCell ref="B40:B41"/>
    <mergeCell ref="N40:AC41"/>
    <mergeCell ref="K57:P57"/>
    <mergeCell ref="R57:W57"/>
    <mergeCell ref="X57:AC57"/>
    <mergeCell ref="AD57:AI57"/>
    <mergeCell ref="G42:J42"/>
    <mergeCell ref="K42:P42"/>
    <mergeCell ref="R42:W42"/>
    <mergeCell ref="X42:AC42"/>
    <mergeCell ref="B55:B56"/>
    <mergeCell ref="G55:AI56"/>
    <mergeCell ref="G57:J57"/>
  </mergeCells>
  <drawing r:id="rId2"/>
  <legacyDrawing r:id="rId3"/>
  <tableParts count="1">
    <tablePart r:id="rId5"/>
  </tableParts>
</worksheet>
</file>