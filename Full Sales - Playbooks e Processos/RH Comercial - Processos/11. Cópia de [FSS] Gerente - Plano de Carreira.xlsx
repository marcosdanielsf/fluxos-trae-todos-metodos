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<sst xmlns="http://schemas.openxmlformats.org/spreadsheetml/2006/main" count="30" uniqueCount="28">
  <si>
    <t>GERENTE DE VENDAS E COORDENADOR DE VENDAS FSS</t>
  </si>
  <si>
    <t>Gerente Base</t>
  </si>
  <si>
    <t xml:space="preserve">Gerente Intermediário </t>
  </si>
  <si>
    <t>Gerente Avançado</t>
  </si>
  <si>
    <t>Gerente Especialista</t>
  </si>
  <si>
    <t>Fixo base</t>
  </si>
  <si>
    <t>Bônus por integrante da sua equipe batendo meta</t>
  </si>
  <si>
    <t>Bonus Extra por meta batida (75% da equipe a cima do KPI)
- mínimo 3 de 4 integrantes</t>
  </si>
  <si>
    <t xml:space="preserve">Mínimo Garantido FSS </t>
  </si>
  <si>
    <t xml:space="preserve">Venda sob a Equipe comercial </t>
  </si>
  <si>
    <t xml:space="preserve">Ganhos mensais </t>
  </si>
  <si>
    <t xml:space="preserve">Métricas de Passagem de Fase </t>
  </si>
  <si>
    <t xml:space="preserve">Resultados </t>
  </si>
  <si>
    <t>Período  Mínimo</t>
  </si>
  <si>
    <t xml:space="preserve">Habilidades e necessidades comportamentais </t>
  </si>
  <si>
    <t xml:space="preserve">Gerente
Intermediário </t>
  </si>
  <si>
    <t xml:space="preserve">Meta 1 por 3 meses </t>
  </si>
  <si>
    <t>5 meses</t>
  </si>
  <si>
    <t xml:space="preserve">
Ter asciduidade 
Pontualidade 
Cumprir CRM 
Cumprir agenda de atendimentos
Gerar vendas através de indicações e embaixadores  
</t>
  </si>
  <si>
    <t>GERENTE DE VENDAS e COORDENADOR: Equipe com meta 1 batida por 3 meses</t>
  </si>
  <si>
    <t>Gerente
Avançado</t>
  </si>
  <si>
    <t xml:space="preserve">Meta 2 por 3 meses consecutivos </t>
  </si>
  <si>
    <t xml:space="preserve">
Ter asciduidade 
Pontualidade 
Cumprir CRM 
Cumprir agenda de atendimentos
Gerar vendas através de indicações e embaixadores  </t>
  </si>
  <si>
    <t>GERENTE DE VENDAS: Equipe com meta 2 batida por 3 meses</t>
  </si>
  <si>
    <t>Gerente
Especialista</t>
  </si>
  <si>
    <t xml:space="preserve">Meta 3 por 3 meses consecutivos </t>
  </si>
  <si>
    <t>6 meses</t>
  </si>
  <si>
    <t>GERENTE DE VENDAS: Equipe com meta 3 batida por 3 meses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</si>
</sst>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[$R$ -416]#,##0.00"/>
  </numFmts>
  <fonts count="6">
    <font>
      <sz val="10.0"/>
      <color rgb="FF000000"/>
      <name val="Arial"/>
      <scheme val="minor"/>
    </font>
    <font>
      <color theme="1"/>
      <name val="Montserrat"/>
    </font>
    <font>
      <b/>
      <color theme="1"/>
      <name val="Montserrat"/>
    </font>
    <font>
      <b/>
      <color rgb="FFFFFFFF"/>
      <name val="Montserrat"/>
    </font>
    <font/>
    <font>
      <color rgb="FF00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1" numFmtId="0" xfId="0" applyBorder="1" applyFont="1"/>
    <xf borderId="1" fillId="2" fontId="3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10" xfId="0" applyAlignment="1" applyBorder="1" applyFont="1" applyNumberFormat="1">
      <alignment readingOrder="0"/>
    </xf>
    <xf borderId="1" fillId="0" fontId="1" numFmtId="165" xfId="0" applyBorder="1" applyFont="1" applyNumberFormat="1"/>
    <xf borderId="2" fillId="0" fontId="1" numFmtId="0" xfId="0" applyAlignment="1" applyBorder="1" applyFont="1">
      <alignment readingOrder="0"/>
    </xf>
    <xf borderId="3" fillId="0" fontId="4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vertical="top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4" fillId="3" fontId="5" numFmtId="0" xfId="0" applyAlignment="1" applyBorder="1" applyFill="1" applyFont="1">
      <alignment horizontal="left" readingOrder="0"/>
    </xf>
    <xf borderId="5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63"/>
    <col customWidth="1" min="3" max="3" width="16.88"/>
    <col customWidth="1" min="4" max="4" width="22.88"/>
    <col customWidth="1" min="5" max="6" width="20.88"/>
  </cols>
  <sheetData>
    <row r="2">
      <c r="A2" s="1"/>
      <c r="B2" s="2" t="s">
        <v>0</v>
      </c>
      <c r="C2" s="1"/>
      <c r="D2" s="1"/>
      <c r="E2" s="1"/>
      <c r="F2" s="1"/>
      <c r="G2" s="1"/>
      <c r="H2" s="1"/>
      <c r="I2" s="1"/>
    </row>
    <row r="3">
      <c r="A3" s="1"/>
      <c r="B3" s="3"/>
      <c r="C3" s="4" t="s">
        <v>1</v>
      </c>
      <c r="D3" s="4" t="s">
        <v>2</v>
      </c>
      <c r="E3" s="4" t="s">
        <v>3</v>
      </c>
      <c r="F3" s="4" t="s">
        <v>4</v>
      </c>
      <c r="G3" s="1"/>
      <c r="H3" s="1"/>
      <c r="I3" s="1"/>
    </row>
    <row r="4">
      <c r="A4" s="1"/>
      <c r="B4" s="5" t="s">
        <v>5</v>
      </c>
      <c r="C4" s="5">
        <v>1000.0</v>
      </c>
      <c r="D4" s="3">
        <f t="shared" ref="D4:F4" si="1">C4+500</f>
        <v>1500</v>
      </c>
      <c r="E4" s="3">
        <f t="shared" si="1"/>
        <v>2000</v>
      </c>
      <c r="F4" s="3">
        <f t="shared" si="1"/>
        <v>2500</v>
      </c>
      <c r="G4" s="1"/>
      <c r="H4" s="1"/>
      <c r="I4" s="1"/>
    </row>
    <row r="5">
      <c r="A5" s="1"/>
      <c r="B5" s="5" t="s">
        <v>6</v>
      </c>
      <c r="C5" s="5">
        <v>250.0</v>
      </c>
      <c r="D5" s="5">
        <v>300.0</v>
      </c>
      <c r="E5" s="5">
        <v>300.0</v>
      </c>
      <c r="F5" s="5">
        <v>350.0</v>
      </c>
      <c r="G5" s="1"/>
      <c r="H5" s="1"/>
      <c r="I5" s="1"/>
    </row>
    <row r="6">
      <c r="A6" s="1"/>
      <c r="B6" s="5" t="s">
        <v>7</v>
      </c>
      <c r="C6" s="5">
        <v>1000.0</v>
      </c>
      <c r="D6" s="5">
        <f t="shared" ref="D6:F6" si="2">C6+500</f>
        <v>1500</v>
      </c>
      <c r="E6" s="5">
        <f t="shared" si="2"/>
        <v>2000</v>
      </c>
      <c r="F6" s="5">
        <f t="shared" si="2"/>
        <v>2500</v>
      </c>
      <c r="G6" s="1"/>
      <c r="H6" s="1"/>
      <c r="I6" s="1"/>
    </row>
    <row r="7">
      <c r="A7" s="1"/>
      <c r="B7" s="5" t="s">
        <v>8</v>
      </c>
      <c r="C7" s="5">
        <f t="shared" ref="C7:E7" si="3">C4+1000</f>
        <v>2000</v>
      </c>
      <c r="D7" s="5">
        <f t="shared" si="3"/>
        <v>2500</v>
      </c>
      <c r="E7" s="5">
        <f t="shared" si="3"/>
        <v>3000</v>
      </c>
      <c r="F7" s="5">
        <f>F4+1500</f>
        <v>4000</v>
      </c>
      <c r="G7" s="1"/>
      <c r="H7" s="6"/>
      <c r="I7" s="1"/>
    </row>
    <row r="8">
      <c r="A8" s="1"/>
      <c r="B8" s="5" t="s">
        <v>9</v>
      </c>
      <c r="C8" s="7">
        <v>0.005</v>
      </c>
      <c r="D8" s="8">
        <v>0.006</v>
      </c>
      <c r="E8" s="8">
        <v>0.007</v>
      </c>
      <c r="F8" s="8">
        <v>0.0075</v>
      </c>
      <c r="G8" s="6"/>
      <c r="H8" s="6"/>
      <c r="I8" s="1"/>
    </row>
    <row r="9">
      <c r="A9" s="1"/>
      <c r="B9" s="5" t="s">
        <v>10</v>
      </c>
      <c r="C9" s="9">
        <f>C4+C5+C8*500000</f>
        <v>3750</v>
      </c>
      <c r="D9" s="9">
        <f>D4+D6+D5+D8*800000</f>
        <v>8100</v>
      </c>
      <c r="E9" s="9">
        <f>E4+E6+E5*2+E8*1200000</f>
        <v>13000</v>
      </c>
      <c r="F9" s="9">
        <f>F4+F6+F5*3+F8*1500000</f>
        <v>17300</v>
      </c>
      <c r="G9" s="1"/>
      <c r="H9" s="1"/>
      <c r="I9" s="1"/>
    </row>
    <row r="10">
      <c r="A10" s="1"/>
      <c r="B10" s="6"/>
      <c r="C10" s="1"/>
      <c r="D10" s="1"/>
      <c r="E10" s="1"/>
      <c r="F10" s="1"/>
      <c r="G10" s="1"/>
      <c r="H10" s="1"/>
      <c r="I10" s="1"/>
    </row>
    <row r="11">
      <c r="A11" s="1"/>
      <c r="B11" s="6"/>
      <c r="E11" s="1"/>
      <c r="F11" s="1"/>
      <c r="G11" s="1"/>
      <c r="H11" s="1"/>
      <c r="I11" s="1"/>
    </row>
    <row r="12">
      <c r="A12" s="1"/>
      <c r="B12" s="1"/>
      <c r="C12" s="1"/>
      <c r="D12" s="1"/>
      <c r="E12" s="1"/>
      <c r="F12" s="1"/>
      <c r="G12" s="1"/>
      <c r="H12" s="1"/>
      <c r="I12" s="1"/>
    </row>
    <row r="13">
      <c r="A13" s="1"/>
      <c r="B13" s="2" t="s">
        <v>11</v>
      </c>
      <c r="C13" s="1"/>
      <c r="D13" s="1"/>
      <c r="E13" s="1"/>
      <c r="F13" s="1"/>
      <c r="G13" s="1"/>
      <c r="H13" s="1"/>
      <c r="I13" s="1"/>
    </row>
    <row r="14">
      <c r="A14" s="1"/>
      <c r="B14" s="3"/>
      <c r="C14" s="5" t="s">
        <v>12</v>
      </c>
      <c r="D14" s="5" t="s">
        <v>13</v>
      </c>
      <c r="E14" s="10" t="s">
        <v>14</v>
      </c>
      <c r="F14" s="11"/>
      <c r="G14" s="1"/>
      <c r="H14" s="1"/>
      <c r="I14" s="1"/>
    </row>
    <row r="15">
      <c r="A15" s="1"/>
      <c r="B15" s="12" t="s">
        <v>15</v>
      </c>
      <c r="C15" s="5" t="s">
        <v>16</v>
      </c>
      <c r="D15" s="5" t="s">
        <v>17</v>
      </c>
      <c r="E15" s="13" t="s">
        <v>18</v>
      </c>
      <c r="F15" s="14"/>
      <c r="G15" s="1"/>
      <c r="H15" s="1"/>
      <c r="I15" s="1"/>
    </row>
    <row r="16" ht="45.75" customHeight="1">
      <c r="A16" s="1"/>
      <c r="B16" s="15"/>
      <c r="C16" s="10" t="s">
        <v>19</v>
      </c>
      <c r="D16" s="11"/>
      <c r="E16" s="16"/>
      <c r="F16" s="17"/>
      <c r="G16" s="1"/>
      <c r="H16" s="1"/>
      <c r="I16" s="1"/>
    </row>
    <row r="17">
      <c r="A17" s="1"/>
      <c r="B17" s="18" t="s">
        <v>20</v>
      </c>
      <c r="C17" s="5" t="s">
        <v>21</v>
      </c>
      <c r="D17" s="5" t="s">
        <v>17</v>
      </c>
      <c r="E17" s="19" t="s">
        <v>22</v>
      </c>
      <c r="F17" s="14"/>
      <c r="G17" s="1"/>
      <c r="H17" s="1"/>
      <c r="I17" s="1"/>
    </row>
    <row r="18" ht="29.25" customHeight="1">
      <c r="A18" s="1"/>
      <c r="B18" s="15"/>
      <c r="C18" s="5" t="s">
        <v>23</v>
      </c>
      <c r="D18" s="3"/>
      <c r="E18" s="16"/>
      <c r="F18" s="17"/>
      <c r="G18" s="1"/>
      <c r="H18" s="1"/>
      <c r="I18" s="1"/>
    </row>
    <row r="19">
      <c r="A19" s="1"/>
      <c r="B19" s="12" t="s">
        <v>24</v>
      </c>
      <c r="C19" s="5" t="s">
        <v>25</v>
      </c>
      <c r="D19" s="5" t="s">
        <v>26</v>
      </c>
      <c r="E19" s="13" t="s">
        <v>18</v>
      </c>
      <c r="F19" s="14"/>
      <c r="G19" s="1"/>
      <c r="H19" s="1"/>
      <c r="I19" s="1"/>
    </row>
    <row r="20" ht="52.5" customHeight="1">
      <c r="A20" s="1"/>
      <c r="B20" s="15"/>
      <c r="C20" s="5" t="s">
        <v>27</v>
      </c>
      <c r="D20" s="3"/>
      <c r="E20" s="16"/>
      <c r="F20" s="17"/>
      <c r="G20" s="1"/>
      <c r="H20" s="1"/>
      <c r="I20" s="1"/>
    </row>
  </sheetData>
  <mergeCells count="9">
    <mergeCell ref="E17:F18"/>
    <mergeCell ref="E19:F20"/>
    <mergeCell ref="B11:D11"/>
    <mergeCell ref="E14:F14"/>
    <mergeCell ref="B15:B16"/>
    <mergeCell ref="E15:F16"/>
    <mergeCell ref="C16:D16"/>
    <mergeCell ref="B17:B18"/>
    <mergeCell ref="B19:B20"/>
  </mergeCells>
  <drawing r:id="rId1"/>
</worksheet>
</file>