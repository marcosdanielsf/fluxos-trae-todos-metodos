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<sst xmlns="http://schemas.openxmlformats.org/spreadsheetml/2006/main" count="67" uniqueCount="64">
  <si>
    <t xml:space="preserve">Base de Comissões  - Fechamento High Ticket B2B </t>
  </si>
  <si>
    <t xml:space="preserve">Closer Base </t>
  </si>
  <si>
    <t xml:space="preserve">Closer  Intermediário </t>
  </si>
  <si>
    <t>Closer Avançado</t>
  </si>
  <si>
    <t>Closer Especialista</t>
  </si>
  <si>
    <t>Closer Especialista 2</t>
  </si>
  <si>
    <t>Comissão</t>
  </si>
  <si>
    <t>Fixo base</t>
  </si>
  <si>
    <t>Fixo meta 1</t>
  </si>
  <si>
    <t>Fixo meta 2</t>
  </si>
  <si>
    <t>Fixo meta 3</t>
  </si>
  <si>
    <t>Venda por indicação</t>
  </si>
  <si>
    <t>Venda direta</t>
  </si>
  <si>
    <t>Estimativa de ganhos meta 1</t>
  </si>
  <si>
    <t>3 atendimentos* - 20% de conv.</t>
  </si>
  <si>
    <t>Adicional Indicação</t>
  </si>
  <si>
    <t xml:space="preserve">Etapa 1 </t>
  </si>
  <si>
    <t xml:space="preserve">Etapa 2 </t>
  </si>
  <si>
    <t>% e coleta de indicacaoes / call</t>
  </si>
  <si>
    <t>Coletar indicacao</t>
  </si>
  <si>
    <t>Agendar indicacao</t>
  </si>
  <si>
    <t>Indicacoes coletadas por call</t>
  </si>
  <si>
    <t>(pegue de 5 a 10 )</t>
  </si>
  <si>
    <t xml:space="preserve">Taxa de Agendamento </t>
  </si>
  <si>
    <t>Conversão de indicacoes</t>
  </si>
  <si>
    <t>Valor total mes indicação</t>
  </si>
  <si>
    <t>Total</t>
  </si>
  <si>
    <t xml:space="preserve">Métricas de Passagem de Fase </t>
  </si>
  <si>
    <t xml:space="preserve">Resultados </t>
  </si>
  <si>
    <t>Período  Mínimo</t>
  </si>
  <si>
    <t xml:space="preserve">Habilidades e necessidades comportamentais </t>
  </si>
  <si>
    <t xml:space="preserve">Closer 
Intermediário </t>
  </si>
  <si>
    <t xml:space="preserve">Meta 2 por 3 meses consecutivos </t>
  </si>
  <si>
    <t>6 meses</t>
  </si>
  <si>
    <t xml:space="preserve">Ter asciduidade 
Pontualidade 
Cumprir CRM 
Cumprir agenda de atendimentos
Gravar as suas ligações
Gerar vendas através de indicações e embaixadores  
</t>
  </si>
  <si>
    <t>realizar 15% das vendas por indicação</t>
  </si>
  <si>
    <t>Closer 
Avançado</t>
  </si>
  <si>
    <t>Ministrar treinamentos outros closers internos
Fazer fechamento de novatos</t>
  </si>
  <si>
    <t>realizar 20% das vendas por indicação</t>
  </si>
  <si>
    <t>Closer 
Especialista</t>
  </si>
  <si>
    <t xml:space="preserve">Meta 3 por 3 meses consecutivos </t>
  </si>
  <si>
    <t>Ministrar treinamentos outros closers internos
Ministrar treinamentos externos
Supervisão de Closers
Fazer fechamento de Novatos</t>
  </si>
  <si>
    <t>realizar 25% das vendas por indicação</t>
  </si>
  <si>
    <t xml:space="preserve">Closer 
Especialista2 </t>
  </si>
  <si>
    <t>Meta 4 por 3 meses consecutivos</t>
  </si>
  <si>
    <t>Atendimentos Qualificados</t>
  </si>
  <si>
    <t>Vendas</t>
  </si>
  <si>
    <t xml:space="preserve">Eficiência </t>
  </si>
  <si>
    <t xml:space="preserve">Valor total vendido </t>
  </si>
  <si>
    <t>Faturamento por lead atendido</t>
  </si>
  <si>
    <t>Eficiência</t>
  </si>
  <si>
    <t>Valor Med.</t>
  </si>
  <si>
    <t>Fixo</t>
  </si>
  <si>
    <t>Não bateu meta</t>
  </si>
  <si>
    <t>R$ 1.800,00</t>
  </si>
  <si>
    <t>Meta 1</t>
  </si>
  <si>
    <t>R$ 4.500,00</t>
  </si>
  <si>
    <t>R$ 2.200,00</t>
  </si>
  <si>
    <t>Meta 2</t>
  </si>
  <si>
    <t>R$ 6.600,00</t>
  </si>
  <si>
    <t>R$ 2.500,00</t>
  </si>
  <si>
    <t>Meta 3</t>
  </si>
  <si>
    <t>R$ 8.400,00</t>
  </si>
  <si>
    <t>R$ 2.700,00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</si>
</sst>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[$R$ -416]#,##0.00"/>
  </numFmts>
  <fonts count="8">
    <font>
      <sz val="10.0"/>
      <color rgb="FF000000"/>
      <name val="Arial"/>
      <scheme val="minor"/>
    </font>
    <font>
      <color theme="1"/>
      <name val="Montserrat"/>
    </font>
    <font>
      <b/>
      <color theme="1"/>
      <name val="Montserrat"/>
    </font>
    <font>
      <b/>
      <color rgb="FFFFFFFF"/>
      <name val="Montserrat"/>
    </font>
    <font/>
    <font>
      <color rgb="FF000000"/>
      <name val="Montserrat"/>
    </font>
    <font>
      <color theme="1"/>
      <name val="Arial"/>
      <scheme val="minor"/>
    </font>
    <font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Border="1" applyFont="1"/>
    <xf borderId="1" fillId="2" fontId="3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9" xfId="0" applyAlignment="1" applyBorder="1" applyFont="1" applyNumberFormat="1">
      <alignment readingOrder="0"/>
    </xf>
    <xf borderId="1" fillId="0" fontId="1" numFmtId="10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9" xfId="0" applyAlignment="1" applyFont="1" applyNumberFormat="1">
      <alignment readingOrder="0"/>
    </xf>
    <xf borderId="1" fillId="0" fontId="1" numFmtId="165" xfId="0" applyBorder="1" applyFont="1" applyNumberFormat="1"/>
    <xf borderId="1" fillId="3" fontId="3" numFmtId="0" xfId="0" applyAlignment="1" applyBorder="1" applyFill="1" applyFont="1">
      <alignment readingOrder="0"/>
    </xf>
    <xf borderId="1" fillId="3" fontId="3" numFmtId="165" xfId="0" applyBorder="1" applyFont="1" applyNumberFormat="1"/>
    <xf borderId="2" fillId="0" fontId="1" numFmtId="0" xfId="0" applyAlignment="1" applyBorder="1" applyFont="1">
      <alignment readingOrder="0"/>
    </xf>
    <xf borderId="3" fillId="0" fontId="4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vertical="top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4" fontId="5" numFmtId="0" xfId="0" applyAlignment="1" applyBorder="1" applyFill="1" applyFont="1">
      <alignment horizontal="left" readingOrder="0"/>
    </xf>
    <xf borderId="5" fillId="0" fontId="1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10" xfId="0" applyBorder="1" applyFont="1" applyNumberFormat="1"/>
    <xf borderId="1" fillId="0" fontId="6" numFmtId="165" xfId="0" applyAlignment="1" applyBorder="1" applyFont="1" applyNumberFormat="1">
      <alignment readingOrder="0"/>
    </xf>
    <xf borderId="1" fillId="0" fontId="6" numFmtId="165" xfId="0" applyBorder="1" applyFont="1" applyNumberFormat="1"/>
    <xf borderId="1" fillId="0" fontId="7" numFmtId="0" xfId="0" applyAlignment="1" applyBorder="1" applyFont="1">
      <alignment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7" fillId="4" fontId="7" numFmtId="0" xfId="0" applyAlignment="1" applyBorder="1" applyFont="1">
      <alignment readingOrder="0" shrinkToFit="0" vertical="bottom" wrapText="0"/>
    </xf>
    <xf borderId="9" fillId="4" fontId="7" numFmtId="0" xfId="0" applyAlignment="1" applyBorder="1" applyFont="1">
      <alignment shrinkToFit="0" vertical="bottom" wrapText="0"/>
    </xf>
    <xf borderId="9" fillId="4" fontId="7" numFmtId="0" xfId="0" applyAlignment="1" applyBorder="1" applyFont="1">
      <alignment readingOrder="0" shrinkToFit="0" vertical="bottom" wrapText="0"/>
    </xf>
    <xf borderId="9" fillId="4" fontId="7" numFmtId="10" xfId="0" applyAlignment="1" applyBorder="1" applyFont="1" applyNumberFormat="1">
      <alignment horizontal="right"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9" fillId="0" fontId="7" numFmtId="9" xfId="0" applyAlignment="1" applyBorder="1" applyFont="1" applyNumberFormat="1">
      <alignment horizontal="right" readingOrder="0" shrinkToFit="0" vertical="bottom" wrapText="0"/>
    </xf>
    <xf borderId="9" fillId="0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9.75"/>
    <col customWidth="1" min="4" max="4" width="32.38"/>
    <col customWidth="1" min="5" max="5" width="22.88"/>
    <col customWidth="1" min="6" max="6" width="20.25"/>
    <col customWidth="1" min="7" max="7" width="19.5"/>
    <col customWidth="1" min="8" max="8" width="19.13"/>
  </cols>
  <sheetData>
    <row r="2">
      <c r="B2" s="1"/>
      <c r="C2" s="2" t="s">
        <v>0</v>
      </c>
      <c r="D2" s="1"/>
      <c r="E2" s="1"/>
      <c r="F2" s="1"/>
      <c r="G2" s="1"/>
      <c r="H2" s="1"/>
      <c r="I2" s="1"/>
      <c r="J2" s="1"/>
    </row>
    <row r="3">
      <c r="B3" s="1"/>
      <c r="C3" s="3"/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1"/>
      <c r="J3" s="1"/>
    </row>
    <row r="4">
      <c r="B4" s="5"/>
      <c r="C4" s="6" t="s">
        <v>6</v>
      </c>
      <c r="D4" s="7">
        <v>0.04</v>
      </c>
      <c r="E4" s="8">
        <v>0.045</v>
      </c>
      <c r="F4" s="8">
        <v>0.05</v>
      </c>
      <c r="G4" s="9">
        <v>0.055</v>
      </c>
      <c r="H4" s="10">
        <v>0.06</v>
      </c>
      <c r="I4" s="1"/>
      <c r="J4" s="1"/>
    </row>
    <row r="5">
      <c r="B5" s="5"/>
      <c r="C5" s="6" t="s">
        <v>7</v>
      </c>
      <c r="D5" s="6">
        <v>2400.0</v>
      </c>
      <c r="E5" s="3">
        <f t="shared" ref="E5:E8" si="2">D5+100</f>
        <v>2500</v>
      </c>
      <c r="F5" s="3">
        <f t="shared" ref="F5:F8" si="3">E5+200</f>
        <v>2700</v>
      </c>
      <c r="G5" s="3">
        <f t="shared" ref="G5:H5" si="1">F5+300</f>
        <v>3000</v>
      </c>
      <c r="H5" s="3">
        <f t="shared" si="1"/>
        <v>3300</v>
      </c>
      <c r="I5" s="1"/>
      <c r="J5" s="1"/>
    </row>
    <row r="6">
      <c r="B6" s="5"/>
      <c r="C6" s="6" t="s">
        <v>8</v>
      </c>
      <c r="D6" s="6">
        <v>2550.0</v>
      </c>
      <c r="E6" s="3">
        <f t="shared" si="2"/>
        <v>2650</v>
      </c>
      <c r="F6" s="3">
        <f t="shared" si="3"/>
        <v>2850</v>
      </c>
      <c r="G6" s="3">
        <f t="shared" ref="G6:H6" si="4">F6+300</f>
        <v>3150</v>
      </c>
      <c r="H6" s="3">
        <f t="shared" si="4"/>
        <v>3450</v>
      </c>
      <c r="I6" s="1"/>
      <c r="J6" s="1"/>
    </row>
    <row r="7">
      <c r="B7" s="1"/>
      <c r="C7" s="6" t="s">
        <v>9</v>
      </c>
      <c r="D7" s="6">
        <v>2700.0</v>
      </c>
      <c r="E7" s="3">
        <f t="shared" si="2"/>
        <v>2800</v>
      </c>
      <c r="F7" s="3">
        <f t="shared" si="3"/>
        <v>3000</v>
      </c>
      <c r="G7" s="3">
        <f t="shared" ref="G7:H7" si="5">F7+300</f>
        <v>3300</v>
      </c>
      <c r="H7" s="3">
        <f t="shared" si="5"/>
        <v>3600</v>
      </c>
      <c r="I7" s="1"/>
      <c r="J7" s="1"/>
    </row>
    <row r="8">
      <c r="B8" s="1"/>
      <c r="C8" s="6" t="s">
        <v>10</v>
      </c>
      <c r="D8" s="6">
        <v>2900.0</v>
      </c>
      <c r="E8" s="3">
        <f t="shared" si="2"/>
        <v>3000</v>
      </c>
      <c r="F8" s="3">
        <f t="shared" si="3"/>
        <v>3200</v>
      </c>
      <c r="G8" s="3">
        <f t="shared" ref="G8:H8" si="6">F8+300</f>
        <v>3500</v>
      </c>
      <c r="H8" s="3">
        <f t="shared" si="6"/>
        <v>3800</v>
      </c>
      <c r="I8" s="1"/>
      <c r="J8" s="1"/>
    </row>
    <row r="9">
      <c r="B9" s="1"/>
      <c r="C9" s="6" t="s">
        <v>11</v>
      </c>
      <c r="D9" s="7">
        <f>D4*1.5</f>
        <v>0.06</v>
      </c>
      <c r="E9" s="8">
        <v>0.065</v>
      </c>
      <c r="F9" s="8">
        <v>0.07</v>
      </c>
      <c r="G9" s="8">
        <v>0.075</v>
      </c>
      <c r="H9" s="7">
        <v>0.08</v>
      </c>
      <c r="I9" s="1"/>
      <c r="J9" s="1"/>
    </row>
    <row r="10">
      <c r="B10" s="1"/>
      <c r="C10" s="6" t="s">
        <v>12</v>
      </c>
      <c r="D10" s="7">
        <v>0.08</v>
      </c>
      <c r="E10" s="11"/>
      <c r="F10" s="11"/>
      <c r="G10" s="11"/>
      <c r="H10" s="1"/>
      <c r="I10" s="1"/>
      <c r="J10" s="1"/>
    </row>
    <row r="11">
      <c r="B11" s="1"/>
      <c r="C11" s="6" t="s">
        <v>13</v>
      </c>
      <c r="D11" s="11">
        <f t="shared" ref="D11:G11" si="7">25000*D4*66*0.2+D6</f>
        <v>15750</v>
      </c>
      <c r="E11" s="11">
        <f t="shared" si="7"/>
        <v>17500</v>
      </c>
      <c r="F11" s="11">
        <f t="shared" si="7"/>
        <v>19350</v>
      </c>
      <c r="G11" s="11">
        <f t="shared" si="7"/>
        <v>21300</v>
      </c>
      <c r="H11" s="11">
        <f>25000*H4*66*0.25+H6</f>
        <v>28200</v>
      </c>
      <c r="I11" s="1"/>
      <c r="J11" s="1"/>
    </row>
    <row r="12">
      <c r="B12" s="1"/>
      <c r="C12" s="6" t="s">
        <v>14</v>
      </c>
      <c r="D12" s="1"/>
      <c r="E12" s="1"/>
      <c r="F12" s="1"/>
      <c r="G12" s="1"/>
      <c r="H12" s="1"/>
      <c r="I12" s="1"/>
      <c r="J12" s="1"/>
    </row>
    <row r="13">
      <c r="B13" s="1"/>
      <c r="C13" s="1"/>
      <c r="D13" s="1"/>
      <c r="E13" s="1"/>
      <c r="F13" s="1"/>
      <c r="G13" s="1"/>
      <c r="H13" s="5"/>
      <c r="I13" s="1"/>
      <c r="J13" s="1"/>
    </row>
    <row r="14">
      <c r="B14" s="1"/>
      <c r="C14" s="4" t="s">
        <v>15</v>
      </c>
      <c r="D14" s="1"/>
      <c r="E14" s="1"/>
      <c r="F14" s="5" t="s">
        <v>16</v>
      </c>
      <c r="G14" s="5" t="s">
        <v>17</v>
      </c>
      <c r="H14" s="5"/>
      <c r="I14" s="1"/>
      <c r="J14" s="1"/>
    </row>
    <row r="15">
      <c r="B15" s="1"/>
      <c r="C15" s="6" t="s">
        <v>18</v>
      </c>
      <c r="D15" s="7">
        <v>0.5</v>
      </c>
      <c r="E15" s="1"/>
      <c r="F15" s="5" t="s">
        <v>19</v>
      </c>
      <c r="G15" s="5" t="s">
        <v>20</v>
      </c>
      <c r="H15" s="5"/>
      <c r="I15" s="1"/>
      <c r="J15" s="1"/>
    </row>
    <row r="16">
      <c r="B16" s="1"/>
      <c r="C16" s="6" t="s">
        <v>21</v>
      </c>
      <c r="D16" s="6">
        <v>5.0</v>
      </c>
      <c r="E16" s="5" t="s">
        <v>22</v>
      </c>
      <c r="F16" s="1"/>
      <c r="G16" s="1"/>
      <c r="H16" s="5"/>
      <c r="I16" s="1"/>
      <c r="J16" s="1"/>
    </row>
    <row r="17">
      <c r="B17" s="1"/>
      <c r="C17" s="6" t="s">
        <v>23</v>
      </c>
      <c r="D17" s="7">
        <v>0.25</v>
      </c>
      <c r="E17" s="1"/>
      <c r="F17" s="1"/>
      <c r="G17" s="1"/>
      <c r="H17" s="5"/>
      <c r="I17" s="1"/>
      <c r="J17" s="1"/>
    </row>
    <row r="18">
      <c r="B18" s="1"/>
      <c r="C18" s="6" t="s">
        <v>24</v>
      </c>
      <c r="D18" s="7">
        <v>0.3</v>
      </c>
      <c r="E18" s="1"/>
      <c r="F18" s="1"/>
      <c r="G18" s="1"/>
      <c r="H18" s="5"/>
      <c r="I18" s="1"/>
      <c r="J18" s="1"/>
    </row>
    <row r="19">
      <c r="B19" s="1"/>
      <c r="C19" s="6" t="s">
        <v>25</v>
      </c>
      <c r="D19" s="11">
        <f>66*D15*D16*D17*D18*25000*D9</f>
        <v>18562.5</v>
      </c>
      <c r="E19" s="1"/>
      <c r="F19" s="1"/>
      <c r="G19" s="1"/>
      <c r="H19" s="5"/>
      <c r="I19" s="1"/>
      <c r="J19" s="1"/>
    </row>
    <row r="20">
      <c r="B20" s="1"/>
      <c r="C20" s="1"/>
      <c r="D20" s="1"/>
      <c r="E20" s="1"/>
      <c r="F20" s="1"/>
      <c r="G20" s="1"/>
      <c r="H20" s="5"/>
      <c r="I20" s="1"/>
      <c r="J20" s="1"/>
    </row>
    <row r="21">
      <c r="B21" s="1"/>
      <c r="C21" s="12" t="s">
        <v>26</v>
      </c>
      <c r="D21" s="13">
        <f>D11+D19</f>
        <v>34312.5</v>
      </c>
      <c r="E21" s="1"/>
      <c r="F21" s="1"/>
      <c r="G21" s="1"/>
      <c r="H21" s="5"/>
      <c r="I21" s="1"/>
      <c r="J21" s="1"/>
    </row>
    <row r="22">
      <c r="B22" s="1"/>
      <c r="C22" s="1"/>
      <c r="D22" s="1"/>
      <c r="E22" s="1"/>
      <c r="F22" s="1"/>
      <c r="G22" s="1"/>
      <c r="H22" s="5"/>
      <c r="I22" s="1"/>
      <c r="J22" s="1"/>
    </row>
    <row r="23">
      <c r="B23" s="1"/>
      <c r="C23" s="2" t="s">
        <v>27</v>
      </c>
      <c r="D23" s="1"/>
      <c r="E23" s="1"/>
      <c r="F23" s="1"/>
      <c r="G23" s="1"/>
      <c r="H23" s="5"/>
      <c r="I23" s="1"/>
      <c r="J23" s="1"/>
    </row>
    <row r="24">
      <c r="B24" s="1"/>
      <c r="C24" s="3"/>
      <c r="D24" s="6" t="s">
        <v>28</v>
      </c>
      <c r="E24" s="6" t="s">
        <v>29</v>
      </c>
      <c r="F24" s="14" t="s">
        <v>30</v>
      </c>
      <c r="G24" s="15"/>
      <c r="H24" s="5"/>
      <c r="I24" s="1"/>
      <c r="J24" s="1"/>
    </row>
    <row r="25">
      <c r="B25" s="1"/>
      <c r="C25" s="16" t="s">
        <v>31</v>
      </c>
      <c r="D25" s="6" t="s">
        <v>32</v>
      </c>
      <c r="E25" s="6" t="s">
        <v>33</v>
      </c>
      <c r="F25" s="17" t="s">
        <v>34</v>
      </c>
      <c r="G25" s="18"/>
      <c r="H25" s="5"/>
      <c r="I25" s="1"/>
      <c r="J25" s="1"/>
    </row>
    <row r="26" ht="45.75" customHeight="1">
      <c r="B26" s="1"/>
      <c r="C26" s="19"/>
      <c r="D26" s="6" t="s">
        <v>35</v>
      </c>
      <c r="E26" s="3"/>
      <c r="F26" s="20"/>
      <c r="G26" s="21"/>
      <c r="H26" s="1"/>
      <c r="I26" s="1"/>
      <c r="J26" s="1"/>
    </row>
    <row r="27">
      <c r="B27" s="1"/>
      <c r="C27" s="22" t="s">
        <v>36</v>
      </c>
      <c r="D27" s="6" t="s">
        <v>32</v>
      </c>
      <c r="E27" s="6" t="s">
        <v>33</v>
      </c>
      <c r="F27" s="23" t="s">
        <v>37</v>
      </c>
      <c r="G27" s="18"/>
      <c r="H27" s="1"/>
      <c r="I27" s="1"/>
      <c r="J27" s="1"/>
    </row>
    <row r="28" ht="29.25" customHeight="1">
      <c r="B28" s="1"/>
      <c r="C28" s="19"/>
      <c r="D28" s="6" t="s">
        <v>38</v>
      </c>
      <c r="E28" s="3"/>
      <c r="F28" s="20"/>
      <c r="G28" s="21"/>
      <c r="H28" s="1"/>
      <c r="I28" s="1"/>
      <c r="J28" s="1"/>
    </row>
    <row r="29">
      <c r="B29" s="1"/>
      <c r="C29" s="16" t="s">
        <v>39</v>
      </c>
      <c r="D29" s="6" t="s">
        <v>40</v>
      </c>
      <c r="E29" s="6" t="s">
        <v>33</v>
      </c>
      <c r="F29" s="23" t="s">
        <v>41</v>
      </c>
      <c r="G29" s="18"/>
      <c r="H29" s="1"/>
      <c r="I29" s="1"/>
      <c r="J29" s="1"/>
    </row>
    <row r="30" ht="46.5" customHeight="1">
      <c r="B30" s="1"/>
      <c r="C30" s="19"/>
      <c r="D30" s="6" t="s">
        <v>42</v>
      </c>
      <c r="E30" s="3"/>
      <c r="F30" s="20"/>
      <c r="G30" s="21"/>
      <c r="H30" s="1"/>
      <c r="I30" s="1"/>
      <c r="J30" s="1"/>
    </row>
    <row r="31">
      <c r="C31" s="16" t="s">
        <v>43</v>
      </c>
      <c r="D31" s="16" t="s">
        <v>44</v>
      </c>
    </row>
    <row r="32">
      <c r="C32" s="19"/>
      <c r="D32" s="19"/>
    </row>
    <row r="35">
      <c r="C35" s="6" t="s">
        <v>45</v>
      </c>
      <c r="D35" s="24"/>
    </row>
    <row r="36">
      <c r="C36" s="6" t="s">
        <v>46</v>
      </c>
      <c r="D36" s="24"/>
    </row>
    <row r="37">
      <c r="C37" s="6" t="s">
        <v>47</v>
      </c>
      <c r="D37" s="25">
        <f>IFERROR(D36/D35, 0)</f>
        <v>0</v>
      </c>
    </row>
    <row r="38">
      <c r="C38" s="6" t="s">
        <v>48</v>
      </c>
      <c r="D38" s="26"/>
    </row>
    <row r="39">
      <c r="C39" s="6" t="s">
        <v>49</v>
      </c>
      <c r="D39" s="27">
        <f>IFERROR(D38/D35, 0)</f>
        <v>0</v>
      </c>
    </row>
    <row r="41">
      <c r="C41" s="28"/>
      <c r="D41" s="29" t="s">
        <v>50</v>
      </c>
      <c r="E41" s="29" t="s">
        <v>51</v>
      </c>
      <c r="F41" s="29" t="s">
        <v>52</v>
      </c>
    </row>
    <row r="42">
      <c r="C42" s="30" t="s">
        <v>53</v>
      </c>
      <c r="D42" s="31"/>
      <c r="E42" s="31"/>
      <c r="F42" s="32" t="s">
        <v>54</v>
      </c>
    </row>
    <row r="43">
      <c r="C43" s="30" t="s">
        <v>55</v>
      </c>
      <c r="D43" s="33">
        <v>0.25</v>
      </c>
      <c r="E43" s="32" t="s">
        <v>56</v>
      </c>
      <c r="F43" s="32" t="s">
        <v>57</v>
      </c>
    </row>
    <row r="44">
      <c r="C44" s="30" t="s">
        <v>58</v>
      </c>
      <c r="D44" s="33">
        <v>0.3</v>
      </c>
      <c r="E44" s="32" t="s">
        <v>59</v>
      </c>
      <c r="F44" s="32" t="s">
        <v>60</v>
      </c>
    </row>
    <row r="45">
      <c r="C45" s="34" t="s">
        <v>61</v>
      </c>
      <c r="D45" s="35">
        <v>0.35</v>
      </c>
      <c r="E45" s="32" t="s">
        <v>62</v>
      </c>
      <c r="F45" s="36" t="s">
        <v>63</v>
      </c>
    </row>
  </sheetData>
  <mergeCells count="9">
    <mergeCell ref="C31:C32"/>
    <mergeCell ref="D31:D32"/>
    <mergeCell ref="F24:G24"/>
    <mergeCell ref="C25:C26"/>
    <mergeCell ref="F25:G26"/>
    <mergeCell ref="C27:C28"/>
    <mergeCell ref="F27:G28"/>
    <mergeCell ref="C29:C30"/>
    <mergeCell ref="F29:G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