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rs\Desktop\Materiais Finanças\"/>
    </mc:Choice>
  </mc:AlternateContent>
  <xr:revisionPtr revIDLastSave="0" documentId="13_ncr:1_{8C6FA119-4E04-45F1-BB85-391B7E070443}" xr6:coauthVersionLast="46" xr6:coauthVersionMax="47" xr10:uidLastSave="{00000000-0000-0000-0000-000000000000}"/>
  <bookViews>
    <workbookView xWindow="-108" yWindow="-108" windowWidth="23256" windowHeight="12576" xr2:uid="{4BD1B8AB-108F-2747-B3C8-9EFD0A0DC836}"/>
  </bookViews>
  <sheets>
    <sheet name="Instruções" sheetId="10" r:id="rId1"/>
    <sheet name="DRE BP DFC" sheetId="1" r:id="rId2"/>
    <sheet name="DRE Tipica" sheetId="3" r:id="rId3"/>
    <sheet name="BP" sheetId="2" r:id="rId4"/>
    <sheet name="DFC" sheetId="4" r:id="rId5"/>
    <sheet name="Exercício Balanços" sheetId="14" r:id="rId6"/>
    <sheet name="Modelo Operacional" sheetId="5" r:id="rId7"/>
    <sheet name="MC e Margem Unitária" sheetId="6" r:id="rId8"/>
    <sheet name="Ponto de Equilíbrio" sheetId="7" r:id="rId9"/>
    <sheet name="Preço Margem Volume" sheetId="8" r:id="rId10"/>
    <sheet name="Capital de Giro" sheetId="9" r:id="rId11"/>
    <sheet name="Modelo de Acompanhamento" sheetId="11" r:id="rId12"/>
    <sheet name="O Perigo da Alavancagem" sheetId="13" r:id="rId13"/>
    <sheet name="An Simples Dívida vs Equity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3" i="14" l="1"/>
  <c r="H145" i="14"/>
  <c r="I192" i="14"/>
  <c r="I197" i="14"/>
  <c r="I196" i="14"/>
  <c r="I187" i="14"/>
  <c r="I186" i="14"/>
  <c r="I185" i="14"/>
  <c r="D187" i="14"/>
  <c r="D186" i="14"/>
  <c r="D185" i="14"/>
  <c r="I195" i="14"/>
  <c r="I173" i="14"/>
  <c r="I169" i="14"/>
  <c r="I163" i="14"/>
  <c r="I171" i="14"/>
  <c r="I158" i="14"/>
  <c r="I11" i="14"/>
  <c r="H11" i="14"/>
  <c r="D11" i="14"/>
  <c r="C11" i="14"/>
  <c r="J195" i="14"/>
  <c r="I193" i="14"/>
  <c r="J192" i="14"/>
  <c r="I191" i="14"/>
  <c r="J185" i="14"/>
  <c r="J188" i="14" s="1"/>
  <c r="J172" i="14"/>
  <c r="I172" i="14"/>
  <c r="J170" i="14"/>
  <c r="I170" i="14"/>
  <c r="I153" i="14"/>
  <c r="H150" i="14"/>
  <c r="J147" i="14"/>
  <c r="J146" i="14"/>
  <c r="J145" i="14"/>
  <c r="J143" i="14"/>
  <c r="H141" i="14"/>
  <c r="I127" i="14"/>
  <c r="H127" i="14"/>
  <c r="J116" i="14"/>
  <c r="I116" i="14"/>
  <c r="H116" i="14"/>
  <c r="I104" i="14"/>
  <c r="H104" i="14"/>
  <c r="J104" i="14"/>
  <c r="J137" i="14" s="1"/>
  <c r="J87" i="14"/>
  <c r="I87" i="14"/>
  <c r="H87" i="14"/>
  <c r="J85" i="14"/>
  <c r="J84" i="14"/>
  <c r="J141" i="14" s="1"/>
  <c r="I84" i="14"/>
  <c r="I141" i="14" s="1"/>
  <c r="I145" i="14" s="1"/>
  <c r="H84" i="14"/>
  <c r="I77" i="14"/>
  <c r="J81" i="14"/>
  <c r="J80" i="14"/>
  <c r="J79" i="14"/>
  <c r="J78" i="14"/>
  <c r="H77" i="14"/>
  <c r="H142" i="14" s="1"/>
  <c r="H146" i="14" s="1"/>
  <c r="I73" i="14"/>
  <c r="H73" i="14"/>
  <c r="I202" i="14" s="1"/>
  <c r="I68" i="14"/>
  <c r="H68" i="14"/>
  <c r="I51" i="14"/>
  <c r="H51" i="14"/>
  <c r="J42" i="14"/>
  <c r="H39" i="14"/>
  <c r="H40" i="14" s="1"/>
  <c r="J33" i="14"/>
  <c r="I32" i="14"/>
  <c r="H32" i="14"/>
  <c r="H30" i="14"/>
  <c r="I29" i="14"/>
  <c r="I30" i="14" s="1"/>
  <c r="H29" i="14"/>
  <c r="J24" i="14"/>
  <c r="J11" i="14"/>
  <c r="J22" i="14" s="1"/>
  <c r="J29" i="14" s="1"/>
  <c r="D147" i="14"/>
  <c r="C147" i="14"/>
  <c r="D143" i="14"/>
  <c r="C143" i="14"/>
  <c r="D171" i="14"/>
  <c r="D191" i="14"/>
  <c r="D195" i="14"/>
  <c r="D194" i="14"/>
  <c r="D193" i="14"/>
  <c r="D188" i="14"/>
  <c r="D173" i="14"/>
  <c r="D170" i="14"/>
  <c r="D133" i="14"/>
  <c r="D29" i="14"/>
  <c r="C29" i="14"/>
  <c r="D116" i="14"/>
  <c r="C116" i="14"/>
  <c r="D127" i="14"/>
  <c r="C127" i="14"/>
  <c r="D106" i="14"/>
  <c r="C106" i="14"/>
  <c r="D87" i="14"/>
  <c r="C87" i="14"/>
  <c r="D82" i="14"/>
  <c r="D77" i="14" s="1"/>
  <c r="C82" i="14"/>
  <c r="C77" i="14" s="1"/>
  <c r="C142" i="14" s="1"/>
  <c r="C146" i="14" s="1"/>
  <c r="E195" i="14"/>
  <c r="E192" i="14"/>
  <c r="D172" i="14"/>
  <c r="C150" i="14"/>
  <c r="E116" i="14"/>
  <c r="E172" i="14"/>
  <c r="C104" i="14"/>
  <c r="C84" i="14"/>
  <c r="E81" i="14"/>
  <c r="E80" i="14"/>
  <c r="E79" i="14"/>
  <c r="E78" i="14"/>
  <c r="C73" i="14"/>
  <c r="E42" i="14"/>
  <c r="C32" i="14"/>
  <c r="E33" i="14"/>
  <c r="E24" i="14"/>
  <c r="E11" i="14"/>
  <c r="E22" i="14" s="1"/>
  <c r="D28" i="3"/>
  <c r="D58" i="3"/>
  <c r="D54" i="3"/>
  <c r="D40" i="3"/>
  <c r="D51" i="3" s="1"/>
  <c r="D52" i="3" s="1"/>
  <c r="D29" i="3"/>
  <c r="D37" i="3" s="1"/>
  <c r="D38" i="3" s="1"/>
  <c r="D32" i="3"/>
  <c r="D26" i="3"/>
  <c r="D25" i="3"/>
  <c r="D20" i="3"/>
  <c r="D18" i="3"/>
  <c r="D13" i="3"/>
  <c r="D7" i="3"/>
  <c r="D11" i="3"/>
  <c r="D10" i="3"/>
  <c r="D9" i="3"/>
  <c r="D2" i="3"/>
  <c r="E139" i="5"/>
  <c r="D139" i="5"/>
  <c r="E136" i="5"/>
  <c r="D136" i="5"/>
  <c r="C136" i="5"/>
  <c r="E135" i="5"/>
  <c r="D135" i="5"/>
  <c r="C135" i="5"/>
  <c r="E134" i="5"/>
  <c r="D134" i="5"/>
  <c r="D137" i="5" s="1"/>
  <c r="C134" i="5"/>
  <c r="C137" i="5" s="1"/>
  <c r="E132" i="5"/>
  <c r="E131" i="5"/>
  <c r="E130" i="5"/>
  <c r="D132" i="5"/>
  <c r="D131" i="5"/>
  <c r="D130" i="5"/>
  <c r="C132" i="5"/>
  <c r="C129" i="5" s="1"/>
  <c r="C131" i="5"/>
  <c r="C130" i="5"/>
  <c r="E129" i="5"/>
  <c r="D129" i="5"/>
  <c r="P52" i="4"/>
  <c r="P49" i="4" s="1"/>
  <c r="P51" i="4"/>
  <c r="P50" i="4"/>
  <c r="O52" i="4"/>
  <c r="O51" i="4"/>
  <c r="O50" i="4"/>
  <c r="N52" i="4"/>
  <c r="N51" i="4"/>
  <c r="N50" i="4"/>
  <c r="M52" i="4"/>
  <c r="M51" i="4"/>
  <c r="M50" i="4"/>
  <c r="M59" i="4"/>
  <c r="E124" i="9"/>
  <c r="D124" i="9"/>
  <c r="C124" i="9"/>
  <c r="E123" i="9"/>
  <c r="E122" i="9"/>
  <c r="E121" i="9"/>
  <c r="D123" i="9"/>
  <c r="D122" i="9"/>
  <c r="D121" i="9"/>
  <c r="C123" i="9"/>
  <c r="C122" i="9"/>
  <c r="C121" i="9"/>
  <c r="I26" i="12"/>
  <c r="G28" i="12"/>
  <c r="E24" i="9"/>
  <c r="D24" i="9"/>
  <c r="C85" i="9"/>
  <c r="D85" i="9"/>
  <c r="D95" i="9" s="1"/>
  <c r="D119" i="9" s="1"/>
  <c r="C50" i="8"/>
  <c r="G25" i="2"/>
  <c r="I16" i="2"/>
  <c r="C119" i="9"/>
  <c r="J32" i="14" l="1"/>
  <c r="H137" i="14"/>
  <c r="J198" i="14"/>
  <c r="I188" i="14"/>
  <c r="I198" i="14"/>
  <c r="J158" i="14"/>
  <c r="J148" i="14"/>
  <c r="I142" i="14"/>
  <c r="I146" i="14" s="1"/>
  <c r="J30" i="14"/>
  <c r="J39" i="14"/>
  <c r="I137" i="14"/>
  <c r="D157" i="14"/>
  <c r="H147" i="14"/>
  <c r="H148" i="14" s="1"/>
  <c r="I143" i="14"/>
  <c r="I147" i="14" s="1"/>
  <c r="J82" i="14"/>
  <c r="J77" i="14" s="1"/>
  <c r="H71" i="14"/>
  <c r="H102" i="14" s="1"/>
  <c r="I175" i="14"/>
  <c r="I39" i="14"/>
  <c r="I40" i="14" s="1"/>
  <c r="J169" i="14"/>
  <c r="J175" i="14" s="1"/>
  <c r="I71" i="14"/>
  <c r="I102" i="14" s="1"/>
  <c r="I157" i="14"/>
  <c r="I164" i="14" s="1"/>
  <c r="E82" i="14"/>
  <c r="E77" i="14" s="1"/>
  <c r="E142" i="14" s="1"/>
  <c r="E146" i="14" s="1"/>
  <c r="E32" i="14"/>
  <c r="D32" i="14"/>
  <c r="E198" i="14"/>
  <c r="D84" i="14"/>
  <c r="D158" i="14" s="1"/>
  <c r="E169" i="14"/>
  <c r="E170" i="14"/>
  <c r="D39" i="14"/>
  <c r="E29" i="14"/>
  <c r="E39" i="14" s="1"/>
  <c r="D30" i="14"/>
  <c r="C39" i="14"/>
  <c r="C30" i="14"/>
  <c r="D142" i="14"/>
  <c r="D146" i="14" s="1"/>
  <c r="C141" i="14"/>
  <c r="C145" i="14" s="1"/>
  <c r="D104" i="14"/>
  <c r="D169" i="14"/>
  <c r="D175" i="14" s="1"/>
  <c r="E185" i="14"/>
  <c r="E188" i="14" s="1"/>
  <c r="E87" i="14"/>
  <c r="C71" i="14"/>
  <c r="C102" i="14" s="1"/>
  <c r="D202" i="14"/>
  <c r="E85" i="14"/>
  <c r="E84" i="14" s="1"/>
  <c r="E141" i="14" s="1"/>
  <c r="D62" i="3"/>
  <c r="E137" i="5"/>
  <c r="M49" i="4"/>
  <c r="M57" i="4"/>
  <c r="O49" i="4"/>
  <c r="O57" i="4"/>
  <c r="P57" i="4"/>
  <c r="N57" i="4"/>
  <c r="N49" i="4"/>
  <c r="C6" i="13"/>
  <c r="D6" i="13"/>
  <c r="D16" i="13" s="1"/>
  <c r="E6" i="13"/>
  <c r="E16" i="13" s="1"/>
  <c r="F6" i="13"/>
  <c r="F25" i="13" s="1"/>
  <c r="G6" i="13"/>
  <c r="H6" i="13"/>
  <c r="H16" i="13" s="1"/>
  <c r="I6" i="13"/>
  <c r="I16" i="13" s="1"/>
  <c r="J6" i="13"/>
  <c r="J25" i="13" s="1"/>
  <c r="C12" i="13"/>
  <c r="D12" i="13"/>
  <c r="E12" i="13"/>
  <c r="F12" i="13"/>
  <c r="G12" i="13"/>
  <c r="H12" i="13"/>
  <c r="I12" i="13"/>
  <c r="J12" i="13"/>
  <c r="C14" i="13"/>
  <c r="D14" i="13"/>
  <c r="E14" i="13"/>
  <c r="F14" i="13"/>
  <c r="G14" i="13"/>
  <c r="H14" i="13"/>
  <c r="I14" i="13"/>
  <c r="J14" i="13"/>
  <c r="J27" i="13" s="1"/>
  <c r="G16" i="13"/>
  <c r="C21" i="13"/>
  <c r="D21" i="13"/>
  <c r="D27" i="13" s="1"/>
  <c r="E21" i="13"/>
  <c r="F21" i="13"/>
  <c r="G21" i="13"/>
  <c r="G27" i="13" s="1"/>
  <c r="H21" i="13"/>
  <c r="I21" i="13"/>
  <c r="J21" i="13"/>
  <c r="D25" i="13"/>
  <c r="E25" i="13"/>
  <c r="G25" i="13"/>
  <c r="H25" i="13"/>
  <c r="I25" i="13"/>
  <c r="E27" i="13"/>
  <c r="F27" i="13"/>
  <c r="H27" i="13"/>
  <c r="I27" i="13"/>
  <c r="I7" i="12"/>
  <c r="C9" i="12"/>
  <c r="E9" i="12"/>
  <c r="E19" i="12" s="1"/>
  <c r="G9" i="12"/>
  <c r="I9" i="12"/>
  <c r="I28" i="12" s="1"/>
  <c r="I11" i="12"/>
  <c r="H14" i="12"/>
  <c r="H15" i="12"/>
  <c r="C17" i="12"/>
  <c r="E17" i="12"/>
  <c r="C19" i="12"/>
  <c r="C20" i="12" s="1"/>
  <c r="C21" i="12" s="1"/>
  <c r="C28" i="12"/>
  <c r="E28" i="12"/>
  <c r="J35" i="12"/>
  <c r="L35" i="12" s="1"/>
  <c r="J36" i="12"/>
  <c r="G23" i="12" s="1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E4" i="11"/>
  <c r="D5" i="11"/>
  <c r="E5" i="11" s="1"/>
  <c r="E6" i="11"/>
  <c r="E8" i="11"/>
  <c r="E10" i="11"/>
  <c r="E12" i="11"/>
  <c r="E14" i="11"/>
  <c r="E15" i="11"/>
  <c r="E16" i="11"/>
  <c r="E17" i="11"/>
  <c r="D18" i="11"/>
  <c r="E18" i="11" s="1"/>
  <c r="D21" i="11"/>
  <c r="E21" i="11" s="1"/>
  <c r="E23" i="11"/>
  <c r="E30" i="11"/>
  <c r="E32" i="11"/>
  <c r="D33" i="11"/>
  <c r="E33" i="11" s="1"/>
  <c r="E38" i="11"/>
  <c r="D39" i="11"/>
  <c r="E39" i="11"/>
  <c r="E42" i="11"/>
  <c r="E44" i="11"/>
  <c r="E47" i="11"/>
  <c r="E49" i="11"/>
  <c r="E50" i="11"/>
  <c r="D9" i="2"/>
  <c r="D16" i="2"/>
  <c r="C126" i="9"/>
  <c r="D107" i="9"/>
  <c r="E107" i="9" s="1"/>
  <c r="D171" i="9"/>
  <c r="E168" i="9"/>
  <c r="D168" i="9"/>
  <c r="D161" i="9"/>
  <c r="D164" i="9" s="1"/>
  <c r="D148" i="9"/>
  <c r="D146" i="9"/>
  <c r="D145" i="9"/>
  <c r="E101" i="9"/>
  <c r="D101" i="9"/>
  <c r="C101" i="9"/>
  <c r="E97" i="9"/>
  <c r="D93" i="9"/>
  <c r="C93" i="9"/>
  <c r="E89" i="9"/>
  <c r="E161" i="9" s="1"/>
  <c r="E164" i="9" s="1"/>
  <c r="D87" i="9"/>
  <c r="C87" i="9"/>
  <c r="D84" i="9"/>
  <c r="D117" i="9" s="1"/>
  <c r="C84" i="9"/>
  <c r="D77" i="9"/>
  <c r="D118" i="9" s="1"/>
  <c r="C77" i="9"/>
  <c r="C118" i="9" s="1"/>
  <c r="C73" i="9"/>
  <c r="D178" i="9" s="1"/>
  <c r="E42" i="9"/>
  <c r="D42" i="9"/>
  <c r="C42" i="9"/>
  <c r="H138" i="14" l="1"/>
  <c r="H140" i="14"/>
  <c r="I140" i="14"/>
  <c r="I150" i="14" s="1"/>
  <c r="I148" i="14"/>
  <c r="J142" i="14"/>
  <c r="J140" i="14" s="1"/>
  <c r="J150" i="14" s="1"/>
  <c r="J157" i="14"/>
  <c r="J164" i="14" s="1"/>
  <c r="I138" i="14"/>
  <c r="J40" i="14"/>
  <c r="J50" i="14"/>
  <c r="I177" i="14"/>
  <c r="I181" i="14" s="1"/>
  <c r="I200" i="14" s="1"/>
  <c r="I203" i="14" s="1"/>
  <c r="I204" i="14" s="1"/>
  <c r="D141" i="14"/>
  <c r="D145" i="14" s="1"/>
  <c r="D148" i="14" s="1"/>
  <c r="E175" i="14"/>
  <c r="E104" i="14"/>
  <c r="E157" i="14"/>
  <c r="E143" i="14"/>
  <c r="E147" i="14" s="1"/>
  <c r="C140" i="14"/>
  <c r="C148" i="14"/>
  <c r="E30" i="14"/>
  <c r="E145" i="14"/>
  <c r="E50" i="14"/>
  <c r="E40" i="14"/>
  <c r="E158" i="14"/>
  <c r="E164" i="14" s="1"/>
  <c r="C40" i="14"/>
  <c r="D164" i="14"/>
  <c r="D40" i="14"/>
  <c r="D65" i="3"/>
  <c r="D66" i="3"/>
  <c r="N59" i="4"/>
  <c r="O59" i="4"/>
  <c r="P59" i="4"/>
  <c r="I19" i="12"/>
  <c r="D134" i="9"/>
  <c r="E17" i="13"/>
  <c r="E18" i="13" s="1"/>
  <c r="H17" i="13"/>
  <c r="H18" i="13" s="1"/>
  <c r="D18" i="13"/>
  <c r="D17" i="13"/>
  <c r="I17" i="13"/>
  <c r="I18" i="13"/>
  <c r="G18" i="13"/>
  <c r="G17" i="13"/>
  <c r="J16" i="13"/>
  <c r="F16" i="13"/>
  <c r="L36" i="12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C27" i="13"/>
  <c r="D25" i="11"/>
  <c r="C117" i="9"/>
  <c r="C116" i="9" s="1"/>
  <c r="D116" i="9"/>
  <c r="C25" i="13"/>
  <c r="C16" i="13"/>
  <c r="I63" i="12"/>
  <c r="K63" i="12" s="1"/>
  <c r="I48" i="12"/>
  <c r="K48" i="12" s="1"/>
  <c r="E20" i="12"/>
  <c r="E21" i="12" s="1"/>
  <c r="I59" i="12"/>
  <c r="K59" i="12" s="1"/>
  <c r="I57" i="12"/>
  <c r="K57" i="12" s="1"/>
  <c r="I55" i="12"/>
  <c r="K55" i="12" s="1"/>
  <c r="I53" i="12"/>
  <c r="K53" i="12" s="1"/>
  <c r="I51" i="12"/>
  <c r="K51" i="12" s="1"/>
  <c r="I49" i="12"/>
  <c r="K49" i="12" s="1"/>
  <c r="I47" i="12"/>
  <c r="K47" i="12" s="1"/>
  <c r="I45" i="12"/>
  <c r="K45" i="12" s="1"/>
  <c r="I43" i="12"/>
  <c r="K43" i="12" s="1"/>
  <c r="I41" i="12"/>
  <c r="K41" i="12" s="1"/>
  <c r="I39" i="12"/>
  <c r="K39" i="12" s="1"/>
  <c r="I37" i="12"/>
  <c r="K37" i="12" s="1"/>
  <c r="I35" i="12"/>
  <c r="I20" i="12"/>
  <c r="I21" i="12" s="1"/>
  <c r="I46" i="12"/>
  <c r="K46" i="12" s="1"/>
  <c r="I44" i="12"/>
  <c r="K44" i="12" s="1"/>
  <c r="I42" i="12"/>
  <c r="K42" i="12" s="1"/>
  <c r="I40" i="12"/>
  <c r="K40" i="12" s="1"/>
  <c r="I38" i="12"/>
  <c r="K38" i="12" s="1"/>
  <c r="I36" i="12"/>
  <c r="K36" i="12" s="1"/>
  <c r="I62" i="12"/>
  <c r="K62" i="12" s="1"/>
  <c r="I60" i="12"/>
  <c r="K60" i="12" s="1"/>
  <c r="I58" i="12"/>
  <c r="K58" i="12" s="1"/>
  <c r="I56" i="12"/>
  <c r="K56" i="12" s="1"/>
  <c r="I54" i="12"/>
  <c r="K54" i="12" s="1"/>
  <c r="I52" i="12"/>
  <c r="K52" i="12" s="1"/>
  <c r="I50" i="12"/>
  <c r="K50" i="12" s="1"/>
  <c r="D133" i="9"/>
  <c r="D140" i="9" s="1"/>
  <c r="D174" i="9"/>
  <c r="D151" i="9"/>
  <c r="C71" i="9"/>
  <c r="C91" i="9" s="1"/>
  <c r="E171" i="9"/>
  <c r="E174" i="9" s="1"/>
  <c r="C11" i="9"/>
  <c r="C22" i="9" s="1"/>
  <c r="E11" i="9"/>
  <c r="E22" i="9" s="1"/>
  <c r="E87" i="9"/>
  <c r="J202" i="14" l="1"/>
  <c r="J61" i="14"/>
  <c r="J51" i="14"/>
  <c r="D140" i="14"/>
  <c r="D150" i="14"/>
  <c r="E140" i="14"/>
  <c r="E150" i="14" s="1"/>
  <c r="E148" i="14"/>
  <c r="D51" i="14"/>
  <c r="C51" i="14"/>
  <c r="E61" i="14"/>
  <c r="E51" i="14"/>
  <c r="D64" i="3"/>
  <c r="D68" i="3" s="1"/>
  <c r="D69" i="3" s="1"/>
  <c r="L64" i="12"/>
  <c r="I64" i="12"/>
  <c r="K64" i="12" s="1"/>
  <c r="H19" i="13"/>
  <c r="H23" i="13"/>
  <c r="E23" i="13"/>
  <c r="E19" i="13"/>
  <c r="I23" i="13"/>
  <c r="I19" i="13"/>
  <c r="J17" i="13"/>
  <c r="J18" i="13" s="1"/>
  <c r="F17" i="13"/>
  <c r="F18" i="13" s="1"/>
  <c r="I61" i="12"/>
  <c r="K61" i="12" s="1"/>
  <c r="G19" i="13"/>
  <c r="G23" i="13"/>
  <c r="D19" i="13"/>
  <c r="D23" i="13"/>
  <c r="E25" i="11"/>
  <c r="D27" i="11"/>
  <c r="D126" i="9"/>
  <c r="C17" i="13"/>
  <c r="C18" i="13" s="1"/>
  <c r="C19" i="13" s="1"/>
  <c r="K35" i="12"/>
  <c r="G17" i="12"/>
  <c r="G19" i="12" s="1"/>
  <c r="E33" i="9"/>
  <c r="E32" i="9" s="1"/>
  <c r="E29" i="9"/>
  <c r="E79" i="9"/>
  <c r="D11" i="9"/>
  <c r="D22" i="9" s="1"/>
  <c r="E82" i="9"/>
  <c r="E85" i="9"/>
  <c r="E84" i="9" s="1"/>
  <c r="E81" i="9"/>
  <c r="E98" i="9"/>
  <c r="E148" i="9" s="1"/>
  <c r="E80" i="9"/>
  <c r="E78" i="9"/>
  <c r="C29" i="9"/>
  <c r="C32" i="9"/>
  <c r="J63" i="14" l="1"/>
  <c r="J67" i="14" s="1"/>
  <c r="E63" i="14"/>
  <c r="E67" i="14" s="1"/>
  <c r="F23" i="13"/>
  <c r="F19" i="13"/>
  <c r="J19" i="13"/>
  <c r="J23" i="13"/>
  <c r="L65" i="12"/>
  <c r="I65" i="12"/>
  <c r="K65" i="12" s="1"/>
  <c r="E27" i="11"/>
  <c r="D28" i="11"/>
  <c r="D35" i="11"/>
  <c r="E134" i="9"/>
  <c r="E117" i="9"/>
  <c r="C23" i="13"/>
  <c r="G20" i="12"/>
  <c r="G21" i="12"/>
  <c r="D33" i="9"/>
  <c r="D32" i="9" s="1"/>
  <c r="D29" i="9"/>
  <c r="E96" i="9"/>
  <c r="E146" i="9" s="1"/>
  <c r="E95" i="9"/>
  <c r="C39" i="9"/>
  <c r="C30" i="9"/>
  <c r="E30" i="9"/>
  <c r="E39" i="9"/>
  <c r="E77" i="9"/>
  <c r="J153" i="14" l="1"/>
  <c r="J177" i="14" s="1"/>
  <c r="J181" i="14" s="1"/>
  <c r="J200" i="14" s="1"/>
  <c r="J203" i="14" s="1"/>
  <c r="J73" i="14" s="1"/>
  <c r="J68" i="14"/>
  <c r="J133" i="14"/>
  <c r="E68" i="14"/>
  <c r="E153" i="14"/>
  <c r="E177" i="14" s="1"/>
  <c r="E181" i="14" s="1"/>
  <c r="E200" i="14" s="1"/>
  <c r="E133" i="14"/>
  <c r="D68" i="14"/>
  <c r="D153" i="14"/>
  <c r="D73" i="14"/>
  <c r="C68" i="14"/>
  <c r="E119" i="9"/>
  <c r="L66" i="12"/>
  <c r="I66" i="12"/>
  <c r="K66" i="12" s="1"/>
  <c r="D36" i="11"/>
  <c r="E36" i="11" s="1"/>
  <c r="E35" i="11"/>
  <c r="E133" i="9"/>
  <c r="E140" i="9" s="1"/>
  <c r="E118" i="9"/>
  <c r="E40" i="9"/>
  <c r="E50" i="9"/>
  <c r="E145" i="9"/>
  <c r="E151" i="9" s="1"/>
  <c r="E93" i="9"/>
  <c r="C50" i="9"/>
  <c r="C40" i="9"/>
  <c r="D39" i="9"/>
  <c r="D30" i="9"/>
  <c r="D177" i="14" l="1"/>
  <c r="D181" i="14" s="1"/>
  <c r="D198" i="14"/>
  <c r="J204" i="14"/>
  <c r="J71" i="14"/>
  <c r="J102" i="14" s="1"/>
  <c r="J138" i="14" s="1"/>
  <c r="D71" i="14"/>
  <c r="D102" i="14" s="1"/>
  <c r="C137" i="14"/>
  <c r="C138" i="14" s="1"/>
  <c r="E116" i="9"/>
  <c r="L67" i="12"/>
  <c r="I67" i="12"/>
  <c r="K67" i="12" s="1"/>
  <c r="D40" i="9"/>
  <c r="D50" i="9"/>
  <c r="C51" i="9"/>
  <c r="C61" i="9"/>
  <c r="E61" i="9"/>
  <c r="E51" i="9"/>
  <c r="D200" i="14" l="1"/>
  <c r="D203" i="14" s="1"/>
  <c r="E137" i="14"/>
  <c r="D137" i="14"/>
  <c r="D138" i="14" s="1"/>
  <c r="E126" i="9"/>
  <c r="L68" i="12"/>
  <c r="I68" i="12"/>
  <c r="K68" i="12" s="1"/>
  <c r="D51" i="9"/>
  <c r="D61" i="9"/>
  <c r="E63" i="9"/>
  <c r="E67" i="9" s="1"/>
  <c r="C63" i="9"/>
  <c r="C67" i="9" s="1"/>
  <c r="E202" i="14" l="1"/>
  <c r="E203" i="14" s="1"/>
  <c r="E73" i="14" s="1"/>
  <c r="D204" i="14"/>
  <c r="L69" i="12"/>
  <c r="I69" i="12"/>
  <c r="K69" i="12" s="1"/>
  <c r="E129" i="9"/>
  <c r="E153" i="9" s="1"/>
  <c r="E157" i="9" s="1"/>
  <c r="E176" i="9" s="1"/>
  <c r="E109" i="9"/>
  <c r="E68" i="9"/>
  <c r="D63" i="9"/>
  <c r="C109" i="9"/>
  <c r="C68" i="9"/>
  <c r="E204" i="14" l="1"/>
  <c r="E71" i="14"/>
  <c r="E102" i="14" s="1"/>
  <c r="E138" i="14" s="1"/>
  <c r="L70" i="12"/>
  <c r="I70" i="12"/>
  <c r="K70" i="12" s="1"/>
  <c r="D67" i="9"/>
  <c r="D129" i="9" s="1"/>
  <c r="D153" i="9" s="1"/>
  <c r="D157" i="9" s="1"/>
  <c r="D176" i="9" s="1"/>
  <c r="D179" i="9" s="1"/>
  <c r="D74" i="9"/>
  <c r="C106" i="9"/>
  <c r="C113" i="9" s="1"/>
  <c r="C114" i="9" s="1"/>
  <c r="D108" i="9"/>
  <c r="D68" i="9" l="1"/>
  <c r="L71" i="12"/>
  <c r="I71" i="12"/>
  <c r="K71" i="12" s="1"/>
  <c r="D73" i="9"/>
  <c r="D71" i="9" s="1"/>
  <c r="D91" i="9" s="1"/>
  <c r="E74" i="9"/>
  <c r="D109" i="9"/>
  <c r="D106" i="9" s="1"/>
  <c r="D113" i="9" s="1"/>
  <c r="E178" i="9"/>
  <c r="E179" i="9" s="1"/>
  <c r="E73" i="9" s="1"/>
  <c r="E108" i="9"/>
  <c r="E106" i="9" s="1"/>
  <c r="E113" i="9" s="1"/>
  <c r="L72" i="12" l="1"/>
  <c r="I72" i="12"/>
  <c r="K72" i="12" s="1"/>
  <c r="D180" i="9"/>
  <c r="D114" i="9"/>
  <c r="E180" i="9"/>
  <c r="E71" i="9"/>
  <c r="E91" i="9" s="1"/>
  <c r="E114" i="9" s="1"/>
  <c r="L73" i="12" l="1"/>
  <c r="I73" i="12"/>
  <c r="K73" i="12" s="1"/>
  <c r="E48" i="8"/>
  <c r="E50" i="8" s="1"/>
  <c r="C54" i="8"/>
  <c r="C37" i="8" s="1"/>
  <c r="E52" i="8"/>
  <c r="C52" i="8"/>
  <c r="J8" i="8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E9" i="8"/>
  <c r="E24" i="8" s="1"/>
  <c r="E34" i="8"/>
  <c r="C34" i="8"/>
  <c r="C24" i="8"/>
  <c r="C20" i="8"/>
  <c r="C28" i="8" s="1"/>
  <c r="E28" i="8" s="1"/>
  <c r="J11" i="8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J10" i="8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J12" i="7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J11" i="7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X11" i="7" s="1"/>
  <c r="Y11" i="7" s="1"/>
  <c r="Z11" i="7" s="1"/>
  <c r="AA11" i="7" s="1"/>
  <c r="AB11" i="7" s="1"/>
  <c r="AC11" i="7" s="1"/>
  <c r="AD11" i="7" s="1"/>
  <c r="AE11" i="7" s="1"/>
  <c r="AF11" i="7" s="1"/>
  <c r="AG11" i="7" s="1"/>
  <c r="AH11" i="7" s="1"/>
  <c r="AI11" i="7" s="1"/>
  <c r="AJ11" i="7" s="1"/>
  <c r="AK11" i="7" s="1"/>
  <c r="AL11" i="7" s="1"/>
  <c r="AM11" i="7" s="1"/>
  <c r="J10" i="7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AH10" i="7" s="1"/>
  <c r="AI10" i="7" s="1"/>
  <c r="AJ10" i="7" s="1"/>
  <c r="AK10" i="7" s="1"/>
  <c r="AL10" i="7" s="1"/>
  <c r="AM10" i="7" s="1"/>
  <c r="K8" i="7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G29" i="7"/>
  <c r="E29" i="7"/>
  <c r="C29" i="7"/>
  <c r="G19" i="7"/>
  <c r="E19" i="7"/>
  <c r="C19" i="7"/>
  <c r="G15" i="7"/>
  <c r="G30" i="7" s="1"/>
  <c r="E15" i="7"/>
  <c r="E30" i="7" s="1"/>
  <c r="C15" i="7"/>
  <c r="C17" i="7" s="1"/>
  <c r="G28" i="6"/>
  <c r="E28" i="6"/>
  <c r="C28" i="6"/>
  <c r="G14" i="6"/>
  <c r="E14" i="6"/>
  <c r="C14" i="6"/>
  <c r="G18" i="6"/>
  <c r="E18" i="6"/>
  <c r="C18" i="6"/>
  <c r="E181" i="5"/>
  <c r="E121" i="5"/>
  <c r="E117" i="5"/>
  <c r="E115" i="5" s="1"/>
  <c r="E113" i="5"/>
  <c r="E111" i="5"/>
  <c r="E103" i="5"/>
  <c r="E174" i="5" s="1"/>
  <c r="E177" i="5" s="1"/>
  <c r="E31" i="5"/>
  <c r="E51" i="5"/>
  <c r="E56" i="5"/>
  <c r="N42" i="4"/>
  <c r="N8" i="4"/>
  <c r="D181" i="5"/>
  <c r="D174" i="5"/>
  <c r="D161" i="5"/>
  <c r="D159" i="5"/>
  <c r="N94" i="4"/>
  <c r="N82" i="4"/>
  <c r="N81" i="4"/>
  <c r="N79" i="4"/>
  <c r="N101" i="4"/>
  <c r="E54" i="8" l="1"/>
  <c r="E37" i="8" s="1"/>
  <c r="E17" i="7"/>
  <c r="L74" i="12"/>
  <c r="I74" i="12"/>
  <c r="K74" i="12" s="1"/>
  <c r="E184" i="5"/>
  <c r="E101" i="5"/>
  <c r="E13" i="8"/>
  <c r="E20" i="8"/>
  <c r="C22" i="8"/>
  <c r="C26" i="8" s="1"/>
  <c r="C29" i="8" s="1"/>
  <c r="C35" i="8"/>
  <c r="E22" i="8"/>
  <c r="E26" i="8" s="1"/>
  <c r="E35" i="8"/>
  <c r="G17" i="7"/>
  <c r="G21" i="7" s="1"/>
  <c r="C21" i="7"/>
  <c r="E23" i="7"/>
  <c r="C23" i="7"/>
  <c r="E21" i="7"/>
  <c r="G23" i="7"/>
  <c r="C30" i="7"/>
  <c r="C16" i="6"/>
  <c r="C20" i="6" s="1"/>
  <c r="E29" i="6"/>
  <c r="G22" i="6"/>
  <c r="C29" i="6"/>
  <c r="C22" i="6"/>
  <c r="E22" i="6"/>
  <c r="E187" i="5"/>
  <c r="N7" i="4"/>
  <c r="D87" i="5"/>
  <c r="D56" i="5"/>
  <c r="D51" i="5"/>
  <c r="D31" i="5"/>
  <c r="C122" i="5"/>
  <c r="L75" i="12" l="1"/>
  <c r="I75" i="12"/>
  <c r="K75" i="12" s="1"/>
  <c r="C33" i="8"/>
  <c r="C30" i="8"/>
  <c r="E29" i="8"/>
  <c r="E33" i="8"/>
  <c r="E32" i="8" s="1"/>
  <c r="G28" i="7"/>
  <c r="G27" i="7" s="1"/>
  <c r="G24" i="7"/>
  <c r="E28" i="7"/>
  <c r="E27" i="7" s="1"/>
  <c r="E24" i="7"/>
  <c r="C24" i="7"/>
  <c r="C28" i="7"/>
  <c r="C27" i="7" s="1"/>
  <c r="E16" i="6"/>
  <c r="E20" i="6" s="1"/>
  <c r="G29" i="6"/>
  <c r="G16" i="6"/>
  <c r="G20" i="6" s="1"/>
  <c r="G27" i="6" s="1"/>
  <c r="G26" i="6" s="1"/>
  <c r="C27" i="6"/>
  <c r="C26" i="6" s="1"/>
  <c r="C23" i="6"/>
  <c r="C56" i="5"/>
  <c r="C51" i="5"/>
  <c r="C31" i="5"/>
  <c r="E6" i="5"/>
  <c r="D6" i="5"/>
  <c r="C6" i="5"/>
  <c r="C20" i="5" s="1"/>
  <c r="D184" i="5"/>
  <c r="D177" i="5"/>
  <c r="D158" i="5"/>
  <c r="D115" i="5"/>
  <c r="C115" i="5"/>
  <c r="D107" i="5"/>
  <c r="C107" i="5"/>
  <c r="D101" i="5"/>
  <c r="C101" i="5"/>
  <c r="D98" i="5"/>
  <c r="C98" i="5"/>
  <c r="D91" i="5"/>
  <c r="C91" i="5"/>
  <c r="C87" i="5"/>
  <c r="D191" i="5" s="1"/>
  <c r="N104" i="4"/>
  <c r="N97" i="4"/>
  <c r="N78" i="4"/>
  <c r="N35" i="4"/>
  <c r="N27" i="4"/>
  <c r="N21" i="4"/>
  <c r="N18" i="4"/>
  <c r="N11" i="4"/>
  <c r="M40" i="4"/>
  <c r="M35" i="4"/>
  <c r="M27" i="4"/>
  <c r="M21" i="4"/>
  <c r="M18" i="4"/>
  <c r="M11" i="4"/>
  <c r="M7" i="4"/>
  <c r="N111" i="4" s="1"/>
  <c r="G9" i="4"/>
  <c r="F9" i="4"/>
  <c r="E9" i="4"/>
  <c r="D9" i="4"/>
  <c r="G5" i="4"/>
  <c r="F5" i="4"/>
  <c r="E5" i="4"/>
  <c r="D5" i="4"/>
  <c r="G16" i="2"/>
  <c r="G3" i="2"/>
  <c r="G11" i="2"/>
  <c r="D19" i="2"/>
  <c r="D5" i="2"/>
  <c r="N66" i="4" l="1"/>
  <c r="C32" i="8"/>
  <c r="C39" i="8" s="1"/>
  <c r="N5" i="4"/>
  <c r="L76" i="12"/>
  <c r="I76" i="12"/>
  <c r="K76" i="12" s="1"/>
  <c r="G16" i="4"/>
  <c r="E16" i="4"/>
  <c r="E20" i="5"/>
  <c r="E49" i="5"/>
  <c r="G23" i="2"/>
  <c r="E30" i="8"/>
  <c r="E39" i="8"/>
  <c r="G33" i="7"/>
  <c r="G25" i="7"/>
  <c r="E25" i="7"/>
  <c r="E33" i="7"/>
  <c r="C25" i="7"/>
  <c r="C33" i="7"/>
  <c r="G23" i="6"/>
  <c r="G24" i="6" s="1"/>
  <c r="E23" i="6"/>
  <c r="E27" i="6"/>
  <c r="E26" i="6" s="1"/>
  <c r="C32" i="6"/>
  <c r="C24" i="6"/>
  <c r="N67" i="4"/>
  <c r="N73" i="4" s="1"/>
  <c r="D49" i="5"/>
  <c r="D20" i="5"/>
  <c r="M47" i="4"/>
  <c r="N84" i="4"/>
  <c r="N25" i="4"/>
  <c r="D164" i="5"/>
  <c r="C25" i="5"/>
  <c r="C36" i="5" s="1"/>
  <c r="C48" i="5" s="1"/>
  <c r="C50" i="5"/>
  <c r="C49" i="5"/>
  <c r="C38" i="5"/>
  <c r="D147" i="5"/>
  <c r="D146" i="5"/>
  <c r="C85" i="5"/>
  <c r="C105" i="5" s="1"/>
  <c r="D85" i="5"/>
  <c r="D105" i="5" s="1"/>
  <c r="M5" i="4"/>
  <c r="M25" i="4" s="1"/>
  <c r="M48" i="4" s="1"/>
  <c r="F16" i="4"/>
  <c r="D16" i="4"/>
  <c r="D18" i="4" s="1"/>
  <c r="E14" i="4" s="1"/>
  <c r="E18" i="4" s="1"/>
  <c r="F14" i="4" s="1"/>
  <c r="D3" i="2"/>
  <c r="D23" i="2" s="1"/>
  <c r="F18" i="4" l="1"/>
  <c r="G14" i="4" s="1"/>
  <c r="G18" i="4" s="1"/>
  <c r="C40" i="8"/>
  <c r="C41" i="8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C43" i="8"/>
  <c r="C45" i="8" s="1"/>
  <c r="L77" i="12"/>
  <c r="I77" i="12"/>
  <c r="K77" i="12" s="1"/>
  <c r="N86" i="4"/>
  <c r="G35" i="7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G37" i="7"/>
  <c r="G39" i="7" s="1"/>
  <c r="E37" i="7"/>
  <c r="E39" i="7" s="1"/>
  <c r="E35" i="7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M6" i="7" s="1"/>
  <c r="C37" i="7"/>
  <c r="C39" i="7" s="1"/>
  <c r="C35" i="7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E25" i="5"/>
  <c r="E36" i="5" s="1"/>
  <c r="E38" i="5"/>
  <c r="E50" i="5"/>
  <c r="C43" i="5"/>
  <c r="C44" i="5" s="1"/>
  <c r="E96" i="5"/>
  <c r="E112" i="5"/>
  <c r="E161" i="5" s="1"/>
  <c r="E99" i="5"/>
  <c r="E98" i="5" s="1"/>
  <c r="E147" i="5" s="1"/>
  <c r="E95" i="5"/>
  <c r="E94" i="5"/>
  <c r="E93" i="5"/>
  <c r="E92" i="5"/>
  <c r="E40" i="8"/>
  <c r="E43" i="8"/>
  <c r="E45" i="8" s="1"/>
  <c r="E41" i="8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G32" i="6"/>
  <c r="E24" i="6"/>
  <c r="E32" i="6"/>
  <c r="N90" i="4"/>
  <c r="D25" i="5"/>
  <c r="D36" i="5" s="1"/>
  <c r="D48" i="5" s="1"/>
  <c r="D50" i="5"/>
  <c r="D38" i="5"/>
  <c r="D153" i="5"/>
  <c r="C47" i="5"/>
  <c r="E7" i="8" l="1"/>
  <c r="L78" i="12"/>
  <c r="I78" i="12"/>
  <c r="K78" i="12" s="1"/>
  <c r="E43" i="5"/>
  <c r="E48" i="5"/>
  <c r="E47" i="5" s="1"/>
  <c r="E46" i="5" s="1"/>
  <c r="E91" i="5"/>
  <c r="E146" i="5" s="1"/>
  <c r="D47" i="5"/>
  <c r="D46" i="5" s="1"/>
  <c r="E109" i="5"/>
  <c r="E110" i="5"/>
  <c r="E159" i="5" s="1"/>
  <c r="E153" i="5"/>
  <c r="D43" i="5"/>
  <c r="C53" i="5"/>
  <c r="C46" i="5"/>
  <c r="L79" i="12" l="1"/>
  <c r="I79" i="12"/>
  <c r="K79" i="12" s="1"/>
  <c r="E44" i="5"/>
  <c r="E53" i="5"/>
  <c r="E158" i="5"/>
  <c r="E164" i="5" s="1"/>
  <c r="E107" i="5"/>
  <c r="C54" i="5"/>
  <c r="C64" i="5"/>
  <c r="D44" i="5"/>
  <c r="D53" i="5"/>
  <c r="L80" i="12" l="1"/>
  <c r="I80" i="12"/>
  <c r="K80" i="12" s="1"/>
  <c r="E54" i="5"/>
  <c r="E64" i="5"/>
  <c r="D64" i="5"/>
  <c r="D54" i="5"/>
  <c r="C75" i="5"/>
  <c r="C65" i="5"/>
  <c r="H8" i="1"/>
  <c r="M6" i="1"/>
  <c r="L6" i="1"/>
  <c r="C6" i="1"/>
  <c r="H4" i="1"/>
  <c r="N43" i="4"/>
  <c r="N40" i="4" s="1"/>
  <c r="N107" i="4"/>
  <c r="N109" i="4" s="1"/>
  <c r="N112" i="4" s="1"/>
  <c r="N113" i="4" s="1"/>
  <c r="L81" i="12" l="1"/>
  <c r="I81" i="12"/>
  <c r="K81" i="12" s="1"/>
  <c r="E65" i="5"/>
  <c r="E75" i="5"/>
  <c r="E77" i="5" s="1"/>
  <c r="E81" i="5" s="1"/>
  <c r="D65" i="5"/>
  <c r="D75" i="5"/>
  <c r="D77" i="5" s="1"/>
  <c r="D81" i="5" s="1"/>
  <c r="C77" i="5"/>
  <c r="C81" i="5" s="1"/>
  <c r="N47" i="4"/>
  <c r="N48" i="4" s="1"/>
  <c r="L82" i="12" l="1"/>
  <c r="I82" i="12"/>
  <c r="K82" i="12" s="1"/>
  <c r="E82" i="5"/>
  <c r="E142" i="5"/>
  <c r="E166" i="5" s="1"/>
  <c r="E170" i="5" s="1"/>
  <c r="E189" i="5" s="1"/>
  <c r="E123" i="5"/>
  <c r="C123" i="5"/>
  <c r="C82" i="5"/>
  <c r="D82" i="5"/>
  <c r="D123" i="5"/>
  <c r="D142" i="5"/>
  <c r="D166" i="5" s="1"/>
  <c r="D170" i="5" s="1"/>
  <c r="L83" i="12" l="1"/>
  <c r="I83" i="12"/>
  <c r="K83" i="12" s="1"/>
  <c r="C120" i="5"/>
  <c r="C127" i="5" s="1"/>
  <c r="C128" i="5" s="1"/>
  <c r="D122" i="5"/>
  <c r="E122" i="5" s="1"/>
  <c r="E120" i="5" s="1"/>
  <c r="E127" i="5" s="1"/>
  <c r="D187" i="5"/>
  <c r="D189" i="5" s="1"/>
  <c r="D192" i="5" s="1"/>
  <c r="L84" i="12" l="1"/>
  <c r="I84" i="12"/>
  <c r="K84" i="12" s="1"/>
  <c r="D120" i="5"/>
  <c r="D127" i="5" s="1"/>
  <c r="D128" i="5" s="1"/>
  <c r="D193" i="5"/>
  <c r="E191" i="5"/>
  <c r="E192" i="5" s="1"/>
  <c r="E87" i="5" s="1"/>
  <c r="L85" i="12" l="1"/>
  <c r="I85" i="12"/>
  <c r="K85" i="12" s="1"/>
  <c r="E193" i="5"/>
  <c r="E85" i="5"/>
  <c r="E105" i="5" s="1"/>
  <c r="E128" i="5" s="1"/>
  <c r="L86" i="12" l="1"/>
  <c r="I86" i="12"/>
  <c r="K86" i="12" s="1"/>
  <c r="L87" i="12" l="1"/>
  <c r="I87" i="12"/>
  <c r="K87" i="12" s="1"/>
  <c r="L88" i="12" l="1"/>
  <c r="I88" i="12"/>
  <c r="K88" i="12" s="1"/>
  <c r="L89" i="12" l="1"/>
  <c r="I89" i="12"/>
  <c r="K89" i="12" s="1"/>
  <c r="L90" i="12" l="1"/>
  <c r="I90" i="12"/>
  <c r="K90" i="12" s="1"/>
  <c r="L91" i="12" l="1"/>
  <c r="I91" i="12"/>
  <c r="K91" i="12" s="1"/>
  <c r="L92" i="12" l="1"/>
  <c r="I92" i="12"/>
  <c r="K92" i="12" s="1"/>
  <c r="L93" i="12" l="1"/>
  <c r="I93" i="12"/>
  <c r="K93" i="12" s="1"/>
  <c r="L94" i="12" l="1"/>
  <c r="I94" i="12"/>
  <c r="K94" i="12" s="1"/>
</calcChain>
</file>

<file path=xl/sharedStrings.xml><?xml version="1.0" encoding="utf-8"?>
<sst xmlns="http://schemas.openxmlformats.org/spreadsheetml/2006/main" count="1077" uniqueCount="319">
  <si>
    <t>DRE</t>
  </si>
  <si>
    <t>BP</t>
  </si>
  <si>
    <t>DFC</t>
  </si>
  <si>
    <t>Janeiro</t>
  </si>
  <si>
    <t>Fevereiro</t>
  </si>
  <si>
    <t>Receita</t>
  </si>
  <si>
    <t>Ativo</t>
  </si>
  <si>
    <t>Entradas</t>
  </si>
  <si>
    <t>Despesa</t>
  </si>
  <si>
    <t>Caixa</t>
  </si>
  <si>
    <t>Saídas</t>
  </si>
  <si>
    <t>Lucro</t>
  </si>
  <si>
    <t>Contas a Receber</t>
  </si>
  <si>
    <t>Geração de Caixa</t>
  </si>
  <si>
    <t>Passivo</t>
  </si>
  <si>
    <t>Contas a Pagar</t>
  </si>
  <si>
    <t>Ativo Circulante</t>
  </si>
  <si>
    <t>Caixa e Equivalentes de caixa</t>
  </si>
  <si>
    <t>Bancos</t>
  </si>
  <si>
    <t>Valores a receber</t>
  </si>
  <si>
    <t>Vales</t>
  </si>
  <si>
    <t>Contas Transitórias</t>
  </si>
  <si>
    <t>Verbas de Fornecedor</t>
  </si>
  <si>
    <t>Adiantamento a Fornecedor</t>
  </si>
  <si>
    <t>Estoque</t>
  </si>
  <si>
    <t>Mercadorias</t>
  </si>
  <si>
    <t>Ativo Não Circulante</t>
  </si>
  <si>
    <t>Investimento/Imobilizado</t>
  </si>
  <si>
    <t>Total do Ativo</t>
  </si>
  <si>
    <t>Passivo Circulante</t>
  </si>
  <si>
    <t>Fornecedores Mercadoria</t>
  </si>
  <si>
    <t>Outros Fornecedores</t>
  </si>
  <si>
    <t>Fornecedores Imobilizado</t>
  </si>
  <si>
    <t>Créditos de Clientes</t>
  </si>
  <si>
    <t>Passivo Não Circulante</t>
  </si>
  <si>
    <t>Empréstimos</t>
  </si>
  <si>
    <t>Patrimônio Líquido</t>
  </si>
  <si>
    <t>Lucros Acumulados</t>
  </si>
  <si>
    <t>Resultado Período</t>
  </si>
  <si>
    <t>Capital Social</t>
  </si>
  <si>
    <t>Empréstimos (prazo inferior a 12 meses)</t>
  </si>
  <si>
    <t>Empréstimos (prazo superior a 12 meses)</t>
  </si>
  <si>
    <t>Faturamento Bruto - R$</t>
  </si>
  <si>
    <t>FB</t>
  </si>
  <si>
    <t>Produto 1</t>
  </si>
  <si>
    <t>Produto 2</t>
  </si>
  <si>
    <t>Produto 3</t>
  </si>
  <si>
    <t>Impostos sobre Faturamento - R$</t>
  </si>
  <si>
    <t>I</t>
  </si>
  <si>
    <t>ISS</t>
  </si>
  <si>
    <t>PIS</t>
  </si>
  <si>
    <t>COFINS</t>
  </si>
  <si>
    <t>ICMS</t>
  </si>
  <si>
    <t>Deduções e Cancelamentos - R$</t>
  </si>
  <si>
    <t>C</t>
  </si>
  <si>
    <t>Cancelamentos</t>
  </si>
  <si>
    <t>Devoluções</t>
  </si>
  <si>
    <t>Deduções</t>
  </si>
  <si>
    <t>Faturamento Líquido - R$</t>
  </si>
  <si>
    <t xml:space="preserve">FL = (FB) - (I) - (C) </t>
  </si>
  <si>
    <t>CUSTOS (ou CUSTOS MERCADORIA VENDIDAS) - R$</t>
  </si>
  <si>
    <t>CMV</t>
  </si>
  <si>
    <t>Lucro Bruto - R$</t>
  </si>
  <si>
    <t>LB = (FL) - (CMV)</t>
  </si>
  <si>
    <t>Margem Bruta - %</t>
  </si>
  <si>
    <t>MB = (LB) / (FL)</t>
  </si>
  <si>
    <t>Despesas totais - R$</t>
  </si>
  <si>
    <t>OPEX = (DV) + (DF)</t>
  </si>
  <si>
    <t>Despesas Variáveis - R$</t>
  </si>
  <si>
    <t>DV</t>
  </si>
  <si>
    <t>Vendas e Comissões</t>
  </si>
  <si>
    <t>Logística</t>
  </si>
  <si>
    <t>Taxa de cartão</t>
  </si>
  <si>
    <t>Marketing</t>
  </si>
  <si>
    <t>bbb</t>
  </si>
  <si>
    <t>ccc</t>
  </si>
  <si>
    <t>Margem de Contribuição - R$</t>
  </si>
  <si>
    <t>MC = (LB) - (DV)</t>
  </si>
  <si>
    <t>Margem de Contribuição - %</t>
  </si>
  <si>
    <t>MC% = (MC) / (FL)</t>
  </si>
  <si>
    <t>Despesas Fixas - R$</t>
  </si>
  <si>
    <t>DF</t>
  </si>
  <si>
    <t>Aluguel</t>
  </si>
  <si>
    <t>Salarios pessoal ADM</t>
  </si>
  <si>
    <t>Encargos</t>
  </si>
  <si>
    <t>Utilidades</t>
  </si>
  <si>
    <t>Taxas</t>
  </si>
  <si>
    <t>Consumo</t>
  </si>
  <si>
    <t>Resultado Operacional (EBITDA) - R$</t>
  </si>
  <si>
    <t>EBITDA = (LB) - (OPEX) 
ou 
EBITDA = (MC) - (DF)</t>
  </si>
  <si>
    <t>Margem EBITDA %</t>
  </si>
  <si>
    <t>EBITDA% = (EBITDA) / (FL)</t>
  </si>
  <si>
    <t>Resultado Financeiro - R$</t>
  </si>
  <si>
    <t>RF</t>
  </si>
  <si>
    <t>Despesas Financeiras</t>
  </si>
  <si>
    <t>Receitas Financeiras</t>
  </si>
  <si>
    <t>Depreciação e Amortização - R$</t>
  </si>
  <si>
    <t>DA</t>
  </si>
  <si>
    <t>Depreciação - R$</t>
  </si>
  <si>
    <t>Amortização - R$</t>
  </si>
  <si>
    <t>Lucro antes de Imposto de Renda - R$</t>
  </si>
  <si>
    <t>LAIR = (EBITDA) - (RF) - (DA)</t>
  </si>
  <si>
    <t>Impostos sobre Lucro - R$</t>
  </si>
  <si>
    <t>IL</t>
  </si>
  <si>
    <t>CSLL</t>
  </si>
  <si>
    <t>IRPJ</t>
  </si>
  <si>
    <t>Lucro Líquido - R$</t>
  </si>
  <si>
    <t>LL = (LAIR) - (IL)</t>
  </si>
  <si>
    <t xml:space="preserve">Lucro Líquido % </t>
  </si>
  <si>
    <t>LL% = (LL) / (FL)</t>
  </si>
  <si>
    <t>Total do Passivo + Patrimonio Líquido</t>
  </si>
  <si>
    <t>Dividendos Pagos no Exercício</t>
  </si>
  <si>
    <t>DFC - Método Direto</t>
  </si>
  <si>
    <t>Cartão de Crédito</t>
  </si>
  <si>
    <t>Boletos</t>
  </si>
  <si>
    <t>Salários</t>
  </si>
  <si>
    <t>Fornecedores</t>
  </si>
  <si>
    <t>Valores Recebidos ou a Receber</t>
  </si>
  <si>
    <t>Valores Pagos ou a Pagar</t>
  </si>
  <si>
    <t>Caixa no Início do Período</t>
  </si>
  <si>
    <t>Geração de Caixa do Período</t>
  </si>
  <si>
    <t>Caixa no Final do Período</t>
  </si>
  <si>
    <t>Mês 1</t>
  </si>
  <si>
    <t>Mês 2</t>
  </si>
  <si>
    <t>Mês 3</t>
  </si>
  <si>
    <t>Mês 4</t>
  </si>
  <si>
    <t>DFC - Método Indireto</t>
  </si>
  <si>
    <t>FLUXO DE CAIXA</t>
  </si>
  <si>
    <t>lucro ou perda</t>
  </si>
  <si>
    <t>Fluxo de Caixa das Atividades Operacionais</t>
  </si>
  <si>
    <t>(Aumento)/diminuição nos Ativos Operacionais</t>
  </si>
  <si>
    <t>contas a receber</t>
  </si>
  <si>
    <t>estoques</t>
  </si>
  <si>
    <t>taxas a recuperar</t>
  </si>
  <si>
    <t>despesas antecipadas</t>
  </si>
  <si>
    <t>adiantamentos a fornecedores</t>
  </si>
  <si>
    <t xml:space="preserve">depósitos judiciais </t>
  </si>
  <si>
    <t xml:space="preserve">outros ativos </t>
  </si>
  <si>
    <t>Total Aumento/(diminuição) nos Ativos Operacionais</t>
  </si>
  <si>
    <t>Aumento/(diminuição) nos Passivo Operacional</t>
  </si>
  <si>
    <t>fornecedores</t>
  </si>
  <si>
    <t xml:space="preserve">pessoal e encargos sociais </t>
  </si>
  <si>
    <t>taxas</t>
  </si>
  <si>
    <t>contas a pagar</t>
  </si>
  <si>
    <t>outras obrigações</t>
  </si>
  <si>
    <t xml:space="preserve">perdas em investimentos </t>
  </si>
  <si>
    <t>Total Aumento/(diminuição) nos Passivo Operacionais</t>
  </si>
  <si>
    <t>Caixa gerado pelas Atividades Operacionais</t>
  </si>
  <si>
    <t>Caixa Líquido gerado pelas atividades operacionais</t>
  </si>
  <si>
    <t>Fluxo de Caixa das Atividades de Investimento</t>
  </si>
  <si>
    <t xml:space="preserve">investimentos </t>
  </si>
  <si>
    <t xml:space="preserve">compras de maquinas e equipamentos </t>
  </si>
  <si>
    <t>intangíveis</t>
  </si>
  <si>
    <t>Total caixa utilizado nas atividades de investimento</t>
  </si>
  <si>
    <t>Fluxo de Caixa das atividades de Financiamento</t>
  </si>
  <si>
    <t>aumento de capital / perdas em moeda</t>
  </si>
  <si>
    <t>dividendos distribuídos</t>
  </si>
  <si>
    <t>partes relacionadas ( ativo)</t>
  </si>
  <si>
    <t>partes relacionadas ( passivo)</t>
  </si>
  <si>
    <t xml:space="preserve">empréstimos </t>
  </si>
  <si>
    <t>reavaliação de reservas</t>
  </si>
  <si>
    <t>OUTROS</t>
  </si>
  <si>
    <t>Total caixa utilizado nas atividades de financiamento</t>
  </si>
  <si>
    <t>Aumento de Caixa e equivalentes de Caixa</t>
  </si>
  <si>
    <t>Caixa e equivalentes no Inicio do Período</t>
  </si>
  <si>
    <t>Caixa e equivalentes no Final do Período</t>
  </si>
  <si>
    <t xml:space="preserve">    vs CHECK </t>
  </si>
  <si>
    <t>IRPJ/CSLL pagos no Ano (períodos anteriores)</t>
  </si>
  <si>
    <t>Ticket Médio</t>
  </si>
  <si>
    <t>Conversão</t>
  </si>
  <si>
    <t># de visitas</t>
  </si>
  <si>
    <t>Transações</t>
  </si>
  <si>
    <t>Taxa de Cartão de Crédito</t>
  </si>
  <si>
    <t>Devoluções / mês</t>
  </si>
  <si>
    <t>Markup Médio</t>
  </si>
  <si>
    <t>Comissão de Vendas</t>
  </si>
  <si>
    <t>Frete</t>
  </si>
  <si>
    <t>Frete / entrega</t>
  </si>
  <si>
    <t>Preço de Venda</t>
  </si>
  <si>
    <t>Deve ser calculado como o CAC, no caso de ser um cliente. Ou no caso de vendas de produtos, pode-se dividir a quantidade de vendas de produtos pelo valor total gasto em marketing</t>
  </si>
  <si>
    <t>Margem Unitária - R$</t>
  </si>
  <si>
    <t>Volume de Venda / dia</t>
  </si>
  <si>
    <t>Margem de Contribuição / dia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</si>
  <si>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</si>
  <si>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</si>
  <si>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</si>
  <si>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</si>
  <si>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</si>
  <si>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</si>
  <si>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</si>
  <si>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</si>
  <si>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</si>
  <si>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</si>
  <si>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</si>
  <si>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</si>
  <si>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</si>
  <si>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</si>
  <si>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</si>
  <si>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</si>
  <si>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</si>
  <si>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</si>
  <si>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</si>
  <si>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</si>
  <si>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</si>
  <si>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</si>
  <si>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</si>
  <si>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</si>
  <si>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</si>
  <si>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</si>
  <si>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</si>
  <si>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</si>
  <si>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</si>
  <si>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</si>
  <si>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Custo Fixo Mensal</t>
  </si>
  <si>
    <t># de Itens Produto 1</t>
  </si>
  <si>
    <t># de Itens Produto 2</t>
  </si>
  <si>
    <t># de Itens Produto 3</t>
  </si>
  <si>
    <t>Volume de Equilíbrio</t>
  </si>
  <si>
    <t>Dias de Venda para Equilíbrio</t>
  </si>
  <si>
    <t>Produto 1 - Preço 1</t>
  </si>
  <si>
    <t>Produto 1 - Preço 2</t>
  </si>
  <si>
    <t>Desconto ou redução de Preço</t>
  </si>
  <si>
    <t>Qual crescimento de Volume mínimo para valer a pena?</t>
  </si>
  <si>
    <t>Markup</t>
  </si>
  <si>
    <t># de Itens Produto 1 - Preço 1</t>
  </si>
  <si>
    <t># de Itens Produto 2 - Preço 2</t>
  </si>
  <si>
    <t>Outros</t>
  </si>
  <si>
    <t>Redução Custo Fixo</t>
  </si>
  <si>
    <t>Custo Variável</t>
  </si>
  <si>
    <t>Custo Variável Adicional Unitário</t>
  </si>
  <si>
    <t>Venda / Mês</t>
  </si>
  <si>
    <t>Capital de Giro (Simplificado)</t>
  </si>
  <si>
    <t>Necessidade de Capital de Giro</t>
  </si>
  <si>
    <t>Giro Financeiro em dias</t>
  </si>
  <si>
    <t>Para utilizar a planilha basta fazer o download normalmente.</t>
  </si>
  <si>
    <t>Parabéns! Você acaba de acessar a planilha de referência do Fundamentos em Finanças. 
Utilize-a e comece hoje mesmo a praticar e aplicar todo o conteúdo das aulas.
Bons estudos!</t>
  </si>
  <si>
    <t>Total do Passivo + Patrimônio Líquido</t>
  </si>
  <si>
    <t>"CAC"</t>
  </si>
  <si>
    <t>Para efeito de evolução de longo prazo, sugerimos sempre a comparação do Mês atual versus o mesmo Mês no ano anterior. Isso indica evolução do negócio como um todo.</t>
  </si>
  <si>
    <t>Para efeito de evolução de curto prazo, sugerimos sempre a comparação do Mês atual versus o Mês anterior. Isso indica variações na cadência</t>
  </si>
  <si>
    <t>Repetir a mesma análise realizada para o Mês, entretanto avaliar a comparação entre o Orçamento ou Plano para o Ano, versus a Projeção (Forecast) do Ano, que é calculada sempre como:
o YTD + o Plano para os meses futuros</t>
  </si>
  <si>
    <t>Repetir a mesma análise realizada para o Mês, entretanto avaliar o que chamamos de Year to Date, que é o resultado acumulado do Ano até o mês atual</t>
  </si>
  <si>
    <t>Variação</t>
  </si>
  <si>
    <t>Ano -1</t>
  </si>
  <si>
    <t>Mês -1</t>
  </si>
  <si>
    <t>Projeção</t>
  </si>
  <si>
    <t>Orçamento / Plano</t>
  </si>
  <si>
    <t>Realizado YTD</t>
  </si>
  <si>
    <t>Planejado YTD</t>
  </si>
  <si>
    <t>Realizado</t>
  </si>
  <si>
    <t>Planejado</t>
  </si>
  <si>
    <t>Valor Residual</t>
  </si>
  <si>
    <t>Parcela</t>
  </si>
  <si>
    <t>Principal</t>
  </si>
  <si>
    <t>Juros</t>
  </si>
  <si>
    <t>Mes</t>
  </si>
  <si>
    <t>Valuation</t>
  </si>
  <si>
    <t>Participação Equity</t>
  </si>
  <si>
    <t>Pagamento Principal</t>
  </si>
  <si>
    <t>Lucro Líquido</t>
  </si>
  <si>
    <t>IRPJ e CSLL</t>
  </si>
  <si>
    <t>EBT (R$ k)</t>
  </si>
  <si>
    <t>Juros pagos por ano (R$ k)</t>
  </si>
  <si>
    <t>CDI</t>
  </si>
  <si>
    <t>N/A</t>
  </si>
  <si>
    <t>Spread médio dívida versus CDI (%)</t>
  </si>
  <si>
    <t>Prazo</t>
  </si>
  <si>
    <t>Multiplo Transação</t>
  </si>
  <si>
    <t>Dívida Bancária ou Capital Aportado (R$ k)</t>
  </si>
  <si>
    <t>Ebitda (R$ k)</t>
  </si>
  <si>
    <t>Ebitda (%)</t>
  </si>
  <si>
    <t>Receita Líquida (R$ k)</t>
  </si>
  <si>
    <t>Fator Crescimento vs Dívida</t>
  </si>
  <si>
    <t>Com PE</t>
  </si>
  <si>
    <t>Com Dívida</t>
  </si>
  <si>
    <t>Sem dívida</t>
  </si>
  <si>
    <t>Momento 1</t>
  </si>
  <si>
    <t>Momento Zero</t>
  </si>
  <si>
    <t>VISÃO COMPANHIA</t>
  </si>
  <si>
    <t>Relação PMT / EBITDA Mensal</t>
  </si>
  <si>
    <t>Alavancagem</t>
  </si>
  <si>
    <t>Saldo vs Amortização Principal</t>
  </si>
  <si>
    <t>Custo Dívida (ano)</t>
  </si>
  <si>
    <t>Dívida Bancária (R$ k)</t>
  </si>
  <si>
    <t>Cenário 8</t>
  </si>
  <si>
    <t>Cenário 7</t>
  </si>
  <si>
    <t>Cenário 6</t>
  </si>
  <si>
    <t>Cenário 5</t>
  </si>
  <si>
    <t>Cenário 4</t>
  </si>
  <si>
    <t>Cenário 3</t>
  </si>
  <si>
    <t>Cenário 2</t>
  </si>
  <si>
    <t>Cenário 1</t>
  </si>
  <si>
    <t xml:space="preserve">Descontos </t>
  </si>
  <si>
    <t>Impostos a recuperar</t>
  </si>
  <si>
    <t>Partes Relacionadas</t>
  </si>
  <si>
    <t>Despesas Antecipadas</t>
  </si>
  <si>
    <t>Contas a receber</t>
  </si>
  <si>
    <t>Impostos Diferidos</t>
  </si>
  <si>
    <t>Depósitos Judiciais</t>
  </si>
  <si>
    <t>Instrumentos Financeiros</t>
  </si>
  <si>
    <t>Outros Ativos</t>
  </si>
  <si>
    <t>Investimento</t>
  </si>
  <si>
    <t>Propriedades e Equipamentos</t>
  </si>
  <si>
    <t>Intangíveis</t>
  </si>
  <si>
    <t>Contas a Pagar - Fornecedores</t>
  </si>
  <si>
    <t>Impostos a Pagar</t>
  </si>
  <si>
    <t>Obrigações Trabalhistas</t>
  </si>
  <si>
    <t>Receita Diferida</t>
  </si>
  <si>
    <t>Transferências a Terceiros</t>
  </si>
  <si>
    <t>Aluguéis</t>
  </si>
  <si>
    <t>Provisão para Contingências</t>
  </si>
  <si>
    <t>Impostos diferidos</t>
  </si>
  <si>
    <t>Reserva de Capital</t>
  </si>
  <si>
    <t>Outras receitas</t>
  </si>
  <si>
    <t>Transações de Capital</t>
  </si>
  <si>
    <t>Acoes em tesouraria</t>
  </si>
  <si>
    <t>Lucro do Período</t>
  </si>
  <si>
    <t>Via Varejo</t>
  </si>
  <si>
    <t>Magalu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</si>
</sst>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R$&quot;\ #,##0"/>
    <numFmt numFmtId="166" formatCode="0.0%"/>
    <numFmt numFmtId="167" formatCode="_-[$€-2]* #,##0.00_-;\-[$€-2]* #,##0.00_-;_-[$€-2]* \-??_-"/>
    <numFmt numFmtId="168" formatCode="_-&quot;R$&quot;\ * #,##0_-;\-&quot;R$&quot;\ * #,##0_-;_-&quot;R$&quot;\ * &quot;-&quot;??_-;_-@_-"/>
    <numFmt numFmtId="169" formatCode="0.0"/>
    <numFmt numFmtId="170" formatCode="_-* #,##0_-;\-* #,##0_-;_-* &quot;-&quot;??_-;_-@_-"/>
    <numFmt numFmtId="171" formatCode="_(&quot;R$&quot;* #,##0_);_(&quot;R$&quot;* \(#,##0\);_(&quot;R$&quot;* &quot;-&quot;??_);_(@_)"/>
    <numFmt numFmtId="172" formatCode="_(&quot;R$&quot;* #,##0.00_);_(&quot;R$&quot;* \(#,##0.00\);_(&quot;R$&quot;* &quot;-&quot;??_);_(@_)"/>
    <numFmt numFmtId="173" formatCode="_(* #,##0.00_);_(* \(#,##0.00\);_(* &quot;-&quot;??_);_(@_)"/>
    <numFmt numFmtId="174" formatCode="_(* #,##0_);_(* \(#,##0\);_(* &quot;-&quot;??_);_(@_)"/>
    <numFmt numFmtId="175" formatCode="0.00\x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CA323C"/>
      <name val="Calibri"/>
      <family val="2"/>
      <scheme val="minor"/>
    </font>
    <font>
      <sz val="12"/>
      <color rgb="FFCA323C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A32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rgb="FFCCCCCC"/>
      </bottom>
      <diagonal/>
    </border>
    <border>
      <left/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indexed="64"/>
      </left>
      <right/>
      <top style="thin">
        <color rgb="FFCCCCCC"/>
      </top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/>
      <top style="thin">
        <color theme="0" tint="-0.14996795556505021"/>
      </top>
      <bottom style="thin">
        <color rgb="FFCCCCCC"/>
      </bottom>
      <diagonal/>
    </border>
    <border>
      <left/>
      <right style="thin">
        <color indexed="64"/>
      </right>
      <top style="thin">
        <color rgb="FFCCCCCC"/>
      </top>
      <bottom/>
      <diagonal/>
    </border>
    <border>
      <left/>
      <right style="thin">
        <color indexed="64"/>
      </right>
      <top style="thin">
        <color theme="0" tint="-0.14996795556505021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theme="0" tint="-0.14996795556505021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6" fillId="0" borderId="0"/>
    <xf numFmtId="0" fontId="1" fillId="0" borderId="0"/>
    <xf numFmtId="0" fontId="6" fillId="0" borderId="0"/>
    <xf numFmtId="167" fontId="6" fillId="0" borderId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46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44" fontId="0" fillId="0" borderId="0" xfId="0" applyNumberFormat="1"/>
    <xf numFmtId="9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quotePrefix="1" applyNumberFormat="1" applyAlignment="1">
      <alignment horizontal="center"/>
    </xf>
    <xf numFmtId="166" fontId="0" fillId="0" borderId="0" xfId="2" applyNumberFormat="1" applyFont="1" applyAlignment="1">
      <alignment horizontal="right"/>
    </xf>
    <xf numFmtId="166" fontId="0" fillId="0" borderId="0" xfId="2" quotePrefix="1" applyNumberFormat="1" applyFont="1" applyAlignment="1">
      <alignment horizontal="right"/>
    </xf>
    <xf numFmtId="169" fontId="0" fillId="0" borderId="0" xfId="1" applyNumberFormat="1" applyFont="1" applyAlignment="1">
      <alignment horizontal="center"/>
    </xf>
    <xf numFmtId="44" fontId="2" fillId="0" borderId="0" xfId="0" quotePrefix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0" fontId="2" fillId="0" borderId="3" xfId="0" applyFont="1" applyBorder="1"/>
    <xf numFmtId="0" fontId="0" fillId="0" borderId="0" xfId="0" applyBorder="1"/>
    <xf numFmtId="0" fontId="0" fillId="0" borderId="4" xfId="0" applyBorder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165" fontId="0" fillId="3" borderId="0" xfId="1" applyNumberFormat="1" applyFont="1" applyFill="1"/>
    <xf numFmtId="165" fontId="0" fillId="3" borderId="0" xfId="0" applyNumberFormat="1" applyFill="1"/>
    <xf numFmtId="166" fontId="0" fillId="3" borderId="0" xfId="2" quotePrefix="1" applyNumberFormat="1" applyFont="1" applyFill="1" applyAlignment="1">
      <alignment horizontal="right"/>
    </xf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3" borderId="0" xfId="0" applyFont="1" applyFill="1" applyBorder="1"/>
    <xf numFmtId="0" fontId="0" fillId="3" borderId="0" xfId="0" applyFill="1" applyBorder="1"/>
    <xf numFmtId="0" fontId="0" fillId="3" borderId="2" xfId="0" applyFill="1" applyBorder="1"/>
    <xf numFmtId="0" fontId="2" fillId="4" borderId="0" xfId="0" applyFont="1" applyFill="1" applyBorder="1" applyAlignment="1">
      <alignment horizontal="center"/>
    </xf>
    <xf numFmtId="0" fontId="11" fillId="2" borderId="5" xfId="0" applyFont="1" applyFill="1" applyBorder="1"/>
    <xf numFmtId="0" fontId="0" fillId="3" borderId="7" xfId="0" applyFill="1" applyBorder="1"/>
    <xf numFmtId="0" fontId="2" fillId="3" borderId="7" xfId="0" applyFont="1" applyFill="1" applyBorder="1"/>
    <xf numFmtId="0" fontId="0" fillId="3" borderId="8" xfId="0" applyFill="1" applyBorder="1"/>
    <xf numFmtId="0" fontId="2" fillId="3" borderId="9" xfId="0" applyFont="1" applyFill="1" applyBorder="1"/>
    <xf numFmtId="0" fontId="0" fillId="3" borderId="10" xfId="0" applyFill="1" applyBorder="1"/>
    <xf numFmtId="0" fontId="0" fillId="3" borderId="7" xfId="0" applyFill="1" applyBorder="1" applyAlignment="1">
      <alignment horizontal="left" wrapText="1" indent="1"/>
    </xf>
    <xf numFmtId="0" fontId="12" fillId="2" borderId="1" xfId="0" applyFont="1" applyFill="1" applyBorder="1"/>
    <xf numFmtId="0" fontId="12" fillId="2" borderId="6" xfId="0" applyFont="1" applyFill="1" applyBorder="1"/>
    <xf numFmtId="0" fontId="0" fillId="3" borderId="7" xfId="0" applyFill="1" applyBorder="1" applyAlignment="1">
      <alignment wrapText="1"/>
    </xf>
    <xf numFmtId="0" fontId="0" fillId="3" borderId="7" xfId="0" applyFill="1" applyBorder="1" applyAlignment="1">
      <alignment horizontal="left" wrapText="1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left" wrapText="1" indent="2"/>
    </xf>
    <xf numFmtId="166" fontId="0" fillId="3" borderId="8" xfId="2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left" wrapText="1" indent="1"/>
    </xf>
    <xf numFmtId="164" fontId="0" fillId="4" borderId="8" xfId="0" applyNumberFormat="1" applyFill="1" applyBorder="1" applyAlignment="1">
      <alignment horizontal="center"/>
    </xf>
    <xf numFmtId="0" fontId="0" fillId="4" borderId="7" xfId="0" applyFill="1" applyBorder="1" applyAlignment="1">
      <alignment wrapText="1"/>
    </xf>
    <xf numFmtId="0" fontId="0" fillId="4" borderId="7" xfId="0" applyFill="1" applyBorder="1" applyAlignment="1">
      <alignment horizontal="left" wrapText="1"/>
    </xf>
    <xf numFmtId="0" fontId="0" fillId="4" borderId="8" xfId="0" applyFill="1" applyBorder="1" applyAlignment="1">
      <alignment horizontal="center"/>
    </xf>
    <xf numFmtId="0" fontId="0" fillId="4" borderId="7" xfId="0" applyFill="1" applyBorder="1" applyAlignment="1">
      <alignment horizontal="left" wrapText="1" indent="2"/>
    </xf>
    <xf numFmtId="0" fontId="0" fillId="4" borderId="9" xfId="0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7" xfId="0" applyFont="1" applyFill="1" applyBorder="1" applyAlignment="1">
      <alignment horizontal="left" wrapText="1"/>
    </xf>
    <xf numFmtId="0" fontId="0" fillId="3" borderId="7" xfId="0" applyFont="1" applyFill="1" applyBorder="1" applyAlignment="1">
      <alignment horizontal="left" wrapText="1" indent="1"/>
    </xf>
    <xf numFmtId="0" fontId="0" fillId="3" borderId="7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164" fontId="11" fillId="3" borderId="8" xfId="0" applyNumberFormat="1" applyFont="1" applyFill="1" applyBorder="1" applyAlignment="1">
      <alignment horizontal="center"/>
    </xf>
    <xf numFmtId="0" fontId="0" fillId="3" borderId="5" xfId="0" applyFill="1" applyBorder="1"/>
    <xf numFmtId="0" fontId="0" fillId="3" borderId="0" xfId="0" applyFill="1" applyBorder="1" applyAlignment="1">
      <alignment wrapText="1"/>
    </xf>
    <xf numFmtId="0" fontId="0" fillId="3" borderId="0" xfId="0" applyFill="1" applyBorder="1" applyAlignment="1">
      <alignment horizontal="center"/>
    </xf>
    <xf numFmtId="166" fontId="0" fillId="3" borderId="0" xfId="2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/>
    <xf numFmtId="164" fontId="0" fillId="4" borderId="0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 indent="1"/>
    </xf>
    <xf numFmtId="165" fontId="11" fillId="2" borderId="6" xfId="1" applyNumberFormat="1" applyFont="1" applyFill="1" applyBorder="1"/>
    <xf numFmtId="0" fontId="0" fillId="4" borderId="7" xfId="0" applyFill="1" applyBorder="1"/>
    <xf numFmtId="165" fontId="0" fillId="4" borderId="8" xfId="1" applyNumberFormat="1" applyFont="1" applyFill="1" applyBorder="1"/>
    <xf numFmtId="0" fontId="0" fillId="4" borderId="8" xfId="0" applyFill="1" applyBorder="1"/>
    <xf numFmtId="0" fontId="0" fillId="4" borderId="9" xfId="0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0" fillId="3" borderId="7" xfId="0" applyFill="1" applyBorder="1" applyAlignment="1">
      <alignment horizontal="left"/>
    </xf>
    <xf numFmtId="165" fontId="8" fillId="5" borderId="0" xfId="1" applyNumberFormat="1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/>
    </xf>
    <xf numFmtId="0" fontId="8" fillId="3" borderId="0" xfId="0" applyFont="1" applyFill="1" applyAlignment="1"/>
    <xf numFmtId="0" fontId="0" fillId="3" borderId="5" xfId="0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center" wrapText="1"/>
    </xf>
    <xf numFmtId="44" fontId="0" fillId="3" borderId="0" xfId="0" applyNumberFormat="1" applyFill="1" applyBorder="1" applyAlignment="1">
      <alignment horizontal="center"/>
    </xf>
    <xf numFmtId="44" fontId="0" fillId="3" borderId="8" xfId="0" applyNumberFormat="1" applyFill="1" applyBorder="1" applyAlignment="1">
      <alignment horizontal="center"/>
    </xf>
    <xf numFmtId="166" fontId="0" fillId="3" borderId="0" xfId="2" quotePrefix="1" applyNumberFormat="1" applyFont="1" applyFill="1" applyBorder="1" applyAlignment="1">
      <alignment horizontal="right"/>
    </xf>
    <xf numFmtId="166" fontId="0" fillId="3" borderId="8" xfId="2" quotePrefix="1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165" fontId="0" fillId="3" borderId="0" xfId="1" applyNumberFormat="1" applyFont="1" applyFill="1" applyBorder="1"/>
    <xf numFmtId="165" fontId="0" fillId="3" borderId="8" xfId="0" applyNumberFormat="1" applyFill="1" applyBorder="1"/>
    <xf numFmtId="165" fontId="0" fillId="3" borderId="0" xfId="0" applyNumberFormat="1" applyFill="1" applyBorder="1"/>
    <xf numFmtId="165" fontId="0" fillId="3" borderId="2" xfId="0" applyNumberFormat="1" applyFill="1" applyBorder="1"/>
    <xf numFmtId="165" fontId="0" fillId="3" borderId="10" xfId="0" applyNumberFormat="1" applyFill="1" applyBorder="1"/>
    <xf numFmtId="0" fontId="16" fillId="2" borderId="11" xfId="3" applyFont="1" applyFill="1" applyBorder="1" applyAlignment="1">
      <alignment wrapText="1"/>
    </xf>
    <xf numFmtId="168" fontId="0" fillId="3" borderId="0" xfId="0" applyNumberFormat="1" applyFill="1" applyBorder="1"/>
    <xf numFmtId="168" fontId="0" fillId="3" borderId="8" xfId="0" applyNumberFormat="1" applyFill="1" applyBorder="1"/>
    <xf numFmtId="0" fontId="5" fillId="3" borderId="7" xfId="5" applyFont="1" applyFill="1" applyBorder="1" applyAlignment="1" applyProtection="1">
      <alignment wrapText="1"/>
      <protection locked="0"/>
    </xf>
    <xf numFmtId="0" fontId="7" fillId="3" borderId="9" xfId="5" applyFont="1" applyFill="1" applyBorder="1" applyAlignment="1">
      <alignment horizontal="right" wrapText="1"/>
    </xf>
    <xf numFmtId="0" fontId="11" fillId="2" borderId="0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left" wrapText="1"/>
    </xf>
    <xf numFmtId="44" fontId="11" fillId="6" borderId="2" xfId="0" quotePrefix="1" applyNumberFormat="1" applyFont="1" applyFill="1" applyBorder="1" applyAlignment="1">
      <alignment horizontal="center"/>
    </xf>
    <xf numFmtId="44" fontId="11" fillId="6" borderId="10" xfId="0" quotePrefix="1" applyNumberFormat="1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right"/>
    </xf>
    <xf numFmtId="165" fontId="0" fillId="3" borderId="10" xfId="0" applyNumberFormat="1" applyFill="1" applyBorder="1" applyAlignment="1">
      <alignment horizontal="right"/>
    </xf>
    <xf numFmtId="170" fontId="0" fillId="3" borderId="0" xfId="1" applyNumberFormat="1" applyFont="1" applyFill="1" applyBorder="1" applyAlignment="1">
      <alignment horizontal="center"/>
    </xf>
    <xf numFmtId="170" fontId="0" fillId="3" borderId="8" xfId="1" applyNumberFormat="1" applyFont="1" applyFill="1" applyBorder="1" applyAlignment="1">
      <alignment horizontal="center"/>
    </xf>
    <xf numFmtId="168" fontId="0" fillId="3" borderId="2" xfId="0" applyNumberFormat="1" applyFill="1" applyBorder="1" applyAlignment="1">
      <alignment horizontal="center"/>
    </xf>
    <xf numFmtId="168" fontId="0" fillId="3" borderId="10" xfId="0" applyNumberForma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12" xfId="0" applyFont="1" applyBorder="1"/>
    <xf numFmtId="9" fontId="2" fillId="0" borderId="13" xfId="0" applyNumberFormat="1" applyFont="1" applyBorder="1"/>
    <xf numFmtId="0" fontId="2" fillId="0" borderId="14" xfId="0" applyFont="1" applyBorder="1" applyAlignment="1">
      <alignment wrapText="1"/>
    </xf>
    <xf numFmtId="10" fontId="2" fillId="0" borderId="15" xfId="2" applyNumberFormat="1" applyFont="1" applyBorder="1"/>
    <xf numFmtId="0" fontId="2" fillId="0" borderId="7" xfId="0" applyFont="1" applyBorder="1" applyAlignment="1">
      <alignment wrapText="1"/>
    </xf>
    <xf numFmtId="10" fontId="2" fillId="0" borderId="8" xfId="2" applyNumberFormat="1" applyFont="1" applyBorder="1"/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left" wrapText="1"/>
    </xf>
    <xf numFmtId="44" fontId="0" fillId="0" borderId="0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166" fontId="0" fillId="0" borderId="0" xfId="2" quotePrefix="1" applyNumberFormat="1" applyFont="1" applyBorder="1" applyAlignment="1">
      <alignment horizontal="right"/>
    </xf>
    <xf numFmtId="166" fontId="0" fillId="0" borderId="8" xfId="2" quotePrefix="1" applyNumberFormat="1" applyFont="1" applyBorder="1" applyAlignment="1">
      <alignment horizontal="right"/>
    </xf>
    <xf numFmtId="44" fontId="0" fillId="0" borderId="0" xfId="0" applyNumberFormat="1" applyBorder="1"/>
    <xf numFmtId="44" fontId="0" fillId="0" borderId="8" xfId="0" applyNumberFormat="1" applyBorder="1"/>
    <xf numFmtId="0" fontId="11" fillId="3" borderId="0" xfId="0" applyFont="1" applyFill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left"/>
    </xf>
    <xf numFmtId="165" fontId="11" fillId="6" borderId="2" xfId="0" applyNumberFormat="1" applyFont="1" applyFill="1" applyBorder="1"/>
    <xf numFmtId="165" fontId="11" fillId="6" borderId="10" xfId="0" applyNumberFormat="1" applyFont="1" applyFill="1" applyBorder="1"/>
    <xf numFmtId="0" fontId="0" fillId="7" borderId="7" xfId="0" applyFill="1" applyBorder="1" applyAlignment="1">
      <alignment horizontal="left" wrapText="1"/>
    </xf>
    <xf numFmtId="44" fontId="0" fillId="7" borderId="0" xfId="0" applyNumberFormat="1" applyFill="1" applyBorder="1" applyAlignment="1">
      <alignment horizontal="center"/>
    </xf>
    <xf numFmtId="44" fontId="0" fillId="7" borderId="8" xfId="0" applyNumberFormat="1" applyFill="1" applyBorder="1" applyAlignment="1">
      <alignment horizontal="center"/>
    </xf>
    <xf numFmtId="44" fontId="0" fillId="7" borderId="0" xfId="0" quotePrefix="1" applyNumberFormat="1" applyFill="1" applyBorder="1" applyAlignment="1">
      <alignment horizontal="center"/>
    </xf>
    <xf numFmtId="44" fontId="0" fillId="7" borderId="8" xfId="0" quotePrefix="1" applyNumberFormat="1" applyFill="1" applyBorder="1" applyAlignment="1">
      <alignment horizontal="center"/>
    </xf>
    <xf numFmtId="0" fontId="0" fillId="7" borderId="7" xfId="0" applyFill="1" applyBorder="1" applyAlignment="1">
      <alignment wrapText="1"/>
    </xf>
    <xf numFmtId="0" fontId="0" fillId="7" borderId="7" xfId="0" applyFill="1" applyBorder="1" applyAlignment="1">
      <alignment horizontal="left" wrapText="1" indent="1"/>
    </xf>
    <xf numFmtId="164" fontId="0" fillId="7" borderId="0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9" fontId="0" fillId="7" borderId="0" xfId="0" applyNumberForma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9" fontId="0" fillId="7" borderId="8" xfId="0" applyNumberFormat="1" applyFill="1" applyBorder="1" applyAlignment="1">
      <alignment horizontal="center"/>
    </xf>
    <xf numFmtId="169" fontId="0" fillId="7" borderId="0" xfId="1" applyNumberFormat="1" applyFont="1" applyFill="1" applyBorder="1" applyAlignment="1">
      <alignment horizontal="center"/>
    </xf>
    <xf numFmtId="169" fontId="0" fillId="7" borderId="8" xfId="1" applyNumberFormat="1" applyFont="1" applyFill="1" applyBorder="1" applyAlignment="1">
      <alignment horizontal="center"/>
    </xf>
    <xf numFmtId="0" fontId="0" fillId="7" borderId="9" xfId="0" applyFill="1" applyBorder="1" applyAlignment="1">
      <alignment wrapText="1"/>
    </xf>
    <xf numFmtId="164" fontId="0" fillId="7" borderId="2" xfId="0" applyNumberFormat="1" applyFill="1" applyBorder="1" applyAlignment="1">
      <alignment horizontal="center"/>
    </xf>
    <xf numFmtId="164" fontId="0" fillId="7" borderId="10" xfId="0" applyNumberFormat="1" applyFill="1" applyBorder="1" applyAlignment="1">
      <alignment horizontal="center"/>
    </xf>
    <xf numFmtId="44" fontId="0" fillId="4" borderId="0" xfId="0" applyNumberFormat="1" applyFill="1" applyBorder="1" applyAlignment="1">
      <alignment horizontal="center"/>
    </xf>
    <xf numFmtId="44" fontId="0" fillId="4" borderId="8" xfId="0" applyNumberFormat="1" applyFill="1" applyBorder="1" applyAlignment="1">
      <alignment horizontal="center"/>
    </xf>
    <xf numFmtId="44" fontId="0" fillId="4" borderId="0" xfId="0" quotePrefix="1" applyNumberFormat="1" applyFill="1" applyBorder="1" applyAlignment="1">
      <alignment horizontal="center"/>
    </xf>
    <xf numFmtId="44" fontId="0" fillId="4" borderId="8" xfId="0" quotePrefix="1" applyNumberFormat="1" applyFill="1" applyBorder="1" applyAlignment="1">
      <alignment horizontal="center"/>
    </xf>
    <xf numFmtId="166" fontId="0" fillId="4" borderId="0" xfId="2" applyNumberFormat="1" applyFont="1" applyFill="1" applyBorder="1" applyAlignment="1">
      <alignment horizontal="right"/>
    </xf>
    <xf numFmtId="166" fontId="0" fillId="4" borderId="8" xfId="2" applyNumberFormat="1" applyFont="1" applyFill="1" applyBorder="1" applyAlignment="1">
      <alignment horizontal="right"/>
    </xf>
    <xf numFmtId="44" fontId="2" fillId="4" borderId="0" xfId="0" quotePrefix="1" applyNumberFormat="1" applyFont="1" applyFill="1" applyBorder="1" applyAlignment="1">
      <alignment horizontal="center"/>
    </xf>
    <xf numFmtId="44" fontId="2" fillId="4" borderId="8" xfId="0" quotePrefix="1" applyNumberFormat="1" applyFont="1" applyFill="1" applyBorder="1" applyAlignment="1">
      <alignment horizontal="center"/>
    </xf>
    <xf numFmtId="44" fontId="0" fillId="4" borderId="0" xfId="0" applyNumberFormat="1" applyFill="1" applyBorder="1"/>
    <xf numFmtId="0" fontId="0" fillId="4" borderId="0" xfId="0" applyFill="1" applyBorder="1"/>
    <xf numFmtId="44" fontId="0" fillId="4" borderId="8" xfId="0" applyNumberFormat="1" applyFill="1" applyBorder="1"/>
    <xf numFmtId="0" fontId="2" fillId="4" borderId="0" xfId="0" applyFont="1" applyFill="1" applyBorder="1"/>
    <xf numFmtId="170" fontId="0" fillId="4" borderId="0" xfId="1" applyNumberFormat="1" applyFont="1" applyFill="1" applyBorder="1"/>
    <xf numFmtId="170" fontId="0" fillId="4" borderId="8" xfId="1" applyNumberFormat="1" applyFont="1" applyFill="1" applyBorder="1"/>
    <xf numFmtId="44" fontId="0" fillId="4" borderId="2" xfId="0" applyNumberFormat="1" applyFill="1" applyBorder="1"/>
    <xf numFmtId="44" fontId="0" fillId="4" borderId="10" xfId="0" applyNumberFormat="1" applyFill="1" applyBorder="1"/>
    <xf numFmtId="0" fontId="0" fillId="4" borderId="0" xfId="0" applyFill="1" applyBorder="1" applyAlignment="1">
      <alignment horizontal="center"/>
    </xf>
    <xf numFmtId="9" fontId="0" fillId="4" borderId="0" xfId="0" applyNumberFormat="1" applyFill="1" applyBorder="1" applyAlignment="1">
      <alignment horizontal="center"/>
    </xf>
    <xf numFmtId="9" fontId="0" fillId="4" borderId="8" xfId="0" applyNumberFormat="1" applyFill="1" applyBorder="1" applyAlignment="1">
      <alignment horizontal="center"/>
    </xf>
    <xf numFmtId="169" fontId="0" fillId="4" borderId="0" xfId="1" applyNumberFormat="1" applyFont="1" applyFill="1" applyBorder="1" applyAlignment="1">
      <alignment horizontal="center"/>
    </xf>
    <xf numFmtId="169" fontId="0" fillId="4" borderId="8" xfId="1" applyNumberFormat="1" applyFont="1" applyFill="1" applyBorder="1" applyAlignment="1">
      <alignment horizontal="center"/>
    </xf>
    <xf numFmtId="0" fontId="2" fillId="4" borderId="9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164" fontId="0" fillId="4" borderId="2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" fontId="0" fillId="4" borderId="0" xfId="1" applyNumberFormat="1" applyFont="1" applyFill="1" applyBorder="1" applyAlignment="1">
      <alignment horizontal="center" vertical="center"/>
    </xf>
    <xf numFmtId="1" fontId="0" fillId="4" borderId="8" xfId="1" applyNumberFormat="1" applyFont="1" applyFill="1" applyBorder="1" applyAlignment="1">
      <alignment horizontal="center" vertical="center"/>
    </xf>
    <xf numFmtId="166" fontId="0" fillId="4" borderId="0" xfId="2" quotePrefix="1" applyNumberFormat="1" applyFont="1" applyFill="1" applyBorder="1" applyAlignment="1">
      <alignment horizontal="right"/>
    </xf>
    <xf numFmtId="166" fontId="0" fillId="4" borderId="8" xfId="2" quotePrefix="1" applyNumberFormat="1" applyFont="1" applyFill="1" applyBorder="1" applyAlignment="1">
      <alignment horizontal="right"/>
    </xf>
    <xf numFmtId="44" fontId="0" fillId="4" borderId="0" xfId="0" quotePrefix="1" applyNumberFormat="1" applyFill="1" applyBorder="1" applyAlignment="1">
      <alignment horizontal="center" wrapText="1"/>
    </xf>
    <xf numFmtId="44" fontId="0" fillId="4" borderId="8" xfId="0" quotePrefix="1" applyNumberFormat="1" applyFill="1" applyBorder="1" applyAlignment="1">
      <alignment horizontal="center" wrapText="1"/>
    </xf>
    <xf numFmtId="166" fontId="0" fillId="4" borderId="2" xfId="2" applyNumberFormat="1" applyFont="1" applyFill="1" applyBorder="1" applyAlignment="1">
      <alignment horizontal="right"/>
    </xf>
    <xf numFmtId="166" fontId="0" fillId="4" borderId="10" xfId="2" applyNumberFormat="1" applyFont="1" applyFill="1" applyBorder="1" applyAlignment="1">
      <alignment horizontal="right"/>
    </xf>
    <xf numFmtId="165" fontId="2" fillId="4" borderId="0" xfId="1" applyNumberFormat="1" applyFont="1" applyFill="1" applyBorder="1"/>
    <xf numFmtId="165" fontId="2" fillId="4" borderId="8" xfId="1" applyNumberFormat="1" applyFont="1" applyFill="1" applyBorder="1"/>
    <xf numFmtId="165" fontId="0" fillId="4" borderId="0" xfId="1" applyNumberFormat="1" applyFont="1" applyFill="1" applyBorder="1"/>
    <xf numFmtId="165" fontId="2" fillId="4" borderId="0" xfId="0" applyNumberFormat="1" applyFont="1" applyFill="1" applyBorder="1"/>
    <xf numFmtId="165" fontId="2" fillId="4" borderId="8" xfId="0" applyNumberFormat="1" applyFont="1" applyFill="1" applyBorder="1"/>
    <xf numFmtId="0" fontId="5" fillId="4" borderId="7" xfId="4" applyFont="1" applyFill="1" applyBorder="1" applyAlignment="1">
      <alignment horizontal="left" wrapText="1"/>
    </xf>
    <xf numFmtId="168" fontId="0" fillId="4" borderId="0" xfId="0" applyNumberFormat="1" applyFill="1" applyBorder="1"/>
    <xf numFmtId="168" fontId="0" fillId="4" borderId="8" xfId="0" applyNumberFormat="1" applyFill="1" applyBorder="1"/>
    <xf numFmtId="0" fontId="5" fillId="4" borderId="7" xfId="5" applyFont="1" applyFill="1" applyBorder="1" applyAlignment="1" applyProtection="1">
      <alignment vertical="top" wrapText="1"/>
      <protection locked="0"/>
    </xf>
    <xf numFmtId="167" fontId="5" fillId="4" borderId="7" xfId="7" applyFont="1" applyFill="1" applyBorder="1" applyAlignment="1" applyProtection="1">
      <alignment vertical="top" wrapText="1"/>
      <protection locked="0"/>
    </xf>
    <xf numFmtId="167" fontId="5" fillId="4" borderId="5" xfId="7" applyFont="1" applyFill="1" applyBorder="1" applyAlignment="1" applyProtection="1">
      <alignment vertical="top" wrapText="1"/>
      <protection locked="0"/>
    </xf>
    <xf numFmtId="0" fontId="5" fillId="4" borderId="11" xfId="5" applyFont="1" applyFill="1" applyBorder="1" applyAlignment="1" applyProtection="1">
      <alignment vertical="top" wrapText="1"/>
      <protection locked="0"/>
    </xf>
    <xf numFmtId="0" fontId="5" fillId="4" borderId="11" xfId="5" applyFont="1" applyFill="1" applyBorder="1" applyAlignment="1">
      <alignment wrapText="1"/>
    </xf>
    <xf numFmtId="0" fontId="12" fillId="2" borderId="0" xfId="0" applyFont="1" applyFill="1" applyBorder="1"/>
    <xf numFmtId="168" fontId="12" fillId="2" borderId="0" xfId="0" applyNumberFormat="1" applyFont="1" applyFill="1" applyBorder="1"/>
    <xf numFmtId="0" fontId="12" fillId="2" borderId="8" xfId="0" applyFont="1" applyFill="1" applyBorder="1"/>
    <xf numFmtId="0" fontId="16" fillId="2" borderId="7" xfId="3" applyFont="1" applyFill="1" applyBorder="1" applyAlignment="1">
      <alignment wrapText="1"/>
    </xf>
    <xf numFmtId="0" fontId="0" fillId="4" borderId="2" xfId="0" applyFill="1" applyBorder="1"/>
    <xf numFmtId="168" fontId="0" fillId="4" borderId="2" xfId="0" applyNumberFormat="1" applyFill="1" applyBorder="1"/>
    <xf numFmtId="164" fontId="2" fillId="3" borderId="8" xfId="0" applyNumberFormat="1" applyFont="1" applyFill="1" applyBorder="1" applyAlignment="1">
      <alignment horizontal="center"/>
    </xf>
    <xf numFmtId="166" fontId="2" fillId="3" borderId="8" xfId="2" applyNumberFormat="1" applyFont="1" applyFill="1" applyBorder="1" applyAlignment="1">
      <alignment horizontal="center"/>
    </xf>
    <xf numFmtId="0" fontId="2" fillId="4" borderId="5" xfId="0" applyFont="1" applyFill="1" applyBorder="1"/>
    <xf numFmtId="170" fontId="0" fillId="4" borderId="1" xfId="1" applyNumberFormat="1" applyFont="1" applyFill="1" applyBorder="1" applyAlignment="1">
      <alignment horizontal="center"/>
    </xf>
    <xf numFmtId="170" fontId="0" fillId="4" borderId="6" xfId="1" applyNumberFormat="1" applyFont="1" applyFill="1" applyBorder="1" applyAlignment="1">
      <alignment horizontal="center"/>
    </xf>
    <xf numFmtId="166" fontId="2" fillId="4" borderId="0" xfId="2" applyNumberFormat="1" applyFont="1" applyFill="1" applyBorder="1" applyAlignment="1">
      <alignment horizontal="right"/>
    </xf>
    <xf numFmtId="166" fontId="2" fillId="4" borderId="8" xfId="2" applyNumberFormat="1" applyFont="1" applyFill="1" applyBorder="1" applyAlignment="1">
      <alignment horizontal="right"/>
    </xf>
    <xf numFmtId="0" fontId="15" fillId="4" borderId="5" xfId="0" applyFont="1" applyFill="1" applyBorder="1"/>
    <xf numFmtId="0" fontId="14" fillId="4" borderId="1" xfId="0" applyFont="1" applyFill="1" applyBorder="1"/>
    <xf numFmtId="0" fontId="14" fillId="4" borderId="6" xfId="0" applyFont="1" applyFill="1" applyBorder="1"/>
    <xf numFmtId="0" fontId="15" fillId="4" borderId="6" xfId="0" applyFont="1" applyFill="1" applyBorder="1"/>
    <xf numFmtId="168" fontId="0" fillId="0" borderId="0" xfId="0" applyNumberFormat="1"/>
    <xf numFmtId="166" fontId="0" fillId="0" borderId="0" xfId="2" applyNumberFormat="1" applyFont="1"/>
    <xf numFmtId="0" fontId="5" fillId="0" borderId="0" xfId="5" applyFont="1" applyAlignment="1" applyProtection="1">
      <alignment wrapText="1"/>
      <protection locked="0"/>
    </xf>
    <xf numFmtId="165" fontId="0" fillId="0" borderId="0" xfId="1" applyNumberFormat="1" applyFont="1"/>
    <xf numFmtId="44" fontId="0" fillId="0" borderId="0" xfId="0" quotePrefix="1" applyNumberFormat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 vertical="center"/>
    </xf>
    <xf numFmtId="171" fontId="0" fillId="0" borderId="0" xfId="0" applyNumberFormat="1"/>
    <xf numFmtId="10" fontId="0" fillId="0" borderId="0" xfId="2" applyNumberFormat="1" applyFont="1" applyFill="1" applyBorder="1"/>
    <xf numFmtId="2" fontId="0" fillId="0" borderId="0" xfId="0" applyNumberFormat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6" fillId="4" borderId="0" xfId="5" applyFont="1" applyFill="1" applyAlignment="1" applyProtection="1">
      <alignment horizontal="left" wrapText="1"/>
      <protection locked="0"/>
    </xf>
    <xf numFmtId="0" fontId="5" fillId="4" borderId="16" xfId="5" applyFont="1" applyFill="1" applyBorder="1" applyAlignment="1">
      <alignment wrapText="1"/>
    </xf>
    <xf numFmtId="0" fontId="2" fillId="4" borderId="16" xfId="0" applyFont="1" applyFill="1" applyBorder="1"/>
    <xf numFmtId="0" fontId="0" fillId="4" borderId="16" xfId="0" applyFill="1" applyBorder="1"/>
    <xf numFmtId="0" fontId="11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11" fillId="2" borderId="6" xfId="0" applyFont="1" applyFill="1" applyBorder="1" applyAlignment="1">
      <alignment horizontal="center"/>
    </xf>
    <xf numFmtId="171" fontId="0" fillId="0" borderId="0" xfId="0" applyNumberFormat="1" applyBorder="1"/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10" fontId="0" fillId="0" borderId="8" xfId="2" applyNumberFormat="1" applyFont="1" applyBorder="1"/>
    <xf numFmtId="0" fontId="2" fillId="8" borderId="0" xfId="0" applyFont="1" applyFill="1" applyBorder="1" applyAlignment="1">
      <alignment horizontal="center"/>
    </xf>
    <xf numFmtId="0" fontId="0" fillId="8" borderId="0" xfId="0" applyFill="1" applyBorder="1"/>
    <xf numFmtId="0" fontId="2" fillId="8" borderId="8" xfId="0" applyFont="1" applyFill="1" applyBorder="1" applyAlignment="1">
      <alignment horizontal="center"/>
    </xf>
    <xf numFmtId="171" fontId="0" fillId="4" borderId="0" xfId="0" applyNumberFormat="1" applyFill="1" applyBorder="1"/>
    <xf numFmtId="171" fontId="0" fillId="4" borderId="8" xfId="0" applyNumberFormat="1" applyFill="1" applyBorder="1"/>
    <xf numFmtId="175" fontId="0" fillId="4" borderId="0" xfId="0" applyNumberFormat="1" applyFill="1" applyBorder="1"/>
    <xf numFmtId="0" fontId="0" fillId="4" borderId="0" xfId="0" applyFill="1" applyBorder="1" applyAlignment="1">
      <alignment horizontal="right"/>
    </xf>
    <xf numFmtId="175" fontId="0" fillId="4" borderId="8" xfId="0" applyNumberFormat="1" applyFill="1" applyBorder="1"/>
    <xf numFmtId="174" fontId="0" fillId="4" borderId="0" xfId="9" applyNumberFormat="1" applyFont="1" applyFill="1" applyBorder="1"/>
    <xf numFmtId="0" fontId="0" fillId="4" borderId="8" xfId="0" applyFill="1" applyBorder="1" applyAlignment="1">
      <alignment horizontal="right"/>
    </xf>
    <xf numFmtId="9" fontId="0" fillId="4" borderId="0" xfId="0" applyNumberFormat="1" applyFill="1" applyBorder="1"/>
    <xf numFmtId="10" fontId="0" fillId="4" borderId="0" xfId="2" applyNumberFormat="1" applyFont="1" applyFill="1" applyBorder="1"/>
    <xf numFmtId="9" fontId="0" fillId="4" borderId="8" xfId="0" applyNumberFormat="1" applyFill="1" applyBorder="1"/>
    <xf numFmtId="171" fontId="0" fillId="4" borderId="0" xfId="8" applyNumberFormat="1" applyFont="1" applyFill="1" applyBorder="1"/>
    <xf numFmtId="171" fontId="0" fillId="4" borderId="8" xfId="8" applyNumberFormat="1" applyFont="1" applyFill="1" applyBorder="1"/>
    <xf numFmtId="10" fontId="0" fillId="4" borderId="8" xfId="2" applyNumberFormat="1" applyFont="1" applyFill="1" applyBorder="1"/>
    <xf numFmtId="168" fontId="0" fillId="4" borderId="10" xfId="0" applyNumberFormat="1" applyFill="1" applyBorder="1"/>
    <xf numFmtId="0" fontId="2" fillId="4" borderId="1" xfId="0" applyFont="1" applyFill="1" applyBorder="1"/>
    <xf numFmtId="0" fontId="0" fillId="0" borderId="17" xfId="0" applyBorder="1"/>
    <xf numFmtId="0" fontId="2" fillId="4" borderId="17" xfId="0" applyFont="1" applyFill="1" applyBorder="1" applyAlignment="1">
      <alignment horizontal="center"/>
    </xf>
    <xf numFmtId="171" fontId="0" fillId="4" borderId="17" xfId="0" applyNumberFormat="1" applyFill="1" applyBorder="1"/>
    <xf numFmtId="9" fontId="0" fillId="4" borderId="17" xfId="0" applyNumberFormat="1" applyFill="1" applyBorder="1"/>
    <xf numFmtId="175" fontId="0" fillId="4" borderId="17" xfId="0" applyNumberFormat="1" applyFill="1" applyBorder="1"/>
    <xf numFmtId="174" fontId="0" fillId="4" borderId="17" xfId="9" applyNumberFormat="1" applyFont="1" applyFill="1" applyBorder="1"/>
    <xf numFmtId="171" fontId="0" fillId="4" borderId="17" xfId="8" applyNumberFormat="1" applyFont="1" applyFill="1" applyBorder="1"/>
    <xf numFmtId="0" fontId="0" fillId="4" borderId="17" xfId="0" applyFill="1" applyBorder="1"/>
    <xf numFmtId="168" fontId="0" fillId="4" borderId="18" xfId="0" applyNumberFormat="1" applyFill="1" applyBorder="1"/>
    <xf numFmtId="0" fontId="11" fillId="2" borderId="19" xfId="0" applyFont="1" applyFill="1" applyBorder="1" applyAlignment="1">
      <alignment horizontal="center"/>
    </xf>
    <xf numFmtId="175" fontId="2" fillId="4" borderId="16" xfId="9" applyNumberFormat="1" applyFont="1" applyFill="1" applyBorder="1"/>
    <xf numFmtId="9" fontId="0" fillId="9" borderId="0" xfId="0" applyNumberFormat="1" applyFill="1" applyBorder="1"/>
    <xf numFmtId="174" fontId="0" fillId="9" borderId="0" xfId="9" applyNumberFormat="1" applyFont="1" applyFill="1" applyBorder="1"/>
    <xf numFmtId="0" fontId="0" fillId="9" borderId="0" xfId="0" applyFill="1" applyBorder="1" applyAlignment="1">
      <alignment horizontal="right"/>
    </xf>
    <xf numFmtId="9" fontId="0" fillId="9" borderId="8" xfId="0" applyNumberFormat="1" applyFill="1" applyBorder="1"/>
    <xf numFmtId="0" fontId="2" fillId="4" borderId="11" xfId="0" applyFont="1" applyFill="1" applyBorder="1"/>
    <xf numFmtId="175" fontId="2" fillId="4" borderId="20" xfId="9" applyNumberFormat="1" applyFont="1" applyFill="1" applyBorder="1"/>
    <xf numFmtId="10" fontId="0" fillId="4" borderId="2" xfId="2" applyNumberFormat="1" applyFont="1" applyFill="1" applyBorder="1"/>
    <xf numFmtId="10" fontId="0" fillId="4" borderId="10" xfId="2" applyNumberFormat="1" applyFont="1" applyFill="1" applyBorder="1"/>
    <xf numFmtId="0" fontId="2" fillId="8" borderId="21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171" fontId="0" fillId="4" borderId="21" xfId="0" applyNumberFormat="1" applyFill="1" applyBorder="1"/>
    <xf numFmtId="9" fontId="0" fillId="4" borderId="21" xfId="0" applyNumberFormat="1" applyFill="1" applyBorder="1"/>
    <xf numFmtId="0" fontId="0" fillId="0" borderId="21" xfId="0" applyBorder="1"/>
    <xf numFmtId="175" fontId="0" fillId="4" borderId="21" xfId="0" applyNumberFormat="1" applyFill="1" applyBorder="1"/>
    <xf numFmtId="174" fontId="0" fillId="4" borderId="21" xfId="9" applyNumberFormat="1" applyFont="1" applyFill="1" applyBorder="1"/>
    <xf numFmtId="171" fontId="0" fillId="4" borderId="21" xfId="8" applyNumberFormat="1" applyFont="1" applyFill="1" applyBorder="1"/>
    <xf numFmtId="10" fontId="0" fillId="0" borderId="21" xfId="2" applyNumberFormat="1" applyFont="1" applyFill="1" applyBorder="1"/>
    <xf numFmtId="171" fontId="0" fillId="0" borderId="21" xfId="0" applyNumberFormat="1" applyBorder="1"/>
    <xf numFmtId="0" fontId="0" fillId="4" borderId="21" xfId="0" applyFill="1" applyBorder="1"/>
    <xf numFmtId="168" fontId="0" fillId="4" borderId="22" xfId="0" applyNumberFormat="1" applyFill="1" applyBorder="1"/>
    <xf numFmtId="0" fontId="12" fillId="2" borderId="24" xfId="0" applyFont="1" applyFill="1" applyBorder="1" applyAlignment="1">
      <alignment horizontal="left" wrapText="1"/>
    </xf>
    <xf numFmtId="164" fontId="2" fillId="3" borderId="25" xfId="0" applyNumberFormat="1" applyFont="1" applyFill="1" applyBorder="1" applyAlignment="1">
      <alignment horizontal="center"/>
    </xf>
    <xf numFmtId="0" fontId="12" fillId="2" borderId="26" xfId="0" applyFont="1" applyFill="1" applyBorder="1" applyAlignment="1">
      <alignment horizontal="left" wrapText="1"/>
    </xf>
    <xf numFmtId="164" fontId="15" fillId="3" borderId="27" xfId="0" applyNumberFormat="1" applyFont="1" applyFill="1" applyBorder="1" applyAlignment="1">
      <alignment horizontal="center"/>
    </xf>
    <xf numFmtId="164" fontId="2" fillId="3" borderId="27" xfId="0" applyNumberFormat="1" applyFont="1" applyFill="1" applyBorder="1" applyAlignment="1">
      <alignment horizontal="center"/>
    </xf>
    <xf numFmtId="164" fontId="2" fillId="3" borderId="27" xfId="0" quotePrefix="1" applyNumberFormat="1" applyFont="1" applyFill="1" applyBorder="1" applyAlignment="1">
      <alignment horizontal="center"/>
    </xf>
    <xf numFmtId="10" fontId="2" fillId="3" borderId="27" xfId="2" applyNumberFormat="1" applyFont="1" applyFill="1" applyBorder="1" applyAlignment="1">
      <alignment horizontal="center"/>
    </xf>
    <xf numFmtId="0" fontId="12" fillId="2" borderId="26" xfId="0" applyFont="1" applyFill="1" applyBorder="1" applyAlignment="1">
      <alignment wrapText="1"/>
    </xf>
    <xf numFmtId="0" fontId="12" fillId="2" borderId="26" xfId="0" applyFont="1" applyFill="1" applyBorder="1" applyAlignment="1">
      <alignment horizontal="left" wrapText="1" indent="1"/>
    </xf>
    <xf numFmtId="0" fontId="12" fillId="2" borderId="26" xfId="0" applyFont="1" applyFill="1" applyBorder="1" applyAlignment="1">
      <alignment vertical="center" wrapText="1"/>
    </xf>
    <xf numFmtId="164" fontId="2" fillId="3" borderId="27" xfId="0" quotePrefix="1" applyNumberFormat="1" applyFont="1" applyFill="1" applyBorder="1" applyAlignment="1">
      <alignment horizontal="center" wrapText="1"/>
    </xf>
    <xf numFmtId="166" fontId="2" fillId="3" borderId="27" xfId="2" quotePrefix="1" applyNumberFormat="1" applyFont="1" applyFill="1" applyBorder="1" applyAlignment="1">
      <alignment horizontal="center"/>
    </xf>
    <xf numFmtId="0" fontId="12" fillId="2" borderId="28" xfId="0" applyFont="1" applyFill="1" applyBorder="1" applyAlignment="1">
      <alignment wrapText="1"/>
    </xf>
    <xf numFmtId="9" fontId="2" fillId="3" borderId="29" xfId="2" applyFont="1" applyFill="1" applyBorder="1" applyAlignment="1">
      <alignment horizontal="center"/>
    </xf>
    <xf numFmtId="0" fontId="0" fillId="3" borderId="24" xfId="0" applyFill="1" applyBorder="1"/>
    <xf numFmtId="165" fontId="0" fillId="3" borderId="25" xfId="1" applyNumberFormat="1" applyFont="1" applyFill="1" applyBorder="1"/>
    <xf numFmtId="0" fontId="0" fillId="3" borderId="31" xfId="0" applyFill="1" applyBorder="1"/>
    <xf numFmtId="0" fontId="0" fillId="3" borderId="30" xfId="0" applyFill="1" applyBorder="1"/>
    <xf numFmtId="0" fontId="0" fillId="3" borderId="2" xfId="0" applyFill="1" applyBorder="1" applyAlignment="1">
      <alignment wrapText="1"/>
    </xf>
    <xf numFmtId="0" fontId="0" fillId="3" borderId="6" xfId="0" applyFill="1" applyBorder="1"/>
    <xf numFmtId="0" fontId="2" fillId="3" borderId="33" xfId="0" applyFont="1" applyFill="1" applyBorder="1"/>
    <xf numFmtId="0" fontId="2" fillId="3" borderId="32" xfId="0" applyFont="1" applyFill="1" applyBorder="1"/>
    <xf numFmtId="0" fontId="0" fillId="3" borderId="33" xfId="0" applyFill="1" applyBorder="1" applyAlignment="1">
      <alignment horizontal="left" indent="2"/>
    </xf>
    <xf numFmtId="0" fontId="0" fillId="3" borderId="32" xfId="0" applyFill="1" applyBorder="1"/>
    <xf numFmtId="0" fontId="0" fillId="3" borderId="33" xfId="0" applyFill="1" applyBorder="1"/>
    <xf numFmtId="0" fontId="0" fillId="3" borderId="35" xfId="0" applyFill="1" applyBorder="1" applyAlignment="1">
      <alignment horizontal="left" indent="2"/>
    </xf>
    <xf numFmtId="0" fontId="0" fillId="3" borderId="34" xfId="0" applyFill="1" applyBorder="1"/>
    <xf numFmtId="165" fontId="0" fillId="3" borderId="27" xfId="1" applyNumberFormat="1" applyFont="1" applyFill="1" applyBorder="1"/>
    <xf numFmtId="0" fontId="0" fillId="3" borderId="26" xfId="0" applyFill="1" applyBorder="1"/>
    <xf numFmtId="0" fontId="0" fillId="3" borderId="26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165" fontId="0" fillId="3" borderId="29" xfId="1" applyNumberFormat="1" applyFont="1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25" xfId="0" applyFill="1" applyBorder="1"/>
    <xf numFmtId="0" fontId="0" fillId="3" borderId="27" xfId="0" applyFill="1" applyBorder="1"/>
    <xf numFmtId="0" fontId="11" fillId="2" borderId="0" xfId="0" applyFont="1" applyFill="1" applyBorder="1"/>
    <xf numFmtId="168" fontId="11" fillId="2" borderId="0" xfId="0" applyNumberFormat="1" applyFont="1" applyFill="1" applyBorder="1"/>
    <xf numFmtId="0" fontId="11" fillId="2" borderId="8" xfId="0" applyFont="1" applyFill="1" applyBorder="1"/>
    <xf numFmtId="0" fontId="0" fillId="3" borderId="26" xfId="0" applyFill="1" applyBorder="1" applyAlignment="1">
      <alignment horizontal="left" wrapText="1" indent="1"/>
    </xf>
    <xf numFmtId="0" fontId="0" fillId="3" borderId="26" xfId="0" applyFill="1" applyBorder="1" applyAlignment="1">
      <alignment horizontal="left" wrapText="1" indent="2"/>
    </xf>
    <xf numFmtId="44" fontId="0" fillId="3" borderId="23" xfId="0" applyNumberFormat="1" applyFill="1" applyBorder="1" applyAlignment="1">
      <alignment horizontal="center"/>
    </xf>
    <xf numFmtId="44" fontId="0" fillId="3" borderId="27" xfId="0" applyNumberFormat="1" applyFill="1" applyBorder="1" applyAlignment="1">
      <alignment horizontal="center"/>
    </xf>
    <xf numFmtId="0" fontId="2" fillId="4" borderId="26" xfId="0" applyFont="1" applyFill="1" applyBorder="1"/>
    <xf numFmtId="0" fontId="0" fillId="3" borderId="26" xfId="0" applyFill="1" applyBorder="1" applyAlignment="1">
      <alignment horizontal="left" indent="1"/>
    </xf>
    <xf numFmtId="0" fontId="2" fillId="4" borderId="26" xfId="0" applyFont="1" applyFill="1" applyBorder="1" applyAlignment="1">
      <alignment wrapText="1"/>
    </xf>
    <xf numFmtId="0" fontId="0" fillId="3" borderId="26" xfId="0" applyFill="1" applyBorder="1" applyAlignment="1">
      <alignment wrapText="1"/>
    </xf>
    <xf numFmtId="0" fontId="0" fillId="3" borderId="26" xfId="0" applyFill="1" applyBorder="1" applyAlignment="1">
      <alignment horizontal="left" wrapText="1"/>
    </xf>
    <xf numFmtId="0" fontId="0" fillId="3" borderId="37" xfId="0" applyFill="1" applyBorder="1"/>
    <xf numFmtId="0" fontId="5" fillId="4" borderId="38" xfId="4" applyFont="1" applyFill="1" applyBorder="1" applyAlignment="1">
      <alignment horizontal="left" wrapText="1"/>
    </xf>
    <xf numFmtId="0" fontId="5" fillId="3" borderId="26" xfId="5" applyFont="1" applyFill="1" applyBorder="1" applyAlignment="1" applyProtection="1">
      <alignment wrapText="1"/>
      <protection locked="0"/>
    </xf>
    <xf numFmtId="0" fontId="5" fillId="4" borderId="26" xfId="5" applyFont="1" applyFill="1" applyBorder="1" applyAlignment="1" applyProtection="1">
      <alignment vertical="top" wrapText="1"/>
      <protection locked="0"/>
    </xf>
    <xf numFmtId="167" fontId="5" fillId="4" borderId="26" xfId="7" applyFont="1" applyFill="1" applyBorder="1" applyAlignment="1" applyProtection="1">
      <alignment vertical="top" wrapText="1"/>
      <protection locked="0"/>
    </xf>
    <xf numFmtId="0" fontId="6" fillId="3" borderId="26" xfId="5" applyFont="1" applyFill="1" applyBorder="1" applyAlignment="1" applyProtection="1">
      <alignment horizontal="left" vertical="top" wrapText="1"/>
      <protection locked="0"/>
    </xf>
    <xf numFmtId="0" fontId="6" fillId="3" borderId="26" xfId="5" applyFont="1" applyFill="1" applyBorder="1" applyAlignment="1" applyProtection="1">
      <alignment horizontal="left" wrapText="1"/>
      <protection locked="0"/>
    </xf>
    <xf numFmtId="0" fontId="5" fillId="4" borderId="26" xfId="5" applyFont="1" applyFill="1" applyBorder="1" applyAlignment="1">
      <alignment wrapText="1"/>
    </xf>
    <xf numFmtId="0" fontId="5" fillId="3" borderId="37" xfId="5" applyFont="1" applyFill="1" applyBorder="1" applyAlignment="1" applyProtection="1">
      <alignment wrapText="1"/>
      <protection locked="0"/>
    </xf>
    <xf numFmtId="0" fontId="5" fillId="4" borderId="38" xfId="5" applyFont="1" applyFill="1" applyBorder="1" applyAlignment="1" applyProtection="1">
      <alignment vertical="top" wrapText="1"/>
      <protection locked="0"/>
    </xf>
    <xf numFmtId="3" fontId="6" fillId="3" borderId="26" xfId="5" applyNumberFormat="1" applyFont="1" applyFill="1" applyBorder="1" applyAlignment="1">
      <alignment horizontal="left" wrapText="1"/>
    </xf>
    <xf numFmtId="0" fontId="7" fillId="3" borderId="28" xfId="5" applyFont="1" applyFill="1" applyBorder="1" applyAlignment="1">
      <alignment horizontal="right" wrapText="1"/>
    </xf>
    <xf numFmtId="165" fontId="2" fillId="4" borderId="23" xfId="1" applyNumberFormat="1" applyFont="1" applyFill="1" applyBorder="1"/>
    <xf numFmtId="165" fontId="0" fillId="3" borderId="23" xfId="1" applyNumberFormat="1" applyFont="1" applyFill="1" applyBorder="1"/>
    <xf numFmtId="0" fontId="0" fillId="3" borderId="23" xfId="0" applyFill="1" applyBorder="1"/>
    <xf numFmtId="165" fontId="2" fillId="4" borderId="23" xfId="0" applyNumberFormat="1" applyFont="1" applyFill="1" applyBorder="1"/>
    <xf numFmtId="165" fontId="0" fillId="3" borderId="23" xfId="0" applyNumberFormat="1" applyFill="1" applyBorder="1"/>
    <xf numFmtId="165" fontId="0" fillId="3" borderId="36" xfId="0" applyNumberFormat="1" applyFill="1" applyBorder="1"/>
    <xf numFmtId="0" fontId="0" fillId="4" borderId="39" xfId="0" applyFill="1" applyBorder="1"/>
    <xf numFmtId="0" fontId="0" fillId="4" borderId="23" xfId="0" applyFill="1" applyBorder="1"/>
    <xf numFmtId="0" fontId="0" fillId="3" borderId="36" xfId="0" applyFill="1" applyBorder="1"/>
    <xf numFmtId="0" fontId="0" fillId="3" borderId="40" xfId="0" applyFill="1" applyBorder="1"/>
    <xf numFmtId="168" fontId="0" fillId="4" borderId="39" xfId="0" applyNumberFormat="1" applyFill="1" applyBorder="1"/>
    <xf numFmtId="168" fontId="0" fillId="3" borderId="23" xfId="0" applyNumberFormat="1" applyFill="1" applyBorder="1"/>
    <xf numFmtId="168" fontId="0" fillId="4" borderId="23" xfId="0" applyNumberFormat="1" applyFill="1" applyBorder="1"/>
    <xf numFmtId="168" fontId="0" fillId="3" borderId="36" xfId="0" applyNumberFormat="1" applyFill="1" applyBorder="1"/>
    <xf numFmtId="44" fontId="0" fillId="3" borderId="40" xfId="0" applyNumberFormat="1" applyFill="1" applyBorder="1"/>
    <xf numFmtId="0" fontId="0" fillId="4" borderId="27" xfId="0" applyFont="1" applyFill="1" applyBorder="1"/>
    <xf numFmtId="0" fontId="0" fillId="4" borderId="27" xfId="0" applyFill="1" applyBorder="1"/>
    <xf numFmtId="0" fontId="0" fillId="3" borderId="41" xfId="0" applyFill="1" applyBorder="1"/>
    <xf numFmtId="0" fontId="0" fillId="4" borderId="42" xfId="0" applyFill="1" applyBorder="1"/>
    <xf numFmtId="0" fontId="0" fillId="4" borderId="23" xfId="0" applyFont="1" applyFill="1" applyBorder="1"/>
    <xf numFmtId="0" fontId="0" fillId="3" borderId="39" xfId="0" applyFill="1" applyBorder="1"/>
    <xf numFmtId="165" fontId="0" fillId="4" borderId="23" xfId="0" applyNumberFormat="1" applyFill="1" applyBorder="1"/>
    <xf numFmtId="0" fontId="2" fillId="3" borderId="43" xfId="0" applyFont="1" applyFill="1" applyBorder="1"/>
    <xf numFmtId="0" fontId="2" fillId="3" borderId="44" xfId="0" applyFont="1" applyFill="1" applyBorder="1"/>
    <xf numFmtId="0" fontId="11" fillId="2" borderId="41" xfId="0" applyFont="1" applyFill="1" applyBorder="1"/>
    <xf numFmtId="0" fontId="0" fillId="3" borderId="45" xfId="0" applyFill="1" applyBorder="1"/>
    <xf numFmtId="0" fontId="0" fillId="3" borderId="46" xfId="0" applyFill="1" applyBorder="1"/>
    <xf numFmtId="0" fontId="11" fillId="2" borderId="36" xfId="0" applyFont="1" applyFill="1" applyBorder="1"/>
    <xf numFmtId="0" fontId="0" fillId="3" borderId="47" xfId="0" applyFill="1" applyBorder="1"/>
    <xf numFmtId="0" fontId="0" fillId="3" borderId="48" xfId="0" applyFill="1" applyBorder="1"/>
    <xf numFmtId="0" fontId="11" fillId="2" borderId="25" xfId="0" applyFont="1" applyFill="1" applyBorder="1" applyAlignment="1">
      <alignment horizontal="center"/>
    </xf>
    <xf numFmtId="0" fontId="2" fillId="3" borderId="26" xfId="0" applyFont="1" applyFill="1" applyBorder="1"/>
    <xf numFmtId="0" fontId="0" fillId="3" borderId="28" xfId="0" applyFill="1" applyBorder="1" applyAlignment="1">
      <alignment horizontal="left" indent="1"/>
    </xf>
    <xf numFmtId="0" fontId="2" fillId="3" borderId="35" xfId="0" applyFont="1" applyFill="1" applyBorder="1"/>
    <xf numFmtId="0" fontId="11" fillId="2" borderId="49" xfId="0" applyFont="1" applyFill="1" applyBorder="1" applyAlignment="1">
      <alignment horizontal="center"/>
    </xf>
    <xf numFmtId="0" fontId="0" fillId="3" borderId="50" xfId="0" applyFill="1" applyBorder="1"/>
    <xf numFmtId="0" fontId="0" fillId="3" borderId="51" xfId="0" applyFill="1" applyBorder="1"/>
    <xf numFmtId="0" fontId="11" fillId="2" borderId="30" xfId="0" applyFont="1" applyFill="1" applyBorder="1" applyAlignment="1">
      <alignment horizontal="center"/>
    </xf>
    <xf numFmtId="0" fontId="6" fillId="3" borderId="31" xfId="5" applyFont="1" applyFill="1" applyBorder="1" applyAlignment="1" applyProtection="1">
      <alignment horizontal="left" vertical="top" wrapText="1"/>
      <protection locked="0"/>
    </xf>
    <xf numFmtId="0" fontId="6" fillId="3" borderId="33" xfId="5" applyFont="1" applyFill="1" applyBorder="1" applyAlignment="1" applyProtection="1">
      <alignment horizontal="left" vertical="top" wrapText="1"/>
      <protection locked="0"/>
    </xf>
    <xf numFmtId="0" fontId="6" fillId="3" borderId="35" xfId="5" applyFont="1" applyFill="1" applyBorder="1" applyAlignment="1" applyProtection="1">
      <alignment horizontal="left" vertical="top" wrapText="1"/>
      <protection locked="0"/>
    </xf>
    <xf numFmtId="0" fontId="0" fillId="3" borderId="49" xfId="0" applyFill="1" applyBorder="1"/>
    <xf numFmtId="168" fontId="0" fillId="3" borderId="30" xfId="0" applyNumberFormat="1" applyFill="1" applyBorder="1"/>
    <xf numFmtId="168" fontId="0" fillId="3" borderId="32" xfId="0" applyNumberFormat="1" applyFill="1" applyBorder="1"/>
    <xf numFmtId="168" fontId="0" fillId="3" borderId="34" xfId="0" applyNumberFormat="1" applyFill="1" applyBorder="1"/>
    <xf numFmtId="168" fontId="0" fillId="3" borderId="49" xfId="0" applyNumberFormat="1" applyFill="1" applyBorder="1"/>
    <xf numFmtId="168" fontId="0" fillId="3" borderId="50" xfId="0" applyNumberFormat="1" applyFill="1" applyBorder="1"/>
    <xf numFmtId="168" fontId="0" fillId="3" borderId="51" xfId="0" applyNumberFormat="1" applyFill="1" applyBorder="1"/>
    <xf numFmtId="0" fontId="0" fillId="3" borderId="38" xfId="0" applyFill="1" applyBorder="1" applyAlignment="1">
      <alignment horizontal="left" wrapText="1" indent="2"/>
    </xf>
    <xf numFmtId="0" fontId="0" fillId="3" borderId="37" xfId="0" applyFill="1" applyBorder="1" applyAlignment="1">
      <alignment horizontal="left" wrapText="1" indent="2"/>
    </xf>
    <xf numFmtId="44" fontId="0" fillId="3" borderId="39" xfId="0" applyNumberFormat="1" applyFill="1" applyBorder="1" applyAlignment="1">
      <alignment horizontal="center"/>
    </xf>
    <xf numFmtId="44" fontId="0" fillId="3" borderId="36" xfId="0" applyNumberFormat="1" applyFill="1" applyBorder="1" applyAlignment="1">
      <alignment horizontal="center"/>
    </xf>
    <xf numFmtId="44" fontId="0" fillId="3" borderId="42" xfId="0" applyNumberFormat="1" applyFill="1" applyBorder="1" applyAlignment="1">
      <alignment horizontal="center"/>
    </xf>
    <xf numFmtId="44" fontId="0" fillId="3" borderId="41" xfId="0" applyNumberFormat="1" applyFill="1" applyBorder="1" applyAlignment="1">
      <alignment horizontal="center"/>
    </xf>
    <xf numFmtId="0" fontId="2" fillId="3" borderId="38" xfId="0" applyFont="1" applyFill="1" applyBorder="1"/>
    <xf numFmtId="168" fontId="0" fillId="3" borderId="39" xfId="0" applyNumberFormat="1" applyFill="1" applyBorder="1" applyAlignment="1">
      <alignment horizontal="center"/>
    </xf>
    <xf numFmtId="168" fontId="0" fillId="3" borderId="42" xfId="0" applyNumberFormat="1" applyFill="1" applyBorder="1" applyAlignment="1">
      <alignment horizontal="center"/>
    </xf>
    <xf numFmtId="168" fontId="0" fillId="3" borderId="23" xfId="0" applyNumberFormat="1" applyFill="1" applyBorder="1" applyAlignment="1">
      <alignment horizontal="center"/>
    </xf>
    <xf numFmtId="168" fontId="0" fillId="3" borderId="27" xfId="0" applyNumberFormat="1" applyFill="1" applyBorder="1" applyAlignment="1">
      <alignment horizontal="center"/>
    </xf>
    <xf numFmtId="168" fontId="2" fillId="3" borderId="26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0" fontId="6" fillId="3" borderId="52" xfId="5" applyFont="1" applyFill="1" applyBorder="1" applyAlignment="1" applyProtection="1">
      <alignment horizontal="left" vertical="top" wrapText="1"/>
      <protection locked="0"/>
    </xf>
    <xf numFmtId="0" fontId="2" fillId="3" borderId="37" xfId="0" applyFont="1" applyFill="1" applyBorder="1"/>
    <xf numFmtId="168" fontId="0" fillId="3" borderId="36" xfId="0" applyNumberFormat="1" applyFill="1" applyBorder="1" applyAlignment="1">
      <alignment horizontal="center"/>
    </xf>
    <xf numFmtId="168" fontId="0" fillId="3" borderId="41" xfId="0" applyNumberFormat="1" applyFill="1" applyBorder="1" applyAlignment="1">
      <alignment horizontal="center"/>
    </xf>
    <xf numFmtId="0" fontId="2" fillId="3" borderId="5" xfId="0" applyFont="1" applyFill="1" applyBorder="1"/>
    <xf numFmtId="0" fontId="2" fillId="4" borderId="27" xfId="0" applyFont="1" applyFill="1" applyBorder="1"/>
    <xf numFmtId="0" fontId="2" fillId="4" borderId="9" xfId="0" applyFont="1" applyFill="1" applyBorder="1" applyAlignment="1">
      <alignment horizontal="left"/>
    </xf>
    <xf numFmtId="165" fontId="2" fillId="4" borderId="2" xfId="0" applyNumberFormat="1" applyFont="1" applyFill="1" applyBorder="1"/>
    <xf numFmtId="165" fontId="2" fillId="4" borderId="10" xfId="0" applyNumberFormat="1" applyFont="1" applyFill="1" applyBorder="1"/>
    <xf numFmtId="170" fontId="0" fillId="3" borderId="1" xfId="1" applyNumberFormat="1" applyFont="1" applyFill="1" applyBorder="1" applyAlignment="1">
      <alignment horizontal="center"/>
    </xf>
    <xf numFmtId="170" fontId="0" fillId="3" borderId="6" xfId="1" applyNumberFormat="1" applyFont="1" applyFill="1" applyBorder="1" applyAlignment="1">
      <alignment horizontal="center"/>
    </xf>
    <xf numFmtId="170" fontId="0" fillId="3" borderId="23" xfId="1" applyNumberFormat="1" applyFont="1" applyFill="1" applyBorder="1" applyAlignment="1">
      <alignment horizontal="center"/>
    </xf>
    <xf numFmtId="170" fontId="0" fillId="3" borderId="27" xfId="1" applyNumberFormat="1" applyFont="1" applyFill="1" applyBorder="1" applyAlignment="1">
      <alignment horizontal="center"/>
    </xf>
    <xf numFmtId="170" fontId="0" fillId="3" borderId="2" xfId="1" applyNumberFormat="1" applyFont="1" applyFill="1" applyBorder="1" applyAlignment="1">
      <alignment horizontal="center"/>
    </xf>
    <xf numFmtId="170" fontId="0" fillId="3" borderId="10" xfId="1" applyNumberFormat="1" applyFont="1" applyFill="1" applyBorder="1" applyAlignment="1">
      <alignment horizontal="center"/>
    </xf>
    <xf numFmtId="1" fontId="0" fillId="3" borderId="23" xfId="1" applyNumberFormat="1" applyFont="1" applyFill="1" applyBorder="1" applyAlignment="1">
      <alignment horizontal="center"/>
    </xf>
    <xf numFmtId="1" fontId="0" fillId="3" borderId="23" xfId="1" applyNumberFormat="1" applyFont="1" applyFill="1" applyBorder="1" applyAlignment="1">
      <alignment horizontal="center" vertical="center"/>
    </xf>
    <xf numFmtId="1" fontId="0" fillId="3" borderId="27" xfId="1" applyNumberFormat="1" applyFont="1" applyFill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/>
    </xf>
    <xf numFmtId="1" fontId="2" fillId="4" borderId="41" xfId="0" applyNumberFormat="1" applyFont="1" applyFill="1" applyBorder="1" applyAlignment="1">
      <alignment horizontal="center"/>
    </xf>
    <xf numFmtId="165" fontId="0" fillId="3" borderId="23" xfId="0" applyNumberFormat="1" applyFill="1" applyBorder="1" applyAlignment="1">
      <alignment horizontal="center"/>
    </xf>
    <xf numFmtId="165" fontId="0" fillId="3" borderId="27" xfId="0" applyNumberFormat="1" applyFill="1" applyBorder="1" applyAlignment="1">
      <alignment horizontal="center"/>
    </xf>
    <xf numFmtId="165" fontId="2" fillId="4" borderId="0" xfId="0" applyNumberFormat="1" applyFont="1" applyFill="1" applyBorder="1" applyAlignment="1">
      <alignment horizontal="right"/>
    </xf>
    <xf numFmtId="165" fontId="2" fillId="4" borderId="8" xfId="0" applyNumberFormat="1" applyFont="1" applyFill="1" applyBorder="1" applyAlignment="1">
      <alignment horizontal="right"/>
    </xf>
    <xf numFmtId="1" fontId="2" fillId="4" borderId="8" xfId="0" applyNumberFormat="1" applyFont="1" applyFill="1" applyBorder="1" applyAlignment="1">
      <alignment horizontal="center"/>
    </xf>
    <xf numFmtId="1" fontId="0" fillId="3" borderId="27" xfId="1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10" fontId="2" fillId="3" borderId="27" xfId="2" quotePrefix="1" applyNumberFormat="1" applyFont="1" applyFill="1" applyBorder="1" applyAlignment="1">
      <alignment horizontal="center"/>
    </xf>
    <xf numFmtId="10" fontId="2" fillId="3" borderId="29" xfId="2" applyNumberFormat="1" applyFont="1" applyFill="1" applyBorder="1" applyAlignment="1">
      <alignment horizontal="center"/>
    </xf>
    <xf numFmtId="164" fontId="0" fillId="3" borderId="8" xfId="0" applyNumberFormat="1" applyFont="1" applyFill="1" applyBorder="1" applyAlignment="1">
      <alignment horizontal="center"/>
    </xf>
    <xf numFmtId="164" fontId="0" fillId="3" borderId="0" xfId="0" applyNumberFormat="1" applyFill="1" applyBorder="1"/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  <xf numFmtId="0" fontId="0" fillId="4" borderId="0" xfId="0" applyFont="1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2" fillId="3" borderId="53" xfId="0" applyFont="1" applyFill="1" applyBorder="1" applyAlignment="1">
      <alignment horizontal="center" wrapText="1"/>
    </xf>
    <xf numFmtId="0" fontId="2" fillId="3" borderId="54" xfId="0" applyFont="1" applyFill="1" applyBorder="1" applyAlignment="1">
      <alignment horizontal="center" wrapText="1"/>
    </xf>
    <xf numFmtId="0" fontId="2" fillId="3" borderId="55" xfId="0" applyFont="1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1" fontId="0" fillId="0" borderId="0" xfId="1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</cellXfs>
  <cellStyles count="10">
    <cellStyle name="Comma 2" xfId="9" xr:uid="{EDAB4029-72E1-43FE-9A9E-95ABD9D16856}"/>
    <cellStyle name="Currency 2" xfId="8" xr:uid="{30AD2BAF-CBCE-492C-A419-E5035BCBE70C}"/>
    <cellStyle name="Excel Built-in Normal" xfId="7" xr:uid="{94DAA543-6658-4B45-BF90-1AE6F6E5A4DC}"/>
    <cellStyle name="Normal" xfId="0" builtinId="0"/>
    <cellStyle name="Normal 2 2" xfId="6" xr:uid="{260B04A5-8C4F-0740-AEED-C0AE9AEE4DCF}"/>
    <cellStyle name="Normal 3 2 2" xfId="3" xr:uid="{75D1FA80-5EB5-F748-B03B-02779591BE95}"/>
    <cellStyle name="Normal 5" xfId="5" xr:uid="{A1036E0B-7A52-9C45-93B2-8C4A1E6DE03F}"/>
    <cellStyle name="Normal_Sheet1" xfId="4" xr:uid="{2A721CA7-CFB1-304F-AC9A-1B0503CA7420}"/>
    <cellStyle name="Porcentagem" xfId="2" builtinId="5"/>
    <cellStyle name="Vírgula" xfId="1" builtinId="3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CCCCCC"/>
      <color rgb="FFCA323C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Ponto</a:t>
            </a:r>
            <a:r>
              <a:rPr lang="en-US" baseline="0">
                <a:solidFill>
                  <a:schemeClr val="tx1"/>
                </a:solidFill>
              </a:rPr>
              <a:t> de Equilíbrio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'Ponto de Equilíbrio'!$I$5</c:f>
              <c:strCache>
                <c:ptCount val="1"/>
                <c:pt idx="0">
                  <c:v>Produto 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'Ponto de Equilíbrio'!$J$4:$AM$4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'Ponto de Equilíbrio'!$J$5:$AM$5</c:f>
              <c:numCache>
                <c:formatCode>_-"R$"\ * #,##0_-;\-"R$"\ * #,##0_-;_-"R$"\ * "-"??_-;_-@_-</c:formatCode>
                <c:ptCount val="30"/>
                <c:pt idx="0">
                  <c:v>803.32916666666654</c:v>
                </c:pt>
                <c:pt idx="1">
                  <c:v>1606.6583333333331</c:v>
                </c:pt>
                <c:pt idx="2">
                  <c:v>2409.9874999999997</c:v>
                </c:pt>
                <c:pt idx="3">
                  <c:v>3213.3166666666662</c:v>
                </c:pt>
                <c:pt idx="4">
                  <c:v>4016.6458333333326</c:v>
                </c:pt>
                <c:pt idx="5">
                  <c:v>4819.9749999999995</c:v>
                </c:pt>
                <c:pt idx="6">
                  <c:v>5623.3041666666659</c:v>
                </c:pt>
                <c:pt idx="7">
                  <c:v>6426.6333333333323</c:v>
                </c:pt>
                <c:pt idx="8">
                  <c:v>7229.9624999999987</c:v>
                </c:pt>
                <c:pt idx="9">
                  <c:v>8033.2916666666652</c:v>
                </c:pt>
                <c:pt idx="10">
                  <c:v>8836.6208333333325</c:v>
                </c:pt>
                <c:pt idx="11">
                  <c:v>9639.9499999999989</c:v>
                </c:pt>
                <c:pt idx="12">
                  <c:v>10443.279166666665</c:v>
                </c:pt>
                <c:pt idx="13">
                  <c:v>11246.608333333332</c:v>
                </c:pt>
                <c:pt idx="14">
                  <c:v>12049.937499999998</c:v>
                </c:pt>
                <c:pt idx="15">
                  <c:v>12853.266666666665</c:v>
                </c:pt>
                <c:pt idx="16">
                  <c:v>13656.595833333331</c:v>
                </c:pt>
                <c:pt idx="17">
                  <c:v>14459.924999999997</c:v>
                </c:pt>
                <c:pt idx="18">
                  <c:v>15263.254166666664</c:v>
                </c:pt>
                <c:pt idx="19">
                  <c:v>16066.58333333333</c:v>
                </c:pt>
                <c:pt idx="20">
                  <c:v>16869.912499999999</c:v>
                </c:pt>
                <c:pt idx="21">
                  <c:v>17673.241666666665</c:v>
                </c:pt>
                <c:pt idx="22">
                  <c:v>18476.570833333331</c:v>
                </c:pt>
                <c:pt idx="23">
                  <c:v>19279.899999999998</c:v>
                </c:pt>
                <c:pt idx="24">
                  <c:v>20083.229166666664</c:v>
                </c:pt>
                <c:pt idx="25">
                  <c:v>20886.558333333331</c:v>
                </c:pt>
                <c:pt idx="26">
                  <c:v>21689.887499999997</c:v>
                </c:pt>
                <c:pt idx="27">
                  <c:v>22493.216666666664</c:v>
                </c:pt>
                <c:pt idx="28">
                  <c:v>23296.54583333333</c:v>
                </c:pt>
                <c:pt idx="29">
                  <c:v>24099.874999999996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F-B24F-BE14-F68F63490CFC}"/>
            </c:ext>
          </c:extLst>
        </c:ser>
        <c:ser>
          <c:idx val="1"/>
          <c:order val="1"/>
          <c:tx>
            <c:strRef>
              <c:f>'Ponto de Equilíbrio'!$I$6</c:f>
              <c:strCache>
                <c:ptCount val="1"/>
                <c:pt idx="0">
                  <c:v>Produto 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'Ponto de Equilíbrio'!$J$4:$AM$4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'Ponto de Equilíbrio'!$J$6:$AM$6</c:f>
              <c:numCache>
                <c:formatCode>_-"R$"\ * #,##0_-;\-"R$"\ * #,##0_-;_-"R$"\ * "-"??_-;_-@_-</c:formatCode>
                <c:ptCount val="30"/>
                <c:pt idx="0">
                  <c:v>2234.0225</c:v>
                </c:pt>
                <c:pt idx="1">
                  <c:v>4468.0450000000001</c:v>
                </c:pt>
                <c:pt idx="2">
                  <c:v>6702.0675000000001</c:v>
                </c:pt>
                <c:pt idx="3">
                  <c:v>8936.09</c:v>
                </c:pt>
                <c:pt idx="4">
                  <c:v>11170.112499999999</c:v>
                </c:pt>
                <c:pt idx="5">
                  <c:v>13404.134999999998</c:v>
                </c:pt>
                <c:pt idx="6">
                  <c:v>15638.157499999998</c:v>
                </c:pt>
                <c:pt idx="7">
                  <c:v>17872.179999999997</c:v>
                </c:pt>
                <c:pt idx="8">
                  <c:v>20106.202499999996</c:v>
                </c:pt>
                <c:pt idx="9">
                  <c:v>22340.224999999995</c:v>
                </c:pt>
                <c:pt idx="10">
                  <c:v>24574.247499999994</c:v>
                </c:pt>
                <c:pt idx="11">
                  <c:v>26808.269999999993</c:v>
                </c:pt>
                <c:pt idx="12">
                  <c:v>29042.292499999992</c:v>
                </c:pt>
                <c:pt idx="13">
                  <c:v>31276.314999999991</c:v>
                </c:pt>
                <c:pt idx="14">
                  <c:v>33510.337499999994</c:v>
                </c:pt>
                <c:pt idx="15">
                  <c:v>35744.359999999993</c:v>
                </c:pt>
                <c:pt idx="16">
                  <c:v>37978.382499999992</c:v>
                </c:pt>
                <c:pt idx="17">
                  <c:v>40212.404999999992</c:v>
                </c:pt>
                <c:pt idx="18">
                  <c:v>42446.427499999991</c:v>
                </c:pt>
                <c:pt idx="19">
                  <c:v>44680.44999999999</c:v>
                </c:pt>
                <c:pt idx="20">
                  <c:v>46914.472499999989</c:v>
                </c:pt>
                <c:pt idx="21">
                  <c:v>49148.494999999988</c:v>
                </c:pt>
                <c:pt idx="22">
                  <c:v>51382.517499999987</c:v>
                </c:pt>
                <c:pt idx="23">
                  <c:v>53616.539999999986</c:v>
                </c:pt>
                <c:pt idx="24">
                  <c:v>55850.562499999985</c:v>
                </c:pt>
                <c:pt idx="25">
                  <c:v>58084.584999999985</c:v>
                </c:pt>
                <c:pt idx="26">
                  <c:v>60318.607499999984</c:v>
                </c:pt>
                <c:pt idx="27">
                  <c:v>62552.629999999983</c:v>
                </c:pt>
                <c:pt idx="28">
                  <c:v>64786.652499999982</c:v>
                </c:pt>
                <c:pt idx="29">
                  <c:v>67020.674999999988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F-B24F-BE14-F68F63490CFC}"/>
            </c:ext>
          </c:extLst>
        </c:ser>
        <c:ser>
          <c:idx val="2"/>
          <c:order val="2"/>
          <c:tx>
            <c:strRef>
              <c:f>'Ponto de Equilíbrio'!$I$7</c:f>
              <c:strCache>
                <c:ptCount val="1"/>
                <c:pt idx="0">
                  <c:v>Produto 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'Ponto de Equilíbrio'!$J$4:$AM$4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'Ponto de Equilíbrio'!$J$7:$AM$7</c:f>
              <c:numCache>
                <c:formatCode>_-"R$"\ * #,##0_-;\-"R$"\ * #,##0_-;_-"R$"\ * "-"??_-;_-@_-</c:formatCode>
                <c:ptCount val="30"/>
                <c:pt idx="0">
                  <c:v>1174.9559999999997</c:v>
                </c:pt>
                <c:pt idx="1">
                  <c:v>2349.9119999999994</c:v>
                </c:pt>
                <c:pt idx="2">
                  <c:v>3524.867999999999</c:v>
                </c:pt>
                <c:pt idx="3">
                  <c:v>4699.8239999999987</c:v>
                </c:pt>
                <c:pt idx="4">
                  <c:v>5874.7799999999988</c:v>
                </c:pt>
                <c:pt idx="5">
                  <c:v>7049.735999999999</c:v>
                </c:pt>
                <c:pt idx="6">
                  <c:v>8224.6919999999991</c:v>
                </c:pt>
                <c:pt idx="7">
                  <c:v>9399.6479999999992</c:v>
                </c:pt>
                <c:pt idx="8">
                  <c:v>10574.603999999999</c:v>
                </c:pt>
                <c:pt idx="9">
                  <c:v>11749.56</c:v>
                </c:pt>
                <c:pt idx="10">
                  <c:v>12924.516</c:v>
                </c:pt>
                <c:pt idx="11">
                  <c:v>14099.472</c:v>
                </c:pt>
                <c:pt idx="12">
                  <c:v>15274.428</c:v>
                </c:pt>
                <c:pt idx="13">
                  <c:v>16449.383999999998</c:v>
                </c:pt>
                <c:pt idx="14">
                  <c:v>17624.339999999997</c:v>
                </c:pt>
                <c:pt idx="15">
                  <c:v>18799.295999999995</c:v>
                </c:pt>
                <c:pt idx="16">
                  <c:v>19974.251999999993</c:v>
                </c:pt>
                <c:pt idx="17">
                  <c:v>21149.207999999991</c:v>
                </c:pt>
                <c:pt idx="18">
                  <c:v>22324.16399999999</c:v>
                </c:pt>
                <c:pt idx="19">
                  <c:v>23499.119999999988</c:v>
                </c:pt>
                <c:pt idx="20">
                  <c:v>24674.075999999986</c:v>
                </c:pt>
                <c:pt idx="21">
                  <c:v>25849.031999999985</c:v>
                </c:pt>
                <c:pt idx="22">
                  <c:v>27023.987999999983</c:v>
                </c:pt>
                <c:pt idx="23">
                  <c:v>28198.943999999981</c:v>
                </c:pt>
                <c:pt idx="24">
                  <c:v>29373.89999999998</c:v>
                </c:pt>
                <c:pt idx="25">
                  <c:v>30548.855999999978</c:v>
                </c:pt>
                <c:pt idx="26">
                  <c:v>31723.811999999976</c:v>
                </c:pt>
                <c:pt idx="27">
                  <c:v>32898.767999999975</c:v>
                </c:pt>
                <c:pt idx="28">
                  <c:v>34073.723999999973</c:v>
                </c:pt>
                <c:pt idx="29">
                  <c:v>35248.679999999971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F-B24F-BE14-F68F63490CFC}"/>
            </c:ext>
          </c:extLst>
        </c:ser>
        <c:ser>
          <c:idx val="3"/>
          <c:order val="3"/>
          <c:tx>
            <c:strRef>
              <c:f>'Ponto de Equilíbrio'!$I$8</c:f>
              <c:strCache>
                <c:ptCount val="1"/>
                <c:pt idx="0">
                  <c:v>Custo Fixo Mensal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'Ponto de Equilíbrio'!$J$4:$AM$4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'Ponto de Equilíbrio'!$J$8:$AM$8</c:f>
              <c:numCache>
                <c:formatCode>"R$"\ #,##0</c:formatCode>
                <c:ptCount val="30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FF-B24F-BE14-F68F63490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693120"/>
        <c:axId val="1578195120"/>
      </c:lineChart>
      <c:catAx>
        <c:axId val="15796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195120"/>
        <c:crosses val="autoZero"/>
        <c:auto val="1"/>
        <c:lblAlgn val="ctr"/>
        <c:lblOffset val="100"/>
        <c:noMultiLvlLbl val="0"/>
      </c:catAx>
      <c:valAx>
        <c:axId val="15781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693120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Ponto</a:t>
            </a:r>
            <a:r>
              <a:rPr lang="en-US" baseline="0">
                <a:solidFill>
                  <a:schemeClr val="tx1"/>
                </a:solidFill>
              </a:rPr>
              <a:t> de Equilíbrio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'Preço Margem Volume'!$I$5</c:f>
              <c:strCache>
                <c:ptCount val="1"/>
                <c:pt idx="0">
                  <c:v>Produto 1 - Preço 1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'Preço Margem Volume'!$J$4:$AM$4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'Preço Margem Volume'!$J$5:$AM$5</c:f>
              <c:numCache>
                <c:formatCode>_-"R$"\ * #,##0_-;\-"R$"\ * #,##0_-;_-"R$"\ * "-"??_-;_-@_-</c:formatCode>
                <c:ptCount val="30"/>
                <c:pt idx="0">
                  <c:v>1339.9916666666663</c:v>
                </c:pt>
                <c:pt idx="1">
                  <c:v>2679.9833333333327</c:v>
                </c:pt>
                <c:pt idx="2">
                  <c:v>4019.974999999999</c:v>
                </c:pt>
                <c:pt idx="3">
                  <c:v>5359.9666666666653</c:v>
                </c:pt>
                <c:pt idx="4">
                  <c:v>6699.9583333333321</c:v>
                </c:pt>
                <c:pt idx="5">
                  <c:v>8039.9499999999989</c:v>
                </c:pt>
                <c:pt idx="6">
                  <c:v>9379.9416666666657</c:v>
                </c:pt>
                <c:pt idx="7">
                  <c:v>10719.933333333332</c:v>
                </c:pt>
                <c:pt idx="8">
                  <c:v>12059.924999999999</c:v>
                </c:pt>
                <c:pt idx="9">
                  <c:v>13399.916666666666</c:v>
                </c:pt>
                <c:pt idx="10">
                  <c:v>14739.908333333333</c:v>
                </c:pt>
                <c:pt idx="11">
                  <c:v>16079.9</c:v>
                </c:pt>
                <c:pt idx="12">
                  <c:v>17419.891666666666</c:v>
                </c:pt>
                <c:pt idx="13">
                  <c:v>18759.883333333331</c:v>
                </c:pt>
                <c:pt idx="14">
                  <c:v>20099.874999999996</c:v>
                </c:pt>
                <c:pt idx="15">
                  <c:v>21439.866666666661</c:v>
                </c:pt>
                <c:pt idx="16">
                  <c:v>22779.858333333326</c:v>
                </c:pt>
                <c:pt idx="17">
                  <c:v>24119.849999999991</c:v>
                </c:pt>
                <c:pt idx="18">
                  <c:v>25459.841666666656</c:v>
                </c:pt>
                <c:pt idx="19">
                  <c:v>26799.833333333321</c:v>
                </c:pt>
                <c:pt idx="20">
                  <c:v>28139.824999999986</c:v>
                </c:pt>
                <c:pt idx="21">
                  <c:v>29479.816666666651</c:v>
                </c:pt>
                <c:pt idx="22">
                  <c:v>30819.808333333316</c:v>
                </c:pt>
                <c:pt idx="23">
                  <c:v>32159.799999999981</c:v>
                </c:pt>
                <c:pt idx="24">
                  <c:v>33499.79166666665</c:v>
                </c:pt>
                <c:pt idx="25">
                  <c:v>34839.783333333318</c:v>
                </c:pt>
                <c:pt idx="26">
                  <c:v>36179.774999999987</c:v>
                </c:pt>
                <c:pt idx="27">
                  <c:v>37519.766666666656</c:v>
                </c:pt>
                <c:pt idx="28">
                  <c:v>38859.758333333324</c:v>
                </c:pt>
                <c:pt idx="29">
                  <c:v>40199.749999999993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A840-BD45-764C888129E0}"/>
            </c:ext>
          </c:extLst>
        </c:ser>
        <c:ser>
          <c:idx val="1"/>
          <c:order val="1"/>
          <c:tx>
            <c:strRef>
              <c:f>'Preço Margem Volume'!$I$6</c:f>
              <c:strCache>
                <c:ptCount val="1"/>
                <c:pt idx="0">
                  <c:v>Produto 1 - Preço 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'Preço Margem Volume'!$J$4:$AM$4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'Preço Margem Volume'!$J$6:$AM$6</c:f>
              <c:numCache>
                <c:formatCode>_-"R$"\ * #,##0_-;\-"R$"\ * #,##0_-;_-"R$"\ * "-"??_-;_-@_-</c:formatCode>
                <c:ptCount val="30"/>
                <c:pt idx="0">
                  <c:v>1148.5243333333331</c:v>
                </c:pt>
                <c:pt idx="1">
                  <c:v>2297.0486666666661</c:v>
                </c:pt>
                <c:pt idx="2">
                  <c:v>3445.5729999999994</c:v>
                </c:pt>
                <c:pt idx="3">
                  <c:v>4594.0973333333322</c:v>
                </c:pt>
                <c:pt idx="4">
                  <c:v>5742.6216666666651</c:v>
                </c:pt>
                <c:pt idx="5">
                  <c:v>6891.1459999999979</c:v>
                </c:pt>
                <c:pt idx="6">
                  <c:v>8039.6703333333307</c:v>
                </c:pt>
                <c:pt idx="7">
                  <c:v>9188.1946666666645</c:v>
                </c:pt>
                <c:pt idx="8">
                  <c:v>10336.718999999997</c:v>
                </c:pt>
                <c:pt idx="9">
                  <c:v>11485.24333333333</c:v>
                </c:pt>
                <c:pt idx="10">
                  <c:v>12633.767666666663</c:v>
                </c:pt>
                <c:pt idx="11">
                  <c:v>13782.291999999996</c:v>
                </c:pt>
                <c:pt idx="12">
                  <c:v>14930.816333333329</c:v>
                </c:pt>
                <c:pt idx="13">
                  <c:v>16079.340666666661</c:v>
                </c:pt>
                <c:pt idx="14">
                  <c:v>17227.864999999994</c:v>
                </c:pt>
                <c:pt idx="15">
                  <c:v>18376.389333333329</c:v>
                </c:pt>
                <c:pt idx="16">
                  <c:v>19524.913666666664</c:v>
                </c:pt>
                <c:pt idx="17">
                  <c:v>20673.437999999998</c:v>
                </c:pt>
                <c:pt idx="18">
                  <c:v>21821.962333333333</c:v>
                </c:pt>
                <c:pt idx="19">
                  <c:v>22970.486666666668</c:v>
                </c:pt>
                <c:pt idx="20">
                  <c:v>24119.011000000002</c:v>
                </c:pt>
                <c:pt idx="21">
                  <c:v>25267.535333333337</c:v>
                </c:pt>
                <c:pt idx="22">
                  <c:v>26416.059666666672</c:v>
                </c:pt>
                <c:pt idx="23">
                  <c:v>27564.584000000006</c:v>
                </c:pt>
                <c:pt idx="24">
                  <c:v>28713.108333333341</c:v>
                </c:pt>
                <c:pt idx="25">
                  <c:v>29861.632666666676</c:v>
                </c:pt>
                <c:pt idx="26">
                  <c:v>31010.15700000001</c:v>
                </c:pt>
                <c:pt idx="27">
                  <c:v>32158.681333333345</c:v>
                </c:pt>
                <c:pt idx="28">
                  <c:v>33307.205666666676</c:v>
                </c:pt>
                <c:pt idx="29">
                  <c:v>34455.73000000001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F-A840-BD45-764C888129E0}"/>
            </c:ext>
          </c:extLst>
        </c:ser>
        <c:ser>
          <c:idx val="3"/>
          <c:order val="2"/>
          <c:tx>
            <c:strRef>
              <c:f>'Preço Margem Volume'!$I$8</c:f>
              <c:strCache>
                <c:ptCount val="1"/>
                <c:pt idx="0">
                  <c:v>Custo Fixo Mensal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'Preço Margem Volume'!$J$4:$AM$4</c:f>
              <c:strCache>
                <c:ptCount val="30"/>
                <c:pt idx="0">
                  <c:v>dia 1</c:v>
                </c:pt>
                <c:pt idx="1">
                  <c:v>dia 2</c:v>
                </c:pt>
                <c:pt idx="2">
                  <c:v>dia 3</c:v>
                </c:pt>
                <c:pt idx="3">
                  <c:v>dia 4</c:v>
                </c:pt>
                <c:pt idx="4">
                  <c:v>dia 5</c:v>
                </c:pt>
                <c:pt idx="5">
                  <c:v>dia 6</c:v>
                </c:pt>
                <c:pt idx="6">
                  <c:v>dia 7</c:v>
                </c:pt>
                <c:pt idx="7">
                  <c:v>dia 8</c:v>
                </c:pt>
                <c:pt idx="8">
                  <c:v>dia 9</c:v>
                </c:pt>
                <c:pt idx="9">
                  <c:v>dia 10</c:v>
                </c:pt>
                <c:pt idx="10">
                  <c:v>dia 11</c:v>
                </c:pt>
                <c:pt idx="11">
                  <c:v>dia 12</c:v>
                </c:pt>
                <c:pt idx="12">
                  <c:v>dia 13</c:v>
                </c:pt>
                <c:pt idx="13">
                  <c:v>dia 14</c:v>
                </c:pt>
                <c:pt idx="14">
                  <c:v>dia 15</c:v>
                </c:pt>
                <c:pt idx="15">
                  <c:v>dia 16</c:v>
                </c:pt>
                <c:pt idx="16">
                  <c:v>dia 17</c:v>
                </c:pt>
                <c:pt idx="17">
                  <c:v>dia 18</c:v>
                </c:pt>
                <c:pt idx="18">
                  <c:v>dia 19</c:v>
                </c:pt>
                <c:pt idx="19">
                  <c:v>dia 20</c:v>
                </c:pt>
                <c:pt idx="20">
                  <c:v>dia 21</c:v>
                </c:pt>
                <c:pt idx="21">
                  <c:v>dia 22</c:v>
                </c:pt>
                <c:pt idx="22">
                  <c:v>dia 23</c:v>
                </c:pt>
                <c:pt idx="23">
                  <c:v>dia 24</c:v>
                </c:pt>
                <c:pt idx="24">
                  <c:v>dia 25</c:v>
                </c:pt>
                <c:pt idx="25">
                  <c:v>dia 26</c:v>
                </c:pt>
                <c:pt idx="26">
                  <c:v>dia 27</c:v>
                </c:pt>
                <c:pt idx="27">
                  <c:v>dia 28</c:v>
                </c:pt>
                <c:pt idx="28">
                  <c:v>dia 29</c:v>
                </c:pt>
                <c:pt idx="29">
                  <c:v>dia 30</c:v>
                </c:pt>
              </c:strCache>
            </c:strRef>
          </c:cat>
          <c:val>
            <c:numRef>
              <c:f>'Preço Margem Volume'!$J$8:$AM$8</c:f>
              <c:numCache>
                <c:formatCode>_-* #,##0_-;\-* #,##0_-;_-* "-"??_-;_-@_-</c:formatCode>
                <c:ptCount val="30"/>
                <c:pt idx="0">
                  <c:v>26000</c:v>
                </c:pt>
                <c:pt idx="1">
                  <c:v>26000</c:v>
                </c:pt>
                <c:pt idx="2">
                  <c:v>26000</c:v>
                </c:pt>
                <c:pt idx="3">
                  <c:v>26000</c:v>
                </c:pt>
                <c:pt idx="4">
                  <c:v>26000</c:v>
                </c:pt>
                <c:pt idx="5">
                  <c:v>26000</c:v>
                </c:pt>
                <c:pt idx="6">
                  <c:v>26000</c:v>
                </c:pt>
                <c:pt idx="7">
                  <c:v>26000</c:v>
                </c:pt>
                <c:pt idx="8">
                  <c:v>26000</c:v>
                </c:pt>
                <c:pt idx="9">
                  <c:v>26000</c:v>
                </c:pt>
                <c:pt idx="10">
                  <c:v>26000</c:v>
                </c:pt>
                <c:pt idx="11">
                  <c:v>26000</c:v>
                </c:pt>
                <c:pt idx="12">
                  <c:v>26000</c:v>
                </c:pt>
                <c:pt idx="13">
                  <c:v>26000</c:v>
                </c:pt>
                <c:pt idx="14">
                  <c:v>26000</c:v>
                </c:pt>
                <c:pt idx="15">
                  <c:v>26000</c:v>
                </c:pt>
                <c:pt idx="16">
                  <c:v>26000</c:v>
                </c:pt>
                <c:pt idx="17">
                  <c:v>26000</c:v>
                </c:pt>
                <c:pt idx="18">
                  <c:v>26000</c:v>
                </c:pt>
                <c:pt idx="19">
                  <c:v>26000</c:v>
                </c:pt>
                <c:pt idx="20">
                  <c:v>26000</c:v>
                </c:pt>
                <c:pt idx="21">
                  <c:v>26000</c:v>
                </c:pt>
                <c:pt idx="22">
                  <c:v>26000</c:v>
                </c:pt>
                <c:pt idx="23">
                  <c:v>26000</c:v>
                </c:pt>
                <c:pt idx="24">
                  <c:v>26000</c:v>
                </c:pt>
                <c:pt idx="25">
                  <c:v>26000</c:v>
                </c:pt>
                <c:pt idx="26">
                  <c:v>26000</c:v>
                </c:pt>
                <c:pt idx="27">
                  <c:v>26000</c:v>
                </c:pt>
                <c:pt idx="28">
                  <c:v>26000</c:v>
                </c:pt>
                <c:pt idx="29">
                  <c:v>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AF-A840-BD45-764C88812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693120"/>
        <c:axId val="1578195120"/>
      </c:lineChart>
      <c:catAx>
        <c:axId val="15796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195120"/>
        <c:crosses val="autoZero"/>
        <c:auto val="1"/>
        <c:lblAlgn val="ctr"/>
        <c:lblOffset val="100"/>
        <c:noMultiLvlLbl val="0"/>
      </c:catAx>
      <c:valAx>
        <c:axId val="15781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69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</xdr:colOff>
      <xdr:row>1</xdr:row>
      <xdr:rowOff>114300</xdr:rowOff>
    </xdr:from>
    <xdr:to>
      <xdr:col>5</xdr:col>
      <xdr:colOff>417425</xdr:colOff>
      <xdr:row>1</xdr:row>
      <xdr:rowOff>845820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7E9FD71-F6C3-4844-ADF6-42AF03771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2420"/>
          <a:ext cx="2589125" cy="731520"/>
        </a:xfrm>
        <a:prstGeom prst="rect">
          <a:avLst/>
        </a:prstGeom>
      </xdr:spPr>
    </xdr:pic>
    <xdr:clientData/>
  </xdr:twoCellAnchor>
  <xdr:twoCellAnchor editAs="oneCell">
    <xdr:from>
      <xdr:col>9</xdr:col>
      <xdr:colOff>539313</xdr:colOff>
      <xdr:row>1</xdr:row>
      <xdr:rowOff>531281</xdr:rowOff>
    </xdr:from>
    <xdr:to>
      <xdr:col>11</xdr:col>
      <xdr:colOff>256543</xdr:colOff>
      <xdr:row>1</xdr:row>
      <xdr:rowOff>761999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F2A7BE-1585-4E2A-BB1F-4409946C7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2501" y="727439"/>
          <a:ext cx="1060161" cy="230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461782</xdr:colOff>
      <xdr:row>14</xdr:row>
      <xdr:rowOff>171449</xdr:rowOff>
    </xdr:from>
    <xdr:to>
      <xdr:col>22</xdr:col>
      <xdr:colOff>518475</xdr:colOff>
      <xdr:row>38</xdr:row>
      <xdr:rowOff>191015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D197415-BBE3-8647-A0E3-1F420B73B1E5}"/>
            </a:ext>
          </a:extLst>
        </xdr:cNvPr>
        <xdr:cNvGrpSpPr/>
      </xdr:nvGrpSpPr>
      <xdr:grpSpPr>
        <a:xfrm>
          <a:off x="7757932" y="2971799"/>
          <a:ext cx="14001293" cy="5020191"/>
          <a:chOff x="7856012" y="3123731"/>
          <a:chExt cx="12268200" cy="461645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8783FC6-662C-094E-BBEA-FA8CF8D58638}"/>
              </a:ext>
            </a:extLst>
          </xdr:cNvPr>
          <xdr:cNvGraphicFramePr/>
        </xdr:nvGraphicFramePr>
        <xdr:xfrm>
          <a:off x="7856012" y="3123731"/>
          <a:ext cx="12268200" cy="4616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65C99C05-5180-8C45-870C-A2D7296D0595}"/>
              </a:ext>
            </a:extLst>
          </xdr:cNvPr>
          <xdr:cNvCxnSpPr/>
        </xdr:nvCxnSpPr>
        <xdr:spPr>
          <a:xfrm>
            <a:off x="13101113" y="4247682"/>
            <a:ext cx="0" cy="290829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1B9F1C3-22B2-5E4B-A64E-115AC21C7BF6}"/>
              </a:ext>
            </a:extLst>
          </xdr:cNvPr>
          <xdr:cNvCxnSpPr/>
        </xdr:nvCxnSpPr>
        <xdr:spPr>
          <a:xfrm>
            <a:off x="18231913" y="4831883"/>
            <a:ext cx="0" cy="231140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CEB0F8-39C1-3146-B7E0-CEDC2073C7AF}"/>
              </a:ext>
            </a:extLst>
          </xdr:cNvPr>
          <xdr:cNvSpPr txBox="1"/>
        </xdr:nvSpPr>
        <xdr:spPr>
          <a:xfrm>
            <a:off x="13075713" y="4006381"/>
            <a:ext cx="1727200" cy="698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Ponto de Equilíbrio Produto 2 = 585</a:t>
            </a:r>
            <a:r>
              <a:rPr lang="en-US" sz="1100" b="1" baseline="0"/>
              <a:t> unidades</a:t>
            </a:r>
            <a:endParaRPr lang="en-US" sz="1100" b="1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4C51076-D119-B14D-B458-5CB444A300C1}"/>
              </a:ext>
            </a:extLst>
          </xdr:cNvPr>
          <xdr:cNvSpPr txBox="1"/>
        </xdr:nvSpPr>
        <xdr:spPr>
          <a:xfrm>
            <a:off x="18206513" y="4539782"/>
            <a:ext cx="1727200" cy="596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Ponto de Equilíbrio Produto 3 = 312</a:t>
            </a:r>
            <a:r>
              <a:rPr lang="en-US" sz="1100" b="1" baseline="0"/>
              <a:t> unidades</a:t>
            </a:r>
            <a:endParaRPr lang="en-US" sz="11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472633</xdr:colOff>
      <xdr:row>13</xdr:row>
      <xdr:rowOff>23199</xdr:rowOff>
    </xdr:from>
    <xdr:to>
      <xdr:col>22</xdr:col>
      <xdr:colOff>405114</xdr:colOff>
      <xdr:row>40</xdr:row>
      <xdr:rowOff>115747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D7DAA-3B61-0044-8EB8-7BF4DD309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DA20-2D0D-4627-B7CA-7DF69A7AC2C0}">
  <dimension ref="B2:L11"/>
  <sheetViews>
    <sheetView tabSelected="1" zoomScale="101" workbookViewId="0">
      <selection activeCell="B12" sqref="B12"/>
    </sheetView>
  </sheetViews>
  <sheetFormatPr defaultColWidth="8.796875" defaultRowHeight="15.6" x14ac:dyDescent="0.3"/>
  <cols>
    <col min="1" max="16384" width="8.796875" style="27"/>
  </cols>
  <sheetData>
    <row r="2" spans="2:12" ht="84" customHeight="1" x14ac:dyDescent="0.3"/>
    <row r="3" spans="2:12" x14ac:dyDescent="0.3">
      <c r="B3" s="449" t="s">
        <v>235</v>
      </c>
      <c r="C3" s="450"/>
      <c r="D3" s="450"/>
      <c r="E3" s="450"/>
      <c r="F3" s="450"/>
      <c r="G3" s="450"/>
      <c r="H3" s="450"/>
      <c r="I3" s="450"/>
      <c r="J3" s="450"/>
      <c r="K3" s="450"/>
      <c r="L3" s="450"/>
    </row>
    <row r="4" spans="2:12" ht="17.55" customHeight="1" x14ac:dyDescent="0.3"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</row>
    <row r="5" spans="2:12" ht="17.55" customHeight="1" x14ac:dyDescent="0.3"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</row>
    <row r="6" spans="2:12" x14ac:dyDescent="0.3"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</row>
    <row r="7" spans="2:12" x14ac:dyDescent="0.3">
      <c r="B7" s="450"/>
      <c r="C7" s="450"/>
      <c r="D7" s="450"/>
      <c r="E7" s="450"/>
      <c r="F7" s="450"/>
      <c r="G7" s="450"/>
      <c r="H7" s="450"/>
      <c r="I7" s="450"/>
      <c r="J7" s="450"/>
      <c r="K7" s="450"/>
      <c r="L7" s="450"/>
    </row>
    <row r="11" spans="2:12" x14ac:dyDescent="0.3">
      <c r="B11" s="451" t="s">
        <v>234</v>
      </c>
      <c r="C11" s="452"/>
      <c r="D11" s="452"/>
      <c r="E11" s="452"/>
      <c r="F11" s="452"/>
      <c r="G11" s="452"/>
      <c r="H11" s="452"/>
      <c r="I11" s="452"/>
      <c r="J11" s="452"/>
      <c r="K11" s="452"/>
      <c r="L11" s="452"/>
    </row>
  </sheetData>
  <mergeCells count="2">
    <mergeCell ref="B3:L7"/>
    <mergeCell ref="B11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7B3-6D11-BD45-A1B2-1A13CD925616}">
  <dimension ref="A2:M9"/>
  <sheetViews>
    <sheetView workbookViewId="0">
      <selection activeCell="M6" sqref="M6"/>
    </sheetView>
  </sheetViews>
  <sheetFormatPr defaultColWidth="11.19921875" defaultRowHeight="15.6" x14ac:dyDescent="0.3"/>
  <cols>
    <col min="1" max="1" width="7.19921875" style="18" customWidth="1"/>
    <col min="2" max="2" width="9.796875" style="18" customWidth="1"/>
    <col min="3" max="4" width="11.19921875" style="18"/>
    <col min="5" max="5" width="5.69921875" style="18" customWidth="1"/>
    <col min="6" max="6" width="7.5" style="18" customWidth="1"/>
    <col min="7" max="7" width="17" style="18" customWidth="1"/>
    <col min="8" max="9" width="11.19921875" style="18"/>
    <col min="10" max="10" width="7.296875" style="18" customWidth="1"/>
    <col min="11" max="11" width="15.5" style="18" customWidth="1"/>
    <col min="12" max="16384" width="11.19921875" style="18"/>
  </cols>
  <sheetData>
    <row r="2" spans="1:13" x14ac:dyDescent="0.3">
      <c r="A2" s="17"/>
      <c r="B2" s="214" t="s">
        <v>0</v>
      </c>
      <c r="C2" s="215"/>
      <c r="D2" s="216"/>
      <c r="G2" s="214" t="s">
        <v>1</v>
      </c>
      <c r="H2" s="215"/>
      <c r="K2" s="214" t="s">
        <v>2</v>
      </c>
      <c r="L2" s="215"/>
      <c r="M2" s="217"/>
    </row>
    <row r="3" spans="1:13" x14ac:dyDescent="0.3">
      <c r="B3" s="342"/>
      <c r="C3" s="381" t="s">
        <v>3</v>
      </c>
      <c r="D3" s="378" t="s">
        <v>4</v>
      </c>
      <c r="G3" s="308"/>
      <c r="H3" s="384" t="s">
        <v>3</v>
      </c>
      <c r="K3" s="310"/>
      <c r="L3" s="388" t="s">
        <v>3</v>
      </c>
      <c r="M3" s="391" t="s">
        <v>4</v>
      </c>
    </row>
    <row r="4" spans="1:13" x14ac:dyDescent="0.3">
      <c r="B4" s="376" t="s">
        <v>5</v>
      </c>
      <c r="C4" s="382">
        <v>100</v>
      </c>
      <c r="D4" s="379"/>
      <c r="G4" s="385" t="s">
        <v>6</v>
      </c>
      <c r="H4" s="329">
        <f>H5+H6</f>
        <v>100</v>
      </c>
      <c r="K4" s="314" t="s">
        <v>7</v>
      </c>
      <c r="L4" s="389">
        <v>50</v>
      </c>
      <c r="M4" s="317">
        <v>50</v>
      </c>
    </row>
    <row r="5" spans="1:13" x14ac:dyDescent="0.3">
      <c r="B5" s="377" t="s">
        <v>8</v>
      </c>
      <c r="C5" s="383">
        <v>-50</v>
      </c>
      <c r="D5" s="380"/>
      <c r="G5" s="333" t="s">
        <v>9</v>
      </c>
      <c r="H5" s="329">
        <v>50</v>
      </c>
      <c r="K5" s="314" t="s">
        <v>10</v>
      </c>
      <c r="L5" s="389">
        <v>0</v>
      </c>
      <c r="M5" s="317">
        <v>-50</v>
      </c>
    </row>
    <row r="6" spans="1:13" x14ac:dyDescent="0.3">
      <c r="B6" s="36" t="s">
        <v>11</v>
      </c>
      <c r="C6" s="30">
        <f>C4+C5</f>
        <v>50</v>
      </c>
      <c r="D6" s="37"/>
      <c r="G6" s="333" t="s">
        <v>12</v>
      </c>
      <c r="H6" s="329">
        <v>50</v>
      </c>
      <c r="K6" s="387" t="s">
        <v>13</v>
      </c>
      <c r="L6" s="390">
        <f>L4+L5</f>
        <v>50</v>
      </c>
      <c r="M6" s="320">
        <f>M4+M5</f>
        <v>0</v>
      </c>
    </row>
    <row r="7" spans="1:13" x14ac:dyDescent="0.3">
      <c r="G7" s="322"/>
      <c r="H7" s="329"/>
    </row>
    <row r="8" spans="1:13" x14ac:dyDescent="0.3">
      <c r="G8" s="385" t="s">
        <v>14</v>
      </c>
      <c r="H8" s="329">
        <f>H9</f>
        <v>50</v>
      </c>
    </row>
    <row r="9" spans="1:13" x14ac:dyDescent="0.3">
      <c r="G9" s="386" t="s">
        <v>15</v>
      </c>
      <c r="H9" s="32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11FA-0291-A34F-87FF-2FD35286EA67}">
  <dimension ref="A1:F71"/>
  <sheetViews>
    <sheetView topLeftCell="A44" zoomScaleNormal="100" workbookViewId="0">
      <selection activeCell="D69" sqref="D69"/>
    </sheetView>
  </sheetViews>
  <sheetFormatPr defaultColWidth="11.19921875" defaultRowHeight="15.6" x14ac:dyDescent="0.3"/>
  <cols>
    <col min="1" max="1" width="11.19921875" style="18"/>
    <col min="2" max="2" width="33.19921875" style="20" customWidth="1"/>
    <col min="3" max="4" width="26" style="26" customWidth="1"/>
    <col min="5" max="16384" width="11.19921875" style="18"/>
  </cols>
  <sheetData>
    <row r="1" spans="1:5" ht="16.95" customHeight="1" x14ac:dyDescent="0.3">
      <c r="A1" s="29"/>
      <c r="B1" s="63"/>
      <c r="C1" s="132"/>
      <c r="D1" s="132"/>
      <c r="E1" s="64"/>
    </row>
    <row r="2" spans="1:5" x14ac:dyDescent="0.3">
      <c r="A2" s="29"/>
      <c r="B2" s="294" t="s">
        <v>42</v>
      </c>
      <c r="C2" s="295" t="s">
        <v>43</v>
      </c>
      <c r="D2" s="295">
        <f>SUM(D3:D5)</f>
        <v>800</v>
      </c>
      <c r="E2" s="64"/>
    </row>
    <row r="3" spans="1:5" x14ac:dyDescent="0.3">
      <c r="A3" s="29"/>
      <c r="B3" s="55" t="s">
        <v>44</v>
      </c>
      <c r="C3" s="58"/>
      <c r="D3" s="447">
        <v>100</v>
      </c>
      <c r="E3" s="64"/>
    </row>
    <row r="4" spans="1:5" x14ac:dyDescent="0.3">
      <c r="A4" s="29"/>
      <c r="B4" s="55" t="s">
        <v>45</v>
      </c>
      <c r="C4" s="58"/>
      <c r="D4" s="447">
        <v>200</v>
      </c>
      <c r="E4" s="64"/>
    </row>
    <row r="5" spans="1:5" x14ac:dyDescent="0.3">
      <c r="A5" s="29"/>
      <c r="B5" s="55" t="s">
        <v>46</v>
      </c>
      <c r="C5" s="58"/>
      <c r="D5" s="447">
        <v>500</v>
      </c>
      <c r="E5" s="64"/>
    </row>
    <row r="6" spans="1:5" x14ac:dyDescent="0.3">
      <c r="A6" s="29"/>
      <c r="B6" s="57"/>
      <c r="C6" s="58"/>
      <c r="D6" s="207"/>
      <c r="E6" s="64"/>
    </row>
    <row r="7" spans="1:5" x14ac:dyDescent="0.3">
      <c r="A7" s="29"/>
      <c r="B7" s="296" t="s">
        <v>47</v>
      </c>
      <c r="C7" s="297" t="s">
        <v>48</v>
      </c>
      <c r="D7" s="298">
        <f>SUM(D8:D11)</f>
        <v>77.2</v>
      </c>
      <c r="E7" s="64"/>
    </row>
    <row r="8" spans="1:5" x14ac:dyDescent="0.3">
      <c r="A8" s="29"/>
      <c r="B8" s="55" t="s">
        <v>49</v>
      </c>
      <c r="C8" s="58"/>
      <c r="D8" s="447">
        <v>0</v>
      </c>
      <c r="E8" s="64"/>
    </row>
    <row r="9" spans="1:5" x14ac:dyDescent="0.3">
      <c r="A9" s="29"/>
      <c r="B9" s="55" t="s">
        <v>50</v>
      </c>
      <c r="C9" s="58"/>
      <c r="D9" s="447">
        <f>3%*D2</f>
        <v>24</v>
      </c>
      <c r="E9" s="64"/>
    </row>
    <row r="10" spans="1:5" x14ac:dyDescent="0.3">
      <c r="A10" s="29"/>
      <c r="B10" s="55" t="s">
        <v>51</v>
      </c>
      <c r="C10" s="58"/>
      <c r="D10" s="447">
        <f>0.65%*D2</f>
        <v>5.2</v>
      </c>
      <c r="E10" s="64"/>
    </row>
    <row r="11" spans="1:5" x14ac:dyDescent="0.3">
      <c r="A11" s="29"/>
      <c r="B11" s="55" t="s">
        <v>52</v>
      </c>
      <c r="C11" s="58"/>
      <c r="D11" s="447">
        <f>6%*D2</f>
        <v>48</v>
      </c>
      <c r="E11" s="64"/>
    </row>
    <row r="12" spans="1:5" x14ac:dyDescent="0.3">
      <c r="A12" s="29"/>
      <c r="B12" s="57"/>
      <c r="C12" s="58"/>
      <c r="D12" s="207"/>
      <c r="E12" s="64"/>
    </row>
    <row r="13" spans="1:5" x14ac:dyDescent="0.3">
      <c r="A13" s="29"/>
      <c r="B13" s="296" t="s">
        <v>53</v>
      </c>
      <c r="C13" s="298" t="s">
        <v>54</v>
      </c>
      <c r="D13" s="298">
        <f>SUM(D14:D16)</f>
        <v>30</v>
      </c>
      <c r="E13" s="64"/>
    </row>
    <row r="14" spans="1:5" x14ac:dyDescent="0.3">
      <c r="A14" s="29"/>
      <c r="B14" s="55" t="s">
        <v>292</v>
      </c>
      <c r="C14" s="58"/>
      <c r="D14" s="447">
        <v>10</v>
      </c>
      <c r="E14" s="64"/>
    </row>
    <row r="15" spans="1:5" x14ac:dyDescent="0.3">
      <c r="A15" s="29"/>
      <c r="B15" s="55" t="s">
        <v>55</v>
      </c>
      <c r="C15" s="58"/>
      <c r="D15" s="447">
        <v>15</v>
      </c>
      <c r="E15" s="64"/>
    </row>
    <row r="16" spans="1:5" x14ac:dyDescent="0.3">
      <c r="A16" s="29"/>
      <c r="B16" s="55" t="s">
        <v>56</v>
      </c>
      <c r="C16" s="58"/>
      <c r="D16" s="447">
        <v>5</v>
      </c>
      <c r="E16" s="64"/>
    </row>
    <row r="17" spans="1:6" x14ac:dyDescent="0.3">
      <c r="A17" s="29"/>
      <c r="B17" s="57"/>
      <c r="C17" s="58"/>
      <c r="D17" s="207"/>
      <c r="E17" s="64"/>
    </row>
    <row r="18" spans="1:6" x14ac:dyDescent="0.3">
      <c r="A18" s="29"/>
      <c r="B18" s="296" t="s">
        <v>58</v>
      </c>
      <c r="C18" s="298" t="s">
        <v>59</v>
      </c>
      <c r="D18" s="298">
        <f>D2-D7-D13</f>
        <v>692.8</v>
      </c>
      <c r="E18" s="64"/>
      <c r="F18" s="29"/>
    </row>
    <row r="19" spans="1:6" x14ac:dyDescent="0.3">
      <c r="A19" s="29"/>
      <c r="B19" s="57"/>
      <c r="C19" s="58"/>
      <c r="D19" s="207"/>
      <c r="E19" s="64"/>
    </row>
    <row r="20" spans="1:6" ht="31.2" x14ac:dyDescent="0.3">
      <c r="A20" s="29"/>
      <c r="B20" s="296" t="s">
        <v>60</v>
      </c>
      <c r="C20" s="298" t="s">
        <v>61</v>
      </c>
      <c r="D20" s="298">
        <f>SUM(D21:D23)</f>
        <v>310</v>
      </c>
      <c r="E20" s="64"/>
    </row>
    <row r="21" spans="1:6" x14ac:dyDescent="0.3">
      <c r="A21" s="29"/>
      <c r="B21" s="55" t="s">
        <v>44</v>
      </c>
      <c r="C21" s="207"/>
      <c r="D21" s="447">
        <v>30</v>
      </c>
      <c r="E21" s="64"/>
    </row>
    <row r="22" spans="1:6" x14ac:dyDescent="0.3">
      <c r="A22" s="29"/>
      <c r="B22" s="55" t="s">
        <v>45</v>
      </c>
      <c r="C22" s="207"/>
      <c r="D22" s="447">
        <v>80</v>
      </c>
      <c r="E22" s="64"/>
    </row>
    <row r="23" spans="1:6" x14ac:dyDescent="0.3">
      <c r="A23" s="29"/>
      <c r="B23" s="55" t="s">
        <v>46</v>
      </c>
      <c r="C23" s="207"/>
      <c r="D23" s="447">
        <v>200</v>
      </c>
      <c r="E23" s="64"/>
    </row>
    <row r="24" spans="1:6" x14ac:dyDescent="0.3">
      <c r="A24" s="29"/>
      <c r="B24" s="56"/>
      <c r="C24" s="207"/>
      <c r="D24" s="207"/>
      <c r="E24" s="64"/>
    </row>
    <row r="25" spans="1:6" x14ac:dyDescent="0.3">
      <c r="A25" s="29"/>
      <c r="B25" s="296" t="s">
        <v>62</v>
      </c>
      <c r="C25" s="299" t="s">
        <v>63</v>
      </c>
      <c r="D25" s="299">
        <f>D18-D20</f>
        <v>382.79999999999995</v>
      </c>
      <c r="E25" s="29"/>
    </row>
    <row r="26" spans="1:6" x14ac:dyDescent="0.3">
      <c r="A26" s="29"/>
      <c r="B26" s="296" t="s">
        <v>64</v>
      </c>
      <c r="C26" s="300" t="s">
        <v>65</v>
      </c>
      <c r="D26" s="300">
        <f>D25/D18</f>
        <v>0.55254041570438794</v>
      </c>
      <c r="E26" s="29"/>
    </row>
    <row r="27" spans="1:6" x14ac:dyDescent="0.3">
      <c r="A27" s="29"/>
      <c r="B27" s="41"/>
      <c r="C27" s="133"/>
      <c r="D27" s="133"/>
      <c r="E27" s="29"/>
    </row>
    <row r="28" spans="1:6" x14ac:dyDescent="0.3">
      <c r="A28" s="29"/>
      <c r="B28" s="301" t="s">
        <v>66</v>
      </c>
      <c r="C28" s="299" t="s">
        <v>67</v>
      </c>
      <c r="D28" s="299">
        <f>D29+D40</f>
        <v>192</v>
      </c>
      <c r="E28" s="29"/>
    </row>
    <row r="29" spans="1:6" x14ac:dyDescent="0.3">
      <c r="A29" s="29"/>
      <c r="B29" s="302" t="s">
        <v>68</v>
      </c>
      <c r="C29" s="298" t="s">
        <v>69</v>
      </c>
      <c r="D29" s="298">
        <f>SUM(D30:D35)</f>
        <v>144</v>
      </c>
      <c r="E29" s="29"/>
    </row>
    <row r="30" spans="1:6" x14ac:dyDescent="0.3">
      <c r="A30" s="29"/>
      <c r="B30" s="44" t="s">
        <v>70</v>
      </c>
      <c r="C30" s="207"/>
      <c r="D30" s="447">
        <v>30</v>
      </c>
      <c r="E30" s="29"/>
    </row>
    <row r="31" spans="1:6" x14ac:dyDescent="0.3">
      <c r="A31" s="29"/>
      <c r="B31" s="44" t="s">
        <v>71</v>
      </c>
      <c r="C31" s="207"/>
      <c r="D31" s="447">
        <v>40</v>
      </c>
      <c r="E31" s="29"/>
    </row>
    <row r="32" spans="1:6" x14ac:dyDescent="0.3">
      <c r="A32" s="29"/>
      <c r="B32" s="44" t="s">
        <v>72</v>
      </c>
      <c r="C32" s="207"/>
      <c r="D32" s="447">
        <f>3%*D2</f>
        <v>24</v>
      </c>
      <c r="E32" s="29"/>
    </row>
    <row r="33" spans="1:5" x14ac:dyDescent="0.3">
      <c r="A33" s="29"/>
      <c r="B33" s="44" t="s">
        <v>73</v>
      </c>
      <c r="C33" s="207"/>
      <c r="D33" s="447">
        <v>50</v>
      </c>
      <c r="E33" s="29"/>
    </row>
    <row r="34" spans="1:5" x14ac:dyDescent="0.3">
      <c r="A34" s="29"/>
      <c r="B34" s="44" t="s">
        <v>74</v>
      </c>
      <c r="C34" s="207"/>
      <c r="D34" s="447">
        <v>0</v>
      </c>
      <c r="E34" s="29"/>
    </row>
    <row r="35" spans="1:5" x14ac:dyDescent="0.3">
      <c r="A35" s="29"/>
      <c r="B35" s="44" t="s">
        <v>75</v>
      </c>
      <c r="C35" s="207"/>
      <c r="D35" s="447">
        <v>0</v>
      </c>
      <c r="E35" s="29"/>
    </row>
    <row r="36" spans="1:5" x14ac:dyDescent="0.3">
      <c r="A36" s="29"/>
      <c r="B36" s="41"/>
      <c r="C36" s="133"/>
      <c r="D36" s="133"/>
      <c r="E36" s="29"/>
    </row>
    <row r="37" spans="1:5" x14ac:dyDescent="0.3">
      <c r="A37" s="29"/>
      <c r="B37" s="296" t="s">
        <v>76</v>
      </c>
      <c r="C37" s="299" t="s">
        <v>77</v>
      </c>
      <c r="D37" s="299">
        <f>D25-D29</f>
        <v>238.79999999999995</v>
      </c>
      <c r="E37" s="29"/>
    </row>
    <row r="38" spans="1:5" x14ac:dyDescent="0.3">
      <c r="A38" s="29"/>
      <c r="B38" s="296" t="s">
        <v>78</v>
      </c>
      <c r="C38" s="299" t="s">
        <v>79</v>
      </c>
      <c r="D38" s="445">
        <f>D37/D18</f>
        <v>0.34468822170900687</v>
      </c>
      <c r="E38" s="29"/>
    </row>
    <row r="39" spans="1:5" x14ac:dyDescent="0.3">
      <c r="A39" s="29"/>
      <c r="B39" s="41"/>
      <c r="C39" s="133"/>
      <c r="D39" s="133"/>
      <c r="E39" s="29"/>
    </row>
    <row r="40" spans="1:5" x14ac:dyDescent="0.3">
      <c r="A40" s="29"/>
      <c r="B40" s="296" t="s">
        <v>80</v>
      </c>
      <c r="C40" s="298" t="s">
        <v>81</v>
      </c>
      <c r="D40" s="298">
        <f>SUM(D41:D49)</f>
        <v>48</v>
      </c>
      <c r="E40" s="29"/>
    </row>
    <row r="41" spans="1:5" x14ac:dyDescent="0.3">
      <c r="A41" s="29"/>
      <c r="B41" s="44" t="s">
        <v>82</v>
      </c>
      <c r="C41" s="207"/>
      <c r="D41" s="447">
        <v>4</v>
      </c>
      <c r="E41" s="29"/>
    </row>
    <row r="42" spans="1:5" x14ac:dyDescent="0.3">
      <c r="A42" s="29"/>
      <c r="B42" s="44" t="s">
        <v>83</v>
      </c>
      <c r="C42" s="207"/>
      <c r="D42" s="447">
        <v>20</v>
      </c>
      <c r="E42" s="29"/>
    </row>
    <row r="43" spans="1:5" x14ac:dyDescent="0.3">
      <c r="A43" s="29"/>
      <c r="B43" s="44" t="s">
        <v>84</v>
      </c>
      <c r="C43" s="207"/>
      <c r="D43" s="447">
        <v>8</v>
      </c>
      <c r="E43" s="29"/>
    </row>
    <row r="44" spans="1:5" x14ac:dyDescent="0.3">
      <c r="A44" s="29"/>
      <c r="B44" s="44" t="s">
        <v>85</v>
      </c>
      <c r="C44" s="207"/>
      <c r="D44" s="447">
        <v>4</v>
      </c>
      <c r="E44" s="29"/>
    </row>
    <row r="45" spans="1:5" x14ac:dyDescent="0.3">
      <c r="A45" s="29"/>
      <c r="B45" s="44" t="s">
        <v>86</v>
      </c>
      <c r="C45" s="207"/>
      <c r="D45" s="447">
        <v>4</v>
      </c>
      <c r="E45" s="29"/>
    </row>
    <row r="46" spans="1:5" x14ac:dyDescent="0.3">
      <c r="A46" s="29"/>
      <c r="B46" s="44" t="s">
        <v>87</v>
      </c>
      <c r="C46" s="207"/>
      <c r="D46" s="447">
        <v>3</v>
      </c>
      <c r="E46" s="29"/>
    </row>
    <row r="47" spans="1:5" x14ac:dyDescent="0.3">
      <c r="A47" s="29"/>
      <c r="B47" s="44" t="s">
        <v>226</v>
      </c>
      <c r="C47" s="207"/>
      <c r="D47" s="447">
        <v>5</v>
      </c>
      <c r="E47" s="29"/>
    </row>
    <row r="48" spans="1:5" x14ac:dyDescent="0.3">
      <c r="A48" s="29"/>
      <c r="B48" s="44" t="s">
        <v>74</v>
      </c>
      <c r="C48" s="207"/>
      <c r="D48" s="447">
        <v>0</v>
      </c>
      <c r="E48" s="29"/>
    </row>
    <row r="49" spans="1:5" x14ac:dyDescent="0.3">
      <c r="A49" s="29"/>
      <c r="B49" s="44" t="s">
        <v>75</v>
      </c>
      <c r="C49" s="207"/>
      <c r="D49" s="447">
        <v>0</v>
      </c>
      <c r="E49" s="29"/>
    </row>
    <row r="50" spans="1:5" x14ac:dyDescent="0.3">
      <c r="A50" s="29"/>
      <c r="B50" s="41"/>
      <c r="C50" s="133"/>
      <c r="D50" s="133"/>
      <c r="E50" s="29"/>
    </row>
    <row r="51" spans="1:5" ht="46.8" x14ac:dyDescent="0.3">
      <c r="A51" s="29"/>
      <c r="B51" s="303" t="s">
        <v>88</v>
      </c>
      <c r="C51" s="304" t="s">
        <v>89</v>
      </c>
      <c r="D51" s="304">
        <f>D37-D40</f>
        <v>190.79999999999995</v>
      </c>
      <c r="E51" s="448"/>
    </row>
    <row r="52" spans="1:5" x14ac:dyDescent="0.3">
      <c r="A52" s="29"/>
      <c r="B52" s="301" t="s">
        <v>90</v>
      </c>
      <c r="C52" s="305" t="s">
        <v>91</v>
      </c>
      <c r="D52" s="305">
        <f>D51/D18</f>
        <v>0.27540415704387988</v>
      </c>
      <c r="E52" s="29"/>
    </row>
    <row r="53" spans="1:5" x14ac:dyDescent="0.3">
      <c r="A53" s="29"/>
      <c r="B53" s="41"/>
      <c r="C53" s="208"/>
      <c r="D53" s="208"/>
      <c r="E53" s="29"/>
    </row>
    <row r="54" spans="1:5" x14ac:dyDescent="0.3">
      <c r="A54" s="29"/>
      <c r="B54" s="296" t="s">
        <v>92</v>
      </c>
      <c r="C54" s="298" t="s">
        <v>93</v>
      </c>
      <c r="D54" s="298">
        <f>D55-D56</f>
        <v>10</v>
      </c>
      <c r="E54" s="29"/>
    </row>
    <row r="55" spans="1:5" x14ac:dyDescent="0.3">
      <c r="A55" s="29"/>
      <c r="B55" s="38" t="s">
        <v>94</v>
      </c>
      <c r="C55" s="207"/>
      <c r="D55" s="447">
        <v>10</v>
      </c>
      <c r="E55" s="29"/>
    </row>
    <row r="56" spans="1:5" x14ac:dyDescent="0.3">
      <c r="A56" s="29"/>
      <c r="B56" s="38" t="s">
        <v>95</v>
      </c>
      <c r="C56" s="207"/>
      <c r="D56" s="447">
        <v>0</v>
      </c>
      <c r="E56" s="29"/>
    </row>
    <row r="57" spans="1:5" x14ac:dyDescent="0.3">
      <c r="A57" s="29"/>
      <c r="B57" s="41"/>
      <c r="C57" s="133"/>
      <c r="D57" s="133"/>
      <c r="E57" s="29"/>
    </row>
    <row r="58" spans="1:5" x14ac:dyDescent="0.3">
      <c r="A58" s="29"/>
      <c r="B58" s="296" t="s">
        <v>96</v>
      </c>
      <c r="C58" s="298" t="s">
        <v>97</v>
      </c>
      <c r="D58" s="298">
        <f>D59+D60</f>
        <v>0</v>
      </c>
      <c r="E58" s="29"/>
    </row>
    <row r="59" spans="1:5" x14ac:dyDescent="0.3">
      <c r="A59" s="29"/>
      <c r="B59" s="38" t="s">
        <v>98</v>
      </c>
      <c r="C59" s="133"/>
      <c r="D59" s="447">
        <v>0</v>
      </c>
      <c r="E59" s="29"/>
    </row>
    <row r="60" spans="1:5" x14ac:dyDescent="0.3">
      <c r="A60" s="29"/>
      <c r="B60" s="38" t="s">
        <v>99</v>
      </c>
      <c r="C60" s="133"/>
      <c r="D60" s="447">
        <v>0</v>
      </c>
      <c r="E60" s="29"/>
    </row>
    <row r="61" spans="1:5" x14ac:dyDescent="0.3">
      <c r="A61" s="29"/>
      <c r="B61" s="41"/>
      <c r="C61" s="133"/>
      <c r="D61" s="133"/>
      <c r="E61" s="29"/>
    </row>
    <row r="62" spans="1:5" x14ac:dyDescent="0.3">
      <c r="A62" s="29"/>
      <c r="B62" s="301" t="s">
        <v>100</v>
      </c>
      <c r="C62" s="299" t="s">
        <v>101</v>
      </c>
      <c r="D62" s="299">
        <f>D51-D54-D58</f>
        <v>180.79999999999995</v>
      </c>
      <c r="E62" s="29"/>
    </row>
    <row r="63" spans="1:5" x14ac:dyDescent="0.3">
      <c r="A63" s="29"/>
      <c r="B63" s="41"/>
      <c r="C63" s="133"/>
      <c r="D63" s="133"/>
      <c r="E63" s="29"/>
    </row>
    <row r="64" spans="1:5" x14ac:dyDescent="0.3">
      <c r="A64" s="29"/>
      <c r="B64" s="296" t="s">
        <v>102</v>
      </c>
      <c r="C64" s="298" t="s">
        <v>103</v>
      </c>
      <c r="D64" s="298">
        <f>SUM(D65:D66)</f>
        <v>63.279999999999987</v>
      </c>
      <c r="E64" s="29"/>
    </row>
    <row r="65" spans="1:5" x14ac:dyDescent="0.3">
      <c r="A65" s="29"/>
      <c r="B65" s="38" t="s">
        <v>104</v>
      </c>
      <c r="C65" s="207"/>
      <c r="D65" s="447">
        <f>9%*D62</f>
        <v>16.271999999999995</v>
      </c>
      <c r="E65" s="29"/>
    </row>
    <row r="66" spans="1:5" x14ac:dyDescent="0.3">
      <c r="A66" s="29"/>
      <c r="B66" s="38" t="s">
        <v>105</v>
      </c>
      <c r="C66" s="207"/>
      <c r="D66" s="447">
        <f>26%*D62</f>
        <v>47.007999999999988</v>
      </c>
      <c r="E66" s="29"/>
    </row>
    <row r="67" spans="1:5" x14ac:dyDescent="0.3">
      <c r="A67" s="29"/>
      <c r="B67" s="41"/>
      <c r="C67" s="133"/>
      <c r="D67" s="133"/>
      <c r="E67" s="29"/>
    </row>
    <row r="68" spans="1:5" x14ac:dyDescent="0.3">
      <c r="A68" s="29"/>
      <c r="B68" s="301" t="s">
        <v>106</v>
      </c>
      <c r="C68" s="299" t="s">
        <v>107</v>
      </c>
      <c r="D68" s="299">
        <f>D62-D64</f>
        <v>117.51999999999997</v>
      </c>
      <c r="E68" s="29"/>
    </row>
    <row r="69" spans="1:5" x14ac:dyDescent="0.3">
      <c r="A69" s="29"/>
      <c r="B69" s="306" t="s">
        <v>108</v>
      </c>
      <c r="C69" s="307" t="s">
        <v>109</v>
      </c>
      <c r="D69" s="446">
        <f>D68/D18</f>
        <v>0.16963048498845262</v>
      </c>
      <c r="E69" s="29"/>
    </row>
    <row r="70" spans="1:5" x14ac:dyDescent="0.3">
      <c r="A70" s="29"/>
      <c r="B70" s="60"/>
      <c r="C70" s="132"/>
      <c r="D70" s="132"/>
      <c r="E70" s="29"/>
    </row>
    <row r="71" spans="1:5" x14ac:dyDescent="0.3">
      <c r="A71" s="29"/>
      <c r="B71" s="60"/>
      <c r="C71" s="132"/>
      <c r="D71" s="132"/>
      <c r="E71" s="2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97B-F6B3-9142-AFE8-FCCF15B83B19}">
  <dimension ref="C2:I25"/>
  <sheetViews>
    <sheetView zoomScaleNormal="100" workbookViewId="0">
      <selection activeCell="G26" sqref="G26"/>
    </sheetView>
  </sheetViews>
  <sheetFormatPr defaultColWidth="11.19921875" defaultRowHeight="15.6" x14ac:dyDescent="0.3"/>
  <cols>
    <col min="1" max="2" width="11.19921875" style="18"/>
    <col min="3" max="3" width="29.69921875" style="18" customWidth="1"/>
    <col min="4" max="4" width="11.69921875" style="18" customWidth="1"/>
    <col min="5" max="5" width="11.19921875" style="18"/>
    <col min="6" max="6" width="36.69921875" style="20" bestFit="1" customWidth="1"/>
    <col min="7" max="16384" width="11.19921875" style="18"/>
  </cols>
  <sheetData>
    <row r="2" spans="3:9" x14ac:dyDescent="0.3">
      <c r="F2" s="312"/>
    </row>
    <row r="3" spans="3:9" x14ac:dyDescent="0.3">
      <c r="C3" s="32" t="s">
        <v>16</v>
      </c>
      <c r="D3" s="67">
        <f>D5+D9+D16</f>
        <v>1970</v>
      </c>
      <c r="F3" s="32" t="s">
        <v>29</v>
      </c>
      <c r="G3" s="67">
        <f>SUM(G5:G9)</f>
        <v>1350</v>
      </c>
    </row>
    <row r="4" spans="3:9" ht="13.05" customHeight="1" x14ac:dyDescent="0.3">
      <c r="C4" s="310"/>
      <c r="D4" s="311"/>
      <c r="F4" s="308"/>
      <c r="G4" s="309"/>
    </row>
    <row r="5" spans="3:9" x14ac:dyDescent="0.3">
      <c r="C5" s="314" t="s">
        <v>17</v>
      </c>
      <c r="D5" s="315">
        <f>D6+D7</f>
        <v>400</v>
      </c>
      <c r="F5" s="322" t="s">
        <v>30</v>
      </c>
      <c r="G5" s="321">
        <v>500</v>
      </c>
    </row>
    <row r="6" spans="3:9" x14ac:dyDescent="0.3">
      <c r="C6" s="316" t="s">
        <v>9</v>
      </c>
      <c r="D6" s="317">
        <v>100</v>
      </c>
      <c r="F6" s="323" t="s">
        <v>31</v>
      </c>
      <c r="G6" s="321">
        <v>300</v>
      </c>
    </row>
    <row r="7" spans="3:9" x14ac:dyDescent="0.3">
      <c r="C7" s="316" t="s">
        <v>18</v>
      </c>
      <c r="D7" s="317">
        <v>300</v>
      </c>
      <c r="F7" s="323" t="s">
        <v>32</v>
      </c>
      <c r="G7" s="321">
        <v>200</v>
      </c>
    </row>
    <row r="8" spans="3:9" x14ac:dyDescent="0.3">
      <c r="C8" s="318"/>
      <c r="D8" s="317"/>
      <c r="F8" s="323" t="s">
        <v>33</v>
      </c>
      <c r="G8" s="321">
        <v>150</v>
      </c>
    </row>
    <row r="9" spans="3:9" x14ac:dyDescent="0.3">
      <c r="C9" s="314" t="s">
        <v>19</v>
      </c>
      <c r="D9" s="315">
        <f>SUM(D10:D14)</f>
        <v>570</v>
      </c>
      <c r="F9" s="324" t="s">
        <v>40</v>
      </c>
      <c r="G9" s="325">
        <v>200</v>
      </c>
    </row>
    <row r="10" spans="3:9" x14ac:dyDescent="0.3">
      <c r="C10" s="316" t="s">
        <v>20</v>
      </c>
      <c r="D10" s="317">
        <v>10</v>
      </c>
      <c r="G10" s="23"/>
    </row>
    <row r="11" spans="3:9" x14ac:dyDescent="0.3">
      <c r="C11" s="316" t="s">
        <v>21</v>
      </c>
      <c r="D11" s="317">
        <v>20</v>
      </c>
      <c r="F11" s="32" t="s">
        <v>34</v>
      </c>
      <c r="G11" s="67">
        <f>G13</f>
        <v>100</v>
      </c>
    </row>
    <row r="12" spans="3:9" x14ac:dyDescent="0.3">
      <c r="C12" s="316" t="s">
        <v>12</v>
      </c>
      <c r="D12" s="317">
        <v>500</v>
      </c>
      <c r="F12" s="59"/>
      <c r="G12" s="313"/>
    </row>
    <row r="13" spans="3:9" ht="19.05" customHeight="1" x14ac:dyDescent="0.3">
      <c r="C13" s="316" t="s">
        <v>22</v>
      </c>
      <c r="D13" s="317">
        <v>10</v>
      </c>
      <c r="F13" s="326" t="s">
        <v>41</v>
      </c>
      <c r="G13" s="327">
        <v>100</v>
      </c>
    </row>
    <row r="14" spans="3:9" ht="19.05" customHeight="1" x14ac:dyDescent="0.3">
      <c r="C14" s="316" t="s">
        <v>23</v>
      </c>
      <c r="D14" s="317">
        <v>30</v>
      </c>
      <c r="G14" s="23"/>
    </row>
    <row r="15" spans="3:9" x14ac:dyDescent="0.3">
      <c r="C15" s="318"/>
      <c r="D15" s="317"/>
    </row>
    <row r="16" spans="3:9" x14ac:dyDescent="0.3">
      <c r="C16" s="314" t="s">
        <v>24</v>
      </c>
      <c r="D16" s="315">
        <f>D17</f>
        <v>1000</v>
      </c>
      <c r="F16" s="32" t="s">
        <v>36</v>
      </c>
      <c r="G16" s="67">
        <f>G17+G18+G19+G20</f>
        <v>620</v>
      </c>
      <c r="I16" s="23">
        <f>D23-G3-G11</f>
        <v>620</v>
      </c>
    </row>
    <row r="17" spans="3:7" x14ac:dyDescent="0.3">
      <c r="C17" s="319" t="s">
        <v>25</v>
      </c>
      <c r="D17" s="320">
        <v>1000</v>
      </c>
      <c r="F17" s="308" t="s">
        <v>39</v>
      </c>
      <c r="G17" s="328">
        <v>300</v>
      </c>
    </row>
    <row r="18" spans="3:7" x14ac:dyDescent="0.3">
      <c r="D18" s="22"/>
      <c r="F18" s="322" t="s">
        <v>37</v>
      </c>
      <c r="G18" s="329">
        <v>390</v>
      </c>
    </row>
    <row r="19" spans="3:7" x14ac:dyDescent="0.3">
      <c r="C19" s="32" t="s">
        <v>26</v>
      </c>
      <c r="D19" s="67">
        <f>D20</f>
        <v>100</v>
      </c>
      <c r="F19" s="322" t="s">
        <v>38</v>
      </c>
      <c r="G19" s="329">
        <v>30</v>
      </c>
    </row>
    <row r="20" spans="3:7" x14ac:dyDescent="0.3">
      <c r="C20" s="453" t="s">
        <v>27</v>
      </c>
      <c r="D20" s="455">
        <v>100</v>
      </c>
      <c r="F20" s="326" t="s">
        <v>111</v>
      </c>
      <c r="G20" s="327">
        <v>-100</v>
      </c>
    </row>
    <row r="21" spans="3:7" ht="2.5499999999999998" customHeight="1" x14ac:dyDescent="0.3">
      <c r="C21" s="454"/>
      <c r="D21" s="456"/>
    </row>
    <row r="22" spans="3:7" x14ac:dyDescent="0.3">
      <c r="D22" s="22"/>
      <c r="G22" s="23"/>
    </row>
    <row r="23" spans="3:7" ht="18" x14ac:dyDescent="0.3">
      <c r="C23" s="78" t="s">
        <v>28</v>
      </c>
      <c r="D23" s="75">
        <f>D3+D19</f>
        <v>2070</v>
      </c>
      <c r="F23" s="77" t="s">
        <v>236</v>
      </c>
      <c r="G23" s="76">
        <f>G3+G11+G16</f>
        <v>2070</v>
      </c>
    </row>
    <row r="25" spans="3:7" x14ac:dyDescent="0.3">
      <c r="G25" s="23">
        <f>D23-G23</f>
        <v>0</v>
      </c>
    </row>
  </sheetData>
  <mergeCells count="2">
    <mergeCell ref="C20:C21"/>
    <mergeCell ref="D20:D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A9ED-7B76-1744-8E70-0B558B463415}">
  <dimension ref="B2:P169"/>
  <sheetViews>
    <sheetView zoomScale="106" workbookViewId="0">
      <selection sqref="A1:XFD1048576"/>
    </sheetView>
  </sheetViews>
  <sheetFormatPr defaultColWidth="11.19921875" defaultRowHeight="15.6" x14ac:dyDescent="0.3"/>
  <cols>
    <col min="1" max="2" width="11.19921875" style="18"/>
    <col min="3" max="3" width="27.796875" style="18" bestFit="1" customWidth="1"/>
    <col min="4" max="11" width="11.19921875" style="18"/>
    <col min="12" max="12" width="45.5" style="18" customWidth="1"/>
    <col min="13" max="16384" width="11.19921875" style="18"/>
  </cols>
  <sheetData>
    <row r="2" spans="2:16" ht="18" x14ac:dyDescent="0.35">
      <c r="B2" s="17" t="s">
        <v>112</v>
      </c>
      <c r="K2" s="79"/>
      <c r="L2" s="457" t="s">
        <v>126</v>
      </c>
      <c r="M2" s="457"/>
      <c r="N2" s="457"/>
      <c r="O2" s="457"/>
      <c r="P2" s="457"/>
    </row>
    <row r="4" spans="2:16" x14ac:dyDescent="0.3">
      <c r="C4" s="59"/>
      <c r="D4" s="81" t="s">
        <v>122</v>
      </c>
      <c r="E4" s="81" t="s">
        <v>123</v>
      </c>
      <c r="F4" s="81" t="s">
        <v>124</v>
      </c>
      <c r="G4" s="82" t="s">
        <v>125</v>
      </c>
      <c r="H4" s="19"/>
      <c r="I4" s="19"/>
      <c r="J4" s="19"/>
      <c r="K4" s="19"/>
      <c r="L4" s="88"/>
      <c r="M4" s="81" t="s">
        <v>122</v>
      </c>
      <c r="N4" s="81" t="s">
        <v>123</v>
      </c>
      <c r="O4" s="81" t="s">
        <v>124</v>
      </c>
      <c r="P4" s="82" t="s">
        <v>125</v>
      </c>
    </row>
    <row r="5" spans="2:16" x14ac:dyDescent="0.3">
      <c r="C5" s="337" t="s">
        <v>117</v>
      </c>
      <c r="D5" s="354">
        <f>SUM(D6:D7)</f>
        <v>150</v>
      </c>
      <c r="E5" s="354">
        <f>SUM(E6:E7)</f>
        <v>230</v>
      </c>
      <c r="F5" s="354">
        <f>SUM(F6:F7)</f>
        <v>250</v>
      </c>
      <c r="G5" s="420">
        <f>SUM(G6:G7)</f>
        <v>200</v>
      </c>
      <c r="L5" s="337" t="s">
        <v>16</v>
      </c>
      <c r="M5" s="354">
        <f>M7+M11+M18</f>
        <v>1970</v>
      </c>
      <c r="N5" s="354">
        <f>N7+N11+N18</f>
        <v>1800</v>
      </c>
      <c r="O5" s="373"/>
      <c r="P5" s="369"/>
    </row>
    <row r="6" spans="2:16" x14ac:dyDescent="0.3">
      <c r="C6" s="338" t="s">
        <v>113</v>
      </c>
      <c r="D6" s="355">
        <v>100</v>
      </c>
      <c r="E6" s="355">
        <v>200</v>
      </c>
      <c r="F6" s="355">
        <v>150</v>
      </c>
      <c r="G6" s="329">
        <v>100</v>
      </c>
      <c r="L6" s="322"/>
      <c r="M6" s="355"/>
      <c r="N6" s="356"/>
      <c r="O6" s="356"/>
      <c r="P6" s="329"/>
    </row>
    <row r="7" spans="2:16" x14ac:dyDescent="0.3">
      <c r="C7" s="338" t="s">
        <v>114</v>
      </c>
      <c r="D7" s="355">
        <v>50</v>
      </c>
      <c r="E7" s="355">
        <v>30</v>
      </c>
      <c r="F7" s="355">
        <v>100</v>
      </c>
      <c r="G7" s="329">
        <v>100</v>
      </c>
      <c r="L7" s="337" t="s">
        <v>17</v>
      </c>
      <c r="M7" s="354">
        <f>M8+M9</f>
        <v>400</v>
      </c>
      <c r="N7" s="354">
        <f>N8+N9</f>
        <v>430</v>
      </c>
      <c r="O7" s="361"/>
      <c r="P7" s="370"/>
    </row>
    <row r="8" spans="2:16" x14ac:dyDescent="0.3">
      <c r="C8" s="66"/>
      <c r="D8" s="29"/>
      <c r="E8" s="29"/>
      <c r="F8" s="29"/>
      <c r="G8" s="35"/>
      <c r="L8" s="338" t="s">
        <v>9</v>
      </c>
      <c r="M8" s="355">
        <v>100</v>
      </c>
      <c r="N8" s="355">
        <f>150</f>
        <v>150</v>
      </c>
      <c r="O8" s="362"/>
      <c r="P8" s="329"/>
    </row>
    <row r="9" spans="2:16" x14ac:dyDescent="0.3">
      <c r="C9" s="337" t="s">
        <v>118</v>
      </c>
      <c r="D9" s="354">
        <f>SUM(D10:D12)</f>
        <v>-100</v>
      </c>
      <c r="E9" s="354">
        <f>SUM(E10:E12)</f>
        <v>-80</v>
      </c>
      <c r="F9" s="354">
        <f>SUM(F10:F12)</f>
        <v>-350</v>
      </c>
      <c r="G9" s="420">
        <f>SUM(G10:G12)</f>
        <v>-90</v>
      </c>
      <c r="H9" s="23"/>
      <c r="L9" s="338" t="s">
        <v>18</v>
      </c>
      <c r="M9" s="355">
        <v>300</v>
      </c>
      <c r="N9" s="355">
        <v>280</v>
      </c>
      <c r="O9" s="374"/>
      <c r="P9" s="329"/>
    </row>
    <row r="10" spans="2:16" x14ac:dyDescent="0.3">
      <c r="C10" s="338" t="s">
        <v>115</v>
      </c>
      <c r="D10" s="355">
        <v>-30</v>
      </c>
      <c r="E10" s="355">
        <v>-30</v>
      </c>
      <c r="F10" s="355">
        <v>-30</v>
      </c>
      <c r="G10" s="329">
        <v>-30</v>
      </c>
      <c r="H10" s="23"/>
      <c r="L10" s="322"/>
      <c r="M10" s="355"/>
      <c r="N10" s="355"/>
      <c r="O10" s="356"/>
      <c r="P10" s="329"/>
    </row>
    <row r="11" spans="2:16" x14ac:dyDescent="0.3">
      <c r="C11" s="338" t="s">
        <v>35</v>
      </c>
      <c r="D11" s="355">
        <v>-20</v>
      </c>
      <c r="E11" s="355">
        <v>-20</v>
      </c>
      <c r="F11" s="355">
        <v>-20</v>
      </c>
      <c r="G11" s="329">
        <v>-20</v>
      </c>
      <c r="H11" s="23"/>
      <c r="L11" s="337" t="s">
        <v>19</v>
      </c>
      <c r="M11" s="354">
        <f>SUM(M12:M16)</f>
        <v>570</v>
      </c>
      <c r="N11" s="354">
        <f>SUM(N12:N16)</f>
        <v>480</v>
      </c>
      <c r="O11" s="361"/>
      <c r="P11" s="370"/>
    </row>
    <row r="12" spans="2:16" x14ac:dyDescent="0.3">
      <c r="C12" s="338" t="s">
        <v>116</v>
      </c>
      <c r="D12" s="355">
        <v>-50</v>
      </c>
      <c r="E12" s="355">
        <v>-30</v>
      </c>
      <c r="F12" s="355">
        <v>-300</v>
      </c>
      <c r="G12" s="329">
        <v>-40</v>
      </c>
      <c r="H12" s="23"/>
      <c r="L12" s="338" t="s">
        <v>20</v>
      </c>
      <c r="M12" s="355">
        <v>10</v>
      </c>
      <c r="N12" s="355">
        <v>0</v>
      </c>
      <c r="O12" s="356"/>
      <c r="P12" s="329"/>
    </row>
    <row r="13" spans="2:16" x14ac:dyDescent="0.3">
      <c r="C13" s="33"/>
      <c r="D13" s="29"/>
      <c r="E13" s="29"/>
      <c r="F13" s="29"/>
      <c r="G13" s="35"/>
      <c r="L13" s="338" t="s">
        <v>21</v>
      </c>
      <c r="M13" s="355">
        <v>20</v>
      </c>
      <c r="N13" s="355">
        <v>0</v>
      </c>
      <c r="O13" s="356"/>
      <c r="P13" s="329"/>
    </row>
    <row r="14" spans="2:16" x14ac:dyDescent="0.3">
      <c r="C14" s="337" t="s">
        <v>119</v>
      </c>
      <c r="D14" s="354">
        <v>12</v>
      </c>
      <c r="E14" s="354">
        <f>D18</f>
        <v>62</v>
      </c>
      <c r="F14" s="354">
        <f>E18</f>
        <v>212</v>
      </c>
      <c r="G14" s="420">
        <f>F18</f>
        <v>112</v>
      </c>
      <c r="L14" s="338" t="s">
        <v>12</v>
      </c>
      <c r="M14" s="355">
        <v>500</v>
      </c>
      <c r="N14" s="355">
        <v>450</v>
      </c>
      <c r="O14" s="356"/>
      <c r="P14" s="329"/>
    </row>
    <row r="15" spans="2:16" x14ac:dyDescent="0.3">
      <c r="C15" s="74"/>
      <c r="D15" s="91"/>
      <c r="E15" s="91"/>
      <c r="F15" s="91"/>
      <c r="G15" s="90"/>
      <c r="L15" s="338" t="s">
        <v>22</v>
      </c>
      <c r="M15" s="355">
        <v>10</v>
      </c>
      <c r="N15" s="355">
        <v>5</v>
      </c>
      <c r="O15" s="356"/>
      <c r="P15" s="329"/>
    </row>
    <row r="16" spans="2:16" x14ac:dyDescent="0.3">
      <c r="C16" s="337" t="s">
        <v>120</v>
      </c>
      <c r="D16" s="354">
        <f>D5+D9</f>
        <v>50</v>
      </c>
      <c r="E16" s="354">
        <f>E5+E9</f>
        <v>150</v>
      </c>
      <c r="F16" s="354">
        <f>F5+F9</f>
        <v>-100</v>
      </c>
      <c r="G16" s="420">
        <f>G5+G9</f>
        <v>110</v>
      </c>
      <c r="L16" s="338" t="s">
        <v>23</v>
      </c>
      <c r="M16" s="355">
        <v>30</v>
      </c>
      <c r="N16" s="355">
        <v>25</v>
      </c>
      <c r="O16" s="356"/>
      <c r="P16" s="329"/>
    </row>
    <row r="17" spans="3:16" x14ac:dyDescent="0.3">
      <c r="C17" s="74"/>
      <c r="D17" s="91"/>
      <c r="E17" s="91"/>
      <c r="F17" s="91"/>
      <c r="G17" s="90"/>
      <c r="L17" s="322"/>
      <c r="M17" s="355"/>
      <c r="N17" s="356"/>
      <c r="O17" s="356"/>
      <c r="P17" s="329"/>
    </row>
    <row r="18" spans="3:16" x14ac:dyDescent="0.3">
      <c r="C18" s="421" t="s">
        <v>121</v>
      </c>
      <c r="D18" s="422">
        <f>D14+D16</f>
        <v>62</v>
      </c>
      <c r="E18" s="422">
        <f>E14+E16</f>
        <v>212</v>
      </c>
      <c r="F18" s="422">
        <f>F14+F16</f>
        <v>112</v>
      </c>
      <c r="G18" s="423">
        <f>G14+G16</f>
        <v>222</v>
      </c>
      <c r="L18" s="337" t="s">
        <v>24</v>
      </c>
      <c r="M18" s="354">
        <f>M19</f>
        <v>1000</v>
      </c>
      <c r="N18" s="354">
        <f>N19</f>
        <v>890</v>
      </c>
      <c r="O18" s="361"/>
      <c r="P18" s="370"/>
    </row>
    <row r="19" spans="3:16" x14ac:dyDescent="0.3">
      <c r="L19" s="338" t="s">
        <v>25</v>
      </c>
      <c r="M19" s="355">
        <v>1000</v>
      </c>
      <c r="N19" s="355">
        <v>890</v>
      </c>
      <c r="O19" s="356"/>
      <c r="P19" s="329"/>
    </row>
    <row r="20" spans="3:16" x14ac:dyDescent="0.3">
      <c r="L20" s="322"/>
      <c r="M20" s="355"/>
      <c r="N20" s="356"/>
      <c r="O20" s="356"/>
      <c r="P20" s="329"/>
    </row>
    <row r="21" spans="3:16" x14ac:dyDescent="0.3">
      <c r="L21" s="337" t="s">
        <v>26</v>
      </c>
      <c r="M21" s="354">
        <f>M23</f>
        <v>100</v>
      </c>
      <c r="N21" s="354">
        <f>N23</f>
        <v>110</v>
      </c>
      <c r="O21" s="361"/>
      <c r="P21" s="370"/>
    </row>
    <row r="22" spans="3:16" x14ac:dyDescent="0.3">
      <c r="L22" s="322"/>
      <c r="M22" s="355"/>
      <c r="N22" s="356"/>
      <c r="O22" s="356"/>
      <c r="P22" s="329"/>
    </row>
    <row r="23" spans="3:16" x14ac:dyDescent="0.3">
      <c r="L23" s="338" t="s">
        <v>27</v>
      </c>
      <c r="M23" s="355">
        <v>100</v>
      </c>
      <c r="N23" s="355">
        <v>110</v>
      </c>
      <c r="O23" s="356"/>
      <c r="P23" s="329"/>
    </row>
    <row r="24" spans="3:16" x14ac:dyDescent="0.3">
      <c r="L24" s="322"/>
      <c r="M24" s="355"/>
      <c r="N24" s="356"/>
      <c r="O24" s="356"/>
      <c r="P24" s="329"/>
    </row>
    <row r="25" spans="3:16" x14ac:dyDescent="0.3">
      <c r="L25" s="337" t="s">
        <v>28</v>
      </c>
      <c r="M25" s="354">
        <f>M5+M21</f>
        <v>2070</v>
      </c>
      <c r="N25" s="354">
        <f>N5+N21</f>
        <v>1910</v>
      </c>
      <c r="O25" s="361"/>
      <c r="P25" s="370"/>
    </row>
    <row r="26" spans="3:16" x14ac:dyDescent="0.3">
      <c r="L26" s="322"/>
      <c r="M26" s="356"/>
      <c r="N26" s="356"/>
      <c r="O26" s="356"/>
      <c r="P26" s="329"/>
    </row>
    <row r="27" spans="3:16" x14ac:dyDescent="0.3">
      <c r="L27" s="339" t="s">
        <v>29</v>
      </c>
      <c r="M27" s="357">
        <f>SUM(M29:M33)</f>
        <v>1350</v>
      </c>
      <c r="N27" s="357">
        <f>SUM(N29:N33)</f>
        <v>1205</v>
      </c>
      <c r="O27" s="375"/>
      <c r="P27" s="370"/>
    </row>
    <row r="28" spans="3:16" x14ac:dyDescent="0.3">
      <c r="L28" s="340"/>
      <c r="M28" s="358"/>
      <c r="N28" s="356"/>
      <c r="O28" s="356"/>
      <c r="P28" s="329"/>
    </row>
    <row r="29" spans="3:16" x14ac:dyDescent="0.3">
      <c r="L29" s="340" t="s">
        <v>30</v>
      </c>
      <c r="M29" s="358">
        <v>500</v>
      </c>
      <c r="N29" s="358">
        <v>480</v>
      </c>
      <c r="O29" s="356"/>
      <c r="P29" s="329"/>
    </row>
    <row r="30" spans="3:16" x14ac:dyDescent="0.3">
      <c r="L30" s="340" t="s">
        <v>31</v>
      </c>
      <c r="M30" s="358">
        <v>300</v>
      </c>
      <c r="N30" s="358">
        <v>210</v>
      </c>
      <c r="O30" s="356"/>
      <c r="P30" s="329"/>
    </row>
    <row r="31" spans="3:16" x14ac:dyDescent="0.3">
      <c r="L31" s="340" t="s">
        <v>32</v>
      </c>
      <c r="M31" s="358">
        <v>200</v>
      </c>
      <c r="N31" s="358">
        <v>195</v>
      </c>
      <c r="O31" s="356"/>
      <c r="P31" s="329"/>
    </row>
    <row r="32" spans="3:16" x14ac:dyDescent="0.3">
      <c r="L32" s="340" t="s">
        <v>33</v>
      </c>
      <c r="M32" s="358">
        <v>150</v>
      </c>
      <c r="N32" s="358">
        <v>140</v>
      </c>
      <c r="O32" s="356"/>
      <c r="P32" s="329"/>
    </row>
    <row r="33" spans="12:16" x14ac:dyDescent="0.3">
      <c r="L33" s="340" t="s">
        <v>40</v>
      </c>
      <c r="M33" s="358">
        <v>200</v>
      </c>
      <c r="N33" s="358">
        <v>180</v>
      </c>
      <c r="O33" s="356"/>
      <c r="P33" s="329"/>
    </row>
    <row r="34" spans="12:16" x14ac:dyDescent="0.3">
      <c r="L34" s="340"/>
      <c r="M34" s="358"/>
      <c r="N34" s="356"/>
      <c r="O34" s="356"/>
      <c r="P34" s="329"/>
    </row>
    <row r="35" spans="12:16" x14ac:dyDescent="0.3">
      <c r="L35" s="339" t="s">
        <v>34</v>
      </c>
      <c r="M35" s="357">
        <f>M37</f>
        <v>100</v>
      </c>
      <c r="N35" s="357">
        <f>N37</f>
        <v>95</v>
      </c>
      <c r="O35" s="375"/>
      <c r="P35" s="370"/>
    </row>
    <row r="36" spans="12:16" x14ac:dyDescent="0.3">
      <c r="L36" s="340"/>
      <c r="M36" s="358"/>
      <c r="N36" s="356"/>
      <c r="O36" s="356"/>
      <c r="P36" s="329"/>
    </row>
    <row r="37" spans="12:16" x14ac:dyDescent="0.3">
      <c r="L37" s="341" t="s">
        <v>41</v>
      </c>
      <c r="M37" s="358">
        <v>100</v>
      </c>
      <c r="N37" s="358">
        <v>95</v>
      </c>
      <c r="O37" s="356"/>
      <c r="P37" s="329"/>
    </row>
    <row r="38" spans="12:16" x14ac:dyDescent="0.3">
      <c r="L38" s="340"/>
      <c r="M38" s="358"/>
      <c r="N38" s="356"/>
      <c r="O38" s="356"/>
      <c r="P38" s="329"/>
    </row>
    <row r="39" spans="12:16" x14ac:dyDescent="0.3">
      <c r="L39" s="340"/>
      <c r="M39" s="356"/>
      <c r="N39" s="356"/>
      <c r="O39" s="356"/>
      <c r="P39" s="329"/>
    </row>
    <row r="40" spans="12:16" x14ac:dyDescent="0.3">
      <c r="L40" s="339" t="s">
        <v>36</v>
      </c>
      <c r="M40" s="357">
        <f>M41+M42+M43+M44</f>
        <v>620</v>
      </c>
      <c r="N40" s="357">
        <f>N41+N42+N43+N44</f>
        <v>610</v>
      </c>
      <c r="O40" s="361"/>
      <c r="P40" s="370"/>
    </row>
    <row r="41" spans="12:16" x14ac:dyDescent="0.3">
      <c r="L41" s="333" t="s">
        <v>39</v>
      </c>
      <c r="M41" s="358">
        <v>300</v>
      </c>
      <c r="N41" s="358">
        <v>300</v>
      </c>
      <c r="O41" s="356"/>
      <c r="P41" s="329"/>
    </row>
    <row r="42" spans="12:16" x14ac:dyDescent="0.3">
      <c r="L42" s="333" t="s">
        <v>37</v>
      </c>
      <c r="M42" s="358">
        <v>390</v>
      </c>
      <c r="N42" s="358">
        <f>M42+M43+M44</f>
        <v>320</v>
      </c>
      <c r="O42" s="356"/>
      <c r="P42" s="329"/>
    </row>
    <row r="43" spans="12:16" x14ac:dyDescent="0.3">
      <c r="L43" s="333" t="s">
        <v>38</v>
      </c>
      <c r="M43" s="358">
        <v>30</v>
      </c>
      <c r="N43" s="358">
        <f>N62</f>
        <v>10</v>
      </c>
      <c r="O43" s="356"/>
      <c r="P43" s="329"/>
    </row>
    <row r="44" spans="12:16" x14ac:dyDescent="0.3">
      <c r="L44" s="333" t="s">
        <v>111</v>
      </c>
      <c r="M44" s="358">
        <v>-100</v>
      </c>
      <c r="N44" s="358">
        <v>-20</v>
      </c>
      <c r="O44" s="356"/>
      <c r="P44" s="329"/>
    </row>
    <row r="45" spans="12:16" x14ac:dyDescent="0.3">
      <c r="L45" s="340"/>
      <c r="M45" s="356"/>
      <c r="N45" s="356"/>
      <c r="O45" s="356"/>
      <c r="P45" s="329"/>
    </row>
    <row r="46" spans="12:16" x14ac:dyDescent="0.3">
      <c r="L46" s="340"/>
      <c r="M46" s="358"/>
      <c r="N46" s="356"/>
      <c r="O46" s="356"/>
      <c r="P46" s="329"/>
    </row>
    <row r="47" spans="12:16" x14ac:dyDescent="0.3">
      <c r="L47" s="339" t="s">
        <v>110</v>
      </c>
      <c r="M47" s="357">
        <f>M27+M35+M40</f>
        <v>2070</v>
      </c>
      <c r="N47" s="357">
        <f>N27+N35+N40</f>
        <v>1910</v>
      </c>
      <c r="O47" s="361"/>
      <c r="P47" s="370"/>
    </row>
    <row r="48" spans="12:16" x14ac:dyDescent="0.3">
      <c r="L48" s="342"/>
      <c r="M48" s="359">
        <f>M25-M47</f>
        <v>0</v>
      </c>
      <c r="N48" s="359">
        <f>N25-N47</f>
        <v>0</v>
      </c>
      <c r="O48" s="362"/>
      <c r="P48" s="371"/>
    </row>
    <row r="49" spans="12:16" x14ac:dyDescent="0.3">
      <c r="L49" s="72" t="s">
        <v>231</v>
      </c>
      <c r="M49" s="437">
        <f>M50+M51-M52</f>
        <v>620</v>
      </c>
      <c r="N49" s="437">
        <f>N50+N51-N52</f>
        <v>540</v>
      </c>
      <c r="O49" s="437">
        <f>O50+O51-O52</f>
        <v>0</v>
      </c>
      <c r="P49" s="438">
        <f>P50+P51-P52</f>
        <v>0</v>
      </c>
    </row>
    <row r="50" spans="12:16" x14ac:dyDescent="0.3">
      <c r="L50" s="333" t="s">
        <v>24</v>
      </c>
      <c r="M50" s="435">
        <f>M19</f>
        <v>1000</v>
      </c>
      <c r="N50" s="435">
        <f>N19</f>
        <v>890</v>
      </c>
      <c r="O50" s="435">
        <f>O19</f>
        <v>0</v>
      </c>
      <c r="P50" s="436">
        <f>P19</f>
        <v>0</v>
      </c>
    </row>
    <row r="51" spans="12:16" x14ac:dyDescent="0.3">
      <c r="L51" s="333" t="s">
        <v>12</v>
      </c>
      <c r="M51" s="435">
        <f>M11</f>
        <v>570</v>
      </c>
      <c r="N51" s="435">
        <f>N11</f>
        <v>480</v>
      </c>
      <c r="O51" s="435">
        <f>O11</f>
        <v>0</v>
      </c>
      <c r="P51" s="436">
        <f>P11</f>
        <v>0</v>
      </c>
    </row>
    <row r="52" spans="12:16" x14ac:dyDescent="0.3">
      <c r="L52" s="333" t="s">
        <v>15</v>
      </c>
      <c r="M52" s="435">
        <f>M29+M30+M32</f>
        <v>950</v>
      </c>
      <c r="N52" s="435">
        <f>N29+N30+N32</f>
        <v>830</v>
      </c>
      <c r="O52" s="435">
        <f>O29+O30+O32</f>
        <v>0</v>
      </c>
      <c r="P52" s="436">
        <f>P29+P30+P32</f>
        <v>0</v>
      </c>
    </row>
    <row r="53" spans="12:16" x14ac:dyDescent="0.3">
      <c r="L53" s="41"/>
      <c r="M53" s="61"/>
      <c r="N53" s="29"/>
      <c r="O53" s="29"/>
      <c r="P53" s="35"/>
    </row>
    <row r="54" spans="12:16" x14ac:dyDescent="0.3">
      <c r="L54" s="333" t="s">
        <v>24</v>
      </c>
      <c r="M54" s="430"/>
      <c r="N54" s="431"/>
      <c r="O54" s="431"/>
      <c r="P54" s="432"/>
    </row>
    <row r="55" spans="12:16" x14ac:dyDescent="0.3">
      <c r="L55" s="333" t="s">
        <v>12</v>
      </c>
      <c r="M55" s="430"/>
      <c r="N55" s="431"/>
      <c r="O55" s="431"/>
      <c r="P55" s="432"/>
    </row>
    <row r="56" spans="12:16" x14ac:dyDescent="0.3">
      <c r="L56" s="333" t="s">
        <v>15</v>
      </c>
      <c r="M56" s="430"/>
      <c r="N56" s="431"/>
      <c r="O56" s="431"/>
      <c r="P56" s="432"/>
    </row>
    <row r="57" spans="12:16" x14ac:dyDescent="0.3">
      <c r="L57" s="53" t="s">
        <v>233</v>
      </c>
      <c r="M57" s="433">
        <f>M54+M55-M56</f>
        <v>0</v>
      </c>
      <c r="N57" s="433">
        <f>N54+N55-N56</f>
        <v>0</v>
      </c>
      <c r="O57" s="433">
        <f>O54+O55-O56</f>
        <v>0</v>
      </c>
      <c r="P57" s="434">
        <f>P54+P55-P56</f>
        <v>0</v>
      </c>
    </row>
    <row r="58" spans="12:16" x14ac:dyDescent="0.3">
      <c r="L58" s="41"/>
      <c r="M58" s="61"/>
      <c r="N58" s="29"/>
      <c r="P58" s="35"/>
    </row>
    <row r="59" spans="12:16" x14ac:dyDescent="0.3">
      <c r="L59" s="134" t="s">
        <v>232</v>
      </c>
      <c r="M59" s="135">
        <f>0</f>
        <v>0</v>
      </c>
      <c r="N59" s="135">
        <f>N49-M49</f>
        <v>-80</v>
      </c>
      <c r="O59" s="135">
        <f>O49-N49</f>
        <v>-540</v>
      </c>
      <c r="P59" s="136">
        <f>P49-N49</f>
        <v>-540</v>
      </c>
    </row>
    <row r="60" spans="12:16" x14ac:dyDescent="0.3">
      <c r="L60" s="41"/>
      <c r="M60" s="61"/>
      <c r="N60" s="29"/>
      <c r="P60" s="35"/>
    </row>
    <row r="61" spans="12:16" x14ac:dyDescent="0.3">
      <c r="L61" s="204" t="s">
        <v>127</v>
      </c>
      <c r="M61" s="201"/>
      <c r="N61" s="201"/>
      <c r="O61" s="201"/>
      <c r="P61" s="203"/>
    </row>
    <row r="62" spans="12:16" x14ac:dyDescent="0.3">
      <c r="L62" s="343" t="s">
        <v>128</v>
      </c>
      <c r="M62" s="360"/>
      <c r="N62" s="364">
        <v>10</v>
      </c>
      <c r="O62" s="360"/>
      <c r="P62" s="372"/>
    </row>
    <row r="63" spans="12:16" x14ac:dyDescent="0.3">
      <c r="L63" s="344"/>
      <c r="M63" s="356"/>
      <c r="N63" s="365"/>
      <c r="O63" s="356"/>
      <c r="P63" s="329"/>
    </row>
    <row r="64" spans="12:16" x14ac:dyDescent="0.3">
      <c r="L64" s="345" t="s">
        <v>129</v>
      </c>
      <c r="M64" s="361"/>
      <c r="N64" s="366"/>
      <c r="O64" s="361"/>
      <c r="P64" s="370"/>
    </row>
    <row r="65" spans="12:16" x14ac:dyDescent="0.3">
      <c r="L65" s="346" t="s">
        <v>130</v>
      </c>
      <c r="M65" s="361"/>
      <c r="N65" s="366"/>
      <c r="O65" s="361"/>
      <c r="P65" s="370"/>
    </row>
    <row r="66" spans="12:16" x14ac:dyDescent="0.3">
      <c r="L66" s="347" t="s">
        <v>131</v>
      </c>
      <c r="M66" s="356"/>
      <c r="N66" s="365">
        <f>M11-N11</f>
        <v>90</v>
      </c>
      <c r="O66" s="356"/>
      <c r="P66" s="329"/>
    </row>
    <row r="67" spans="12:16" x14ac:dyDescent="0.3">
      <c r="L67" s="347" t="s">
        <v>132</v>
      </c>
      <c r="M67" s="356"/>
      <c r="N67" s="365">
        <f>M18-N18</f>
        <v>110</v>
      </c>
      <c r="O67" s="356"/>
      <c r="P67" s="329"/>
    </row>
    <row r="68" spans="12:16" x14ac:dyDescent="0.3">
      <c r="L68" s="347" t="s">
        <v>133</v>
      </c>
      <c r="M68" s="356"/>
      <c r="N68" s="365">
        <v>0</v>
      </c>
      <c r="O68" s="356"/>
      <c r="P68" s="329"/>
    </row>
    <row r="69" spans="12:16" x14ac:dyDescent="0.3">
      <c r="L69" s="347" t="s">
        <v>134</v>
      </c>
      <c r="M69" s="356"/>
      <c r="N69" s="365">
        <v>0</v>
      </c>
      <c r="O69" s="356"/>
      <c r="P69" s="329"/>
    </row>
    <row r="70" spans="12:16" x14ac:dyDescent="0.3">
      <c r="L70" s="347" t="s">
        <v>135</v>
      </c>
      <c r="M70" s="356"/>
      <c r="N70" s="365">
        <v>0</v>
      </c>
      <c r="O70" s="356"/>
      <c r="P70" s="329"/>
    </row>
    <row r="71" spans="12:16" x14ac:dyDescent="0.3">
      <c r="L71" s="347" t="s">
        <v>136</v>
      </c>
      <c r="M71" s="356"/>
      <c r="N71" s="365">
        <v>0</v>
      </c>
      <c r="O71" s="356"/>
      <c r="P71" s="329"/>
    </row>
    <row r="72" spans="12:16" x14ac:dyDescent="0.3">
      <c r="L72" s="347" t="s">
        <v>137</v>
      </c>
      <c r="M72" s="356"/>
      <c r="N72" s="365">
        <v>0</v>
      </c>
      <c r="O72" s="356"/>
      <c r="P72" s="329"/>
    </row>
    <row r="73" spans="12:16" x14ac:dyDescent="0.3">
      <c r="L73" s="346" t="s">
        <v>138</v>
      </c>
      <c r="M73" s="361"/>
      <c r="N73" s="366">
        <f>SUM(N66:N72)</f>
        <v>200</v>
      </c>
      <c r="O73" s="361"/>
      <c r="P73" s="370"/>
    </row>
    <row r="74" spans="12:16" x14ac:dyDescent="0.3">
      <c r="L74" s="344"/>
      <c r="M74" s="356"/>
      <c r="N74" s="365"/>
      <c r="O74" s="356"/>
      <c r="P74" s="329"/>
    </row>
    <row r="75" spans="12:16" x14ac:dyDescent="0.3">
      <c r="L75" s="344"/>
      <c r="M75" s="356"/>
      <c r="N75" s="365"/>
      <c r="O75" s="356"/>
      <c r="P75" s="329"/>
    </row>
    <row r="76" spans="12:16" x14ac:dyDescent="0.3">
      <c r="L76" s="345" t="s">
        <v>129</v>
      </c>
      <c r="M76" s="361"/>
      <c r="N76" s="366"/>
      <c r="O76" s="361"/>
      <c r="P76" s="370"/>
    </row>
    <row r="77" spans="12:16" x14ac:dyDescent="0.3">
      <c r="L77" s="346" t="s">
        <v>139</v>
      </c>
      <c r="M77" s="361"/>
      <c r="N77" s="366"/>
      <c r="O77" s="361"/>
      <c r="P77" s="370"/>
    </row>
    <row r="78" spans="12:16" x14ac:dyDescent="0.3">
      <c r="L78" s="347" t="s">
        <v>140</v>
      </c>
      <c r="M78" s="356"/>
      <c r="N78" s="365">
        <f>N29-M29</f>
        <v>-20</v>
      </c>
      <c r="O78" s="356"/>
      <c r="P78" s="329"/>
    </row>
    <row r="79" spans="12:16" x14ac:dyDescent="0.3">
      <c r="L79" s="347" t="s">
        <v>141</v>
      </c>
      <c r="M79" s="356"/>
      <c r="N79" s="365">
        <f>N30-M30</f>
        <v>-90</v>
      </c>
      <c r="O79" s="356"/>
      <c r="P79" s="329"/>
    </row>
    <row r="80" spans="12:16" x14ac:dyDescent="0.3">
      <c r="L80" s="347" t="s">
        <v>142</v>
      </c>
      <c r="M80" s="356"/>
      <c r="N80" s="365">
        <v>0</v>
      </c>
      <c r="O80" s="356"/>
      <c r="P80" s="329"/>
    </row>
    <row r="81" spans="12:16" x14ac:dyDescent="0.3">
      <c r="L81" s="347" t="s">
        <v>143</v>
      </c>
      <c r="M81" s="356"/>
      <c r="N81" s="365">
        <f>N32-M32</f>
        <v>-10</v>
      </c>
      <c r="O81" s="356"/>
      <c r="P81" s="329"/>
    </row>
    <row r="82" spans="12:16" x14ac:dyDescent="0.3">
      <c r="L82" s="347" t="s">
        <v>144</v>
      </c>
      <c r="M82" s="356"/>
      <c r="N82" s="365">
        <f>N31-M31</f>
        <v>-5</v>
      </c>
      <c r="O82" s="356"/>
      <c r="P82" s="329"/>
    </row>
    <row r="83" spans="12:16" x14ac:dyDescent="0.3">
      <c r="L83" s="347" t="s">
        <v>145</v>
      </c>
      <c r="M83" s="356"/>
      <c r="N83" s="365">
        <v>0</v>
      </c>
      <c r="O83" s="356"/>
      <c r="P83" s="329"/>
    </row>
    <row r="84" spans="12:16" x14ac:dyDescent="0.3">
      <c r="L84" s="346" t="s">
        <v>146</v>
      </c>
      <c r="M84" s="361"/>
      <c r="N84" s="366">
        <f>SUM(N78:N83)</f>
        <v>-125</v>
      </c>
      <c r="O84" s="361"/>
      <c r="P84" s="370"/>
    </row>
    <row r="85" spans="12:16" x14ac:dyDescent="0.3">
      <c r="L85" s="344"/>
      <c r="M85" s="356"/>
      <c r="N85" s="365"/>
      <c r="O85" s="356"/>
      <c r="P85" s="329"/>
    </row>
    <row r="86" spans="12:16" x14ac:dyDescent="0.3">
      <c r="L86" s="345" t="s">
        <v>147</v>
      </c>
      <c r="M86" s="361"/>
      <c r="N86" s="366">
        <f>N73+N84+N62</f>
        <v>85</v>
      </c>
      <c r="O86" s="361"/>
      <c r="P86" s="370"/>
    </row>
    <row r="87" spans="12:16" x14ac:dyDescent="0.3">
      <c r="L87" s="344"/>
      <c r="M87" s="356"/>
      <c r="N87" s="365"/>
      <c r="O87" s="356"/>
      <c r="P87" s="329"/>
    </row>
    <row r="88" spans="12:16" x14ac:dyDescent="0.3">
      <c r="L88" s="348" t="s">
        <v>167</v>
      </c>
      <c r="M88" s="356"/>
      <c r="N88" s="365">
        <v>0</v>
      </c>
      <c r="O88" s="356"/>
      <c r="P88" s="329"/>
    </row>
    <row r="89" spans="12:16" x14ac:dyDescent="0.3">
      <c r="L89" s="344"/>
      <c r="M89" s="356"/>
      <c r="N89" s="365"/>
      <c r="O89" s="356"/>
      <c r="P89" s="329"/>
    </row>
    <row r="90" spans="12:16" x14ac:dyDescent="0.3">
      <c r="L90" s="349" t="s">
        <v>148</v>
      </c>
      <c r="M90" s="361"/>
      <c r="N90" s="366">
        <f>N86+N88</f>
        <v>85</v>
      </c>
      <c r="O90" s="361"/>
      <c r="P90" s="370"/>
    </row>
    <row r="91" spans="12:16" x14ac:dyDescent="0.3">
      <c r="L91" s="350"/>
      <c r="M91" s="362"/>
      <c r="N91" s="367"/>
      <c r="O91" s="362"/>
      <c r="P91" s="371"/>
    </row>
    <row r="92" spans="12:16" x14ac:dyDescent="0.3">
      <c r="L92" s="204" t="s">
        <v>127</v>
      </c>
      <c r="M92" s="330"/>
      <c r="N92" s="331"/>
      <c r="O92" s="330"/>
      <c r="P92" s="332"/>
    </row>
    <row r="93" spans="12:16" x14ac:dyDescent="0.3">
      <c r="L93" s="351" t="s">
        <v>149</v>
      </c>
      <c r="M93" s="360"/>
      <c r="N93" s="364"/>
      <c r="O93" s="360"/>
      <c r="P93" s="372"/>
    </row>
    <row r="94" spans="12:16" x14ac:dyDescent="0.3">
      <c r="L94" s="347" t="s">
        <v>150</v>
      </c>
      <c r="M94" s="356"/>
      <c r="N94" s="365">
        <f>M23-N23</f>
        <v>-10</v>
      </c>
      <c r="O94" s="356"/>
      <c r="P94" s="329"/>
    </row>
    <row r="95" spans="12:16" x14ac:dyDescent="0.3">
      <c r="L95" s="347" t="s">
        <v>151</v>
      </c>
      <c r="M95" s="356"/>
      <c r="N95" s="365">
        <v>0</v>
      </c>
      <c r="O95" s="356"/>
      <c r="P95" s="329"/>
    </row>
    <row r="96" spans="12:16" x14ac:dyDescent="0.3">
      <c r="L96" s="347" t="s">
        <v>152</v>
      </c>
      <c r="M96" s="356"/>
      <c r="N96" s="365">
        <v>0</v>
      </c>
      <c r="O96" s="356"/>
      <c r="P96" s="329"/>
    </row>
    <row r="97" spans="12:16" x14ac:dyDescent="0.3">
      <c r="L97" s="346" t="s">
        <v>153</v>
      </c>
      <c r="M97" s="361"/>
      <c r="N97" s="366">
        <f>SUM(N94:N96)</f>
        <v>-10</v>
      </c>
      <c r="O97" s="361"/>
      <c r="P97" s="370"/>
    </row>
    <row r="98" spans="12:16" x14ac:dyDescent="0.3">
      <c r="L98" s="344"/>
      <c r="M98" s="356"/>
      <c r="N98" s="365"/>
      <c r="O98" s="356"/>
      <c r="P98" s="329"/>
    </row>
    <row r="99" spans="12:16" x14ac:dyDescent="0.3">
      <c r="L99" s="345" t="s">
        <v>154</v>
      </c>
      <c r="M99" s="361"/>
      <c r="N99" s="366"/>
      <c r="O99" s="361"/>
      <c r="P99" s="370"/>
    </row>
    <row r="100" spans="12:16" x14ac:dyDescent="0.3">
      <c r="L100" s="347" t="s">
        <v>155</v>
      </c>
      <c r="M100" s="356"/>
      <c r="N100" s="365"/>
      <c r="O100" s="356"/>
      <c r="P100" s="329"/>
    </row>
    <row r="101" spans="12:16" x14ac:dyDescent="0.3">
      <c r="L101" s="347" t="s">
        <v>156</v>
      </c>
      <c r="M101" s="356"/>
      <c r="N101" s="365">
        <f>N44</f>
        <v>-20</v>
      </c>
      <c r="O101" s="356"/>
      <c r="P101" s="329"/>
    </row>
    <row r="102" spans="12:16" x14ac:dyDescent="0.3">
      <c r="L102" s="347" t="s">
        <v>157</v>
      </c>
      <c r="M102" s="356"/>
      <c r="N102" s="365">
        <v>0</v>
      </c>
      <c r="O102" s="356"/>
      <c r="P102" s="329"/>
    </row>
    <row r="103" spans="12:16" x14ac:dyDescent="0.3">
      <c r="L103" s="347" t="s">
        <v>158</v>
      </c>
      <c r="M103" s="356"/>
      <c r="N103" s="365">
        <v>0</v>
      </c>
      <c r="O103" s="356"/>
      <c r="P103" s="329"/>
    </row>
    <row r="104" spans="12:16" x14ac:dyDescent="0.3">
      <c r="L104" s="347" t="s">
        <v>159</v>
      </c>
      <c r="M104" s="356"/>
      <c r="N104" s="365">
        <f>N33-M33+N37-M37</f>
        <v>-25</v>
      </c>
      <c r="O104" s="356"/>
      <c r="P104" s="329"/>
    </row>
    <row r="105" spans="12:16" x14ac:dyDescent="0.3">
      <c r="L105" s="352" t="s">
        <v>160</v>
      </c>
      <c r="M105" s="356"/>
      <c r="N105" s="365">
        <v>0</v>
      </c>
      <c r="O105" s="356"/>
      <c r="P105" s="329"/>
    </row>
    <row r="106" spans="12:16" x14ac:dyDescent="0.3">
      <c r="L106" s="347" t="s">
        <v>161</v>
      </c>
      <c r="M106" s="356"/>
      <c r="N106" s="365">
        <v>0</v>
      </c>
      <c r="O106" s="356"/>
      <c r="P106" s="329"/>
    </row>
    <row r="107" spans="12:16" x14ac:dyDescent="0.3">
      <c r="L107" s="346" t="s">
        <v>162</v>
      </c>
      <c r="M107" s="361"/>
      <c r="N107" s="366">
        <f>SUM(N101:N106)</f>
        <v>-45</v>
      </c>
      <c r="O107" s="361"/>
      <c r="P107" s="370"/>
    </row>
    <row r="108" spans="12:16" x14ac:dyDescent="0.3">
      <c r="L108" s="344"/>
      <c r="M108" s="356"/>
      <c r="N108" s="365"/>
      <c r="O108" s="356"/>
      <c r="P108" s="329"/>
    </row>
    <row r="109" spans="12:16" x14ac:dyDescent="0.3">
      <c r="L109" s="349" t="s">
        <v>163</v>
      </c>
      <c r="M109" s="361"/>
      <c r="N109" s="366">
        <f>N90+N97+N107</f>
        <v>30</v>
      </c>
      <c r="O109" s="361"/>
      <c r="P109" s="370"/>
    </row>
    <row r="110" spans="12:16" x14ac:dyDescent="0.3">
      <c r="L110" s="344"/>
      <c r="M110" s="356"/>
      <c r="N110" s="365"/>
      <c r="O110" s="356"/>
      <c r="P110" s="329"/>
    </row>
    <row r="111" spans="12:16" x14ac:dyDescent="0.3">
      <c r="L111" s="348" t="s">
        <v>164</v>
      </c>
      <c r="M111" s="356"/>
      <c r="N111" s="365">
        <f>M7</f>
        <v>400</v>
      </c>
      <c r="O111" s="356"/>
      <c r="P111" s="329"/>
    </row>
    <row r="112" spans="12:16" x14ac:dyDescent="0.3">
      <c r="L112" s="348" t="s">
        <v>165</v>
      </c>
      <c r="M112" s="356"/>
      <c r="N112" s="365">
        <f>N111+N109</f>
        <v>430</v>
      </c>
      <c r="O112" s="356"/>
      <c r="P112" s="329"/>
    </row>
    <row r="113" spans="12:16" x14ac:dyDescent="0.3">
      <c r="L113" s="353" t="s">
        <v>166</v>
      </c>
      <c r="M113" s="363"/>
      <c r="N113" s="368">
        <f>N7-N112</f>
        <v>0</v>
      </c>
      <c r="O113" s="363"/>
      <c r="P113" s="327"/>
    </row>
    <row r="114" spans="12:16" x14ac:dyDescent="0.3">
      <c r="L114" s="29"/>
      <c r="M114" s="29"/>
      <c r="N114" s="29"/>
      <c r="O114" s="29"/>
    </row>
    <row r="115" spans="12:16" x14ac:dyDescent="0.3">
      <c r="L115" s="29"/>
      <c r="N115" s="29"/>
    </row>
    <row r="116" spans="12:16" x14ac:dyDescent="0.3">
      <c r="L116" s="29"/>
      <c r="N116" s="29"/>
    </row>
    <row r="117" spans="12:16" x14ac:dyDescent="0.3">
      <c r="L117" s="29"/>
      <c r="N117" s="29"/>
    </row>
    <row r="118" spans="12:16" x14ac:dyDescent="0.3">
      <c r="L118" s="29"/>
      <c r="N118" s="29"/>
    </row>
    <row r="119" spans="12:16" x14ac:dyDescent="0.3">
      <c r="L119" s="29"/>
      <c r="N119" s="29"/>
    </row>
    <row r="120" spans="12:16" x14ac:dyDescent="0.3">
      <c r="L120" s="29"/>
      <c r="N120" s="29"/>
    </row>
    <row r="121" spans="12:16" x14ac:dyDescent="0.3">
      <c r="L121" s="29"/>
      <c r="N121" s="29"/>
    </row>
    <row r="122" spans="12:16" x14ac:dyDescent="0.3">
      <c r="L122" s="29"/>
      <c r="N122" s="29"/>
    </row>
    <row r="123" spans="12:16" x14ac:dyDescent="0.3">
      <c r="L123" s="29"/>
      <c r="N123" s="29"/>
    </row>
    <row r="124" spans="12:16" x14ac:dyDescent="0.3">
      <c r="L124" s="29"/>
      <c r="N124" s="29"/>
    </row>
    <row r="125" spans="12:16" x14ac:dyDescent="0.3">
      <c r="L125" s="29"/>
      <c r="N125" s="29"/>
    </row>
    <row r="126" spans="12:16" x14ac:dyDescent="0.3">
      <c r="L126" s="29"/>
      <c r="N126" s="29"/>
    </row>
    <row r="127" spans="12:16" x14ac:dyDescent="0.3">
      <c r="L127" s="29"/>
      <c r="N127" s="29"/>
    </row>
    <row r="128" spans="12:16" x14ac:dyDescent="0.3">
      <c r="L128" s="29"/>
      <c r="N128" s="29"/>
    </row>
    <row r="129" spans="12:14" x14ac:dyDescent="0.3">
      <c r="L129" s="29"/>
      <c r="N129" s="29"/>
    </row>
    <row r="130" spans="12:14" x14ac:dyDescent="0.3">
      <c r="L130" s="29"/>
      <c r="N130" s="29"/>
    </row>
    <row r="131" spans="12:14" x14ac:dyDescent="0.3">
      <c r="L131" s="29"/>
      <c r="N131" s="29"/>
    </row>
    <row r="132" spans="12:14" x14ac:dyDescent="0.3">
      <c r="L132" s="29"/>
      <c r="N132" s="29"/>
    </row>
    <row r="133" spans="12:14" x14ac:dyDescent="0.3">
      <c r="L133" s="29"/>
      <c r="N133" s="29"/>
    </row>
    <row r="134" spans="12:14" x14ac:dyDescent="0.3">
      <c r="L134" s="29"/>
      <c r="N134" s="29"/>
    </row>
    <row r="135" spans="12:14" x14ac:dyDescent="0.3">
      <c r="L135" s="29"/>
      <c r="N135" s="29"/>
    </row>
    <row r="136" spans="12:14" x14ac:dyDescent="0.3">
      <c r="L136" s="29"/>
      <c r="N136" s="29"/>
    </row>
    <row r="137" spans="12:14" x14ac:dyDescent="0.3">
      <c r="L137" s="29"/>
      <c r="N137" s="29"/>
    </row>
    <row r="138" spans="12:14" x14ac:dyDescent="0.3">
      <c r="L138" s="29"/>
      <c r="N138" s="29"/>
    </row>
    <row r="139" spans="12:14" x14ac:dyDescent="0.3">
      <c r="L139" s="29"/>
      <c r="N139" s="29"/>
    </row>
    <row r="140" spans="12:14" x14ac:dyDescent="0.3">
      <c r="L140" s="29"/>
      <c r="N140" s="29"/>
    </row>
    <row r="141" spans="12:14" x14ac:dyDescent="0.3">
      <c r="L141" s="29"/>
      <c r="N141" s="29"/>
    </row>
    <row r="142" spans="12:14" x14ac:dyDescent="0.3">
      <c r="L142" s="29"/>
      <c r="N142" s="29"/>
    </row>
    <row r="143" spans="12:14" x14ac:dyDescent="0.3">
      <c r="L143" s="29"/>
      <c r="N143" s="29"/>
    </row>
    <row r="144" spans="12:14" x14ac:dyDescent="0.3">
      <c r="L144" s="29"/>
      <c r="N144" s="29"/>
    </row>
    <row r="145" spans="12:14" x14ac:dyDescent="0.3">
      <c r="L145" s="29"/>
      <c r="N145" s="29"/>
    </row>
    <row r="146" spans="12:14" x14ac:dyDescent="0.3">
      <c r="L146" s="29"/>
      <c r="N146" s="29"/>
    </row>
    <row r="147" spans="12:14" x14ac:dyDescent="0.3">
      <c r="L147" s="29"/>
      <c r="N147" s="29"/>
    </row>
    <row r="148" spans="12:14" x14ac:dyDescent="0.3">
      <c r="L148" s="29"/>
      <c r="N148" s="29"/>
    </row>
    <row r="149" spans="12:14" x14ac:dyDescent="0.3">
      <c r="L149" s="29"/>
      <c r="N149" s="29"/>
    </row>
    <row r="150" spans="12:14" x14ac:dyDescent="0.3">
      <c r="L150" s="29"/>
      <c r="N150" s="29"/>
    </row>
    <row r="151" spans="12:14" x14ac:dyDescent="0.3">
      <c r="L151" s="29"/>
      <c r="N151" s="29"/>
    </row>
    <row r="152" spans="12:14" x14ac:dyDescent="0.3">
      <c r="L152" s="29"/>
      <c r="N152" s="29"/>
    </row>
    <row r="153" spans="12:14" x14ac:dyDescent="0.3">
      <c r="L153" s="29"/>
      <c r="N153" s="29"/>
    </row>
    <row r="154" spans="12:14" x14ac:dyDescent="0.3">
      <c r="L154" s="29"/>
    </row>
    <row r="155" spans="12:14" x14ac:dyDescent="0.3">
      <c r="L155" s="29"/>
    </row>
    <row r="156" spans="12:14" x14ac:dyDescent="0.3">
      <c r="L156" s="29"/>
    </row>
    <row r="157" spans="12:14" x14ac:dyDescent="0.3">
      <c r="L157" s="29"/>
    </row>
    <row r="158" spans="12:14" x14ac:dyDescent="0.3">
      <c r="L158" s="29"/>
    </row>
    <row r="159" spans="12:14" x14ac:dyDescent="0.3">
      <c r="L159" s="29"/>
    </row>
    <row r="160" spans="12:14" x14ac:dyDescent="0.3">
      <c r="L160" s="29"/>
    </row>
    <row r="161" spans="12:12" x14ac:dyDescent="0.3">
      <c r="L161" s="29"/>
    </row>
    <row r="162" spans="12:12" x14ac:dyDescent="0.3">
      <c r="L162" s="29"/>
    </row>
    <row r="163" spans="12:12" x14ac:dyDescent="0.3">
      <c r="L163" s="29"/>
    </row>
    <row r="164" spans="12:12" x14ac:dyDescent="0.3">
      <c r="L164" s="29"/>
    </row>
    <row r="165" spans="12:12" x14ac:dyDescent="0.3">
      <c r="L165" s="29"/>
    </row>
    <row r="166" spans="12:12" x14ac:dyDescent="0.3">
      <c r="L166" s="29"/>
    </row>
    <row r="167" spans="12:12" x14ac:dyDescent="0.3">
      <c r="L167" s="29"/>
    </row>
    <row r="168" spans="12:12" x14ac:dyDescent="0.3">
      <c r="L168" s="29"/>
    </row>
    <row r="169" spans="12:12" x14ac:dyDescent="0.3">
      <c r="L169" s="29"/>
    </row>
  </sheetData>
  <mergeCells count="1">
    <mergeCell ref="L2:P2"/>
  </mergeCells>
  <phoneticPr fontId="3" type="noConversion"/>
  <conditionalFormatting sqref="L61 L92">
    <cfRule type="cellIs" dxfId="4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B1D3-6F0F-334A-A8DB-64A00CC1AB8C}">
  <dimension ref="B1:J204"/>
  <sheetViews>
    <sheetView topLeftCell="A176" workbookViewId="0">
      <selection activeCell="C4" sqref="C4"/>
    </sheetView>
  </sheetViews>
  <sheetFormatPr defaultColWidth="11.19921875" defaultRowHeight="15.6" x14ac:dyDescent="0.3"/>
  <cols>
    <col min="1" max="1" width="11.19921875" style="18"/>
    <col min="2" max="2" width="33.69921875" style="20" customWidth="1"/>
    <col min="3" max="3" width="16.69921875" style="19" customWidth="1"/>
    <col min="4" max="5" width="16.69921875" style="18" customWidth="1"/>
    <col min="6" max="6" width="11.19921875" style="18"/>
    <col min="7" max="7" width="33.69921875" style="20" customWidth="1"/>
    <col min="8" max="8" width="16.69921875" style="19" customWidth="1"/>
    <col min="9" max="10" width="16.69921875" style="18" customWidth="1"/>
    <col min="11" max="16384" width="11.19921875" style="18"/>
  </cols>
  <sheetData>
    <row r="1" spans="2:10" ht="16.2" thickBot="1" x14ac:dyDescent="0.35"/>
    <row r="2" spans="2:10" ht="16.2" thickBot="1" x14ac:dyDescent="0.35">
      <c r="B2" s="458" t="s">
        <v>317</v>
      </c>
      <c r="C2" s="459"/>
      <c r="D2" s="459"/>
      <c r="E2" s="460"/>
      <c r="G2" s="458" t="s">
        <v>318</v>
      </c>
      <c r="H2" s="459"/>
      <c r="I2" s="459"/>
      <c r="J2" s="460"/>
    </row>
    <row r="5" spans="2:10" s="19" customFormat="1" ht="16.95" customHeight="1" x14ac:dyDescent="0.3">
      <c r="B5" s="83"/>
      <c r="C5" s="443">
        <v>2019</v>
      </c>
      <c r="D5" s="443">
        <v>2020</v>
      </c>
      <c r="E5" s="444"/>
      <c r="G5" s="83"/>
      <c r="H5" s="443">
        <v>2019</v>
      </c>
      <c r="I5" s="443">
        <v>2020</v>
      </c>
      <c r="J5" s="444"/>
    </row>
    <row r="6" spans="2:10" x14ac:dyDescent="0.3">
      <c r="B6" s="49" t="s">
        <v>42</v>
      </c>
      <c r="C6" s="154">
        <v>29848</v>
      </c>
      <c r="D6" s="154">
        <v>34458</v>
      </c>
      <c r="E6" s="155"/>
      <c r="G6" s="49" t="s">
        <v>42</v>
      </c>
      <c r="H6" s="154">
        <v>24377</v>
      </c>
      <c r="I6" s="154">
        <v>36116</v>
      </c>
      <c r="J6" s="155"/>
    </row>
    <row r="7" spans="2:10" hidden="1" x14ac:dyDescent="0.3">
      <c r="B7" s="38" t="s">
        <v>44</v>
      </c>
      <c r="C7" s="84"/>
      <c r="D7" s="84"/>
      <c r="E7" s="85"/>
      <c r="G7" s="38" t="s">
        <v>44</v>
      </c>
      <c r="H7" s="84"/>
      <c r="I7" s="84"/>
      <c r="J7" s="85"/>
    </row>
    <row r="8" spans="2:10" hidden="1" x14ac:dyDescent="0.3">
      <c r="B8" s="38" t="s">
        <v>45</v>
      </c>
      <c r="C8" s="84"/>
      <c r="D8" s="84"/>
      <c r="E8" s="85"/>
      <c r="G8" s="38" t="s">
        <v>45</v>
      </c>
      <c r="H8" s="84"/>
      <c r="I8" s="84"/>
      <c r="J8" s="85"/>
    </row>
    <row r="9" spans="2:10" hidden="1" x14ac:dyDescent="0.3">
      <c r="B9" s="38" t="s">
        <v>46</v>
      </c>
      <c r="C9" s="84"/>
      <c r="D9" s="84"/>
      <c r="E9" s="85"/>
      <c r="G9" s="38" t="s">
        <v>46</v>
      </c>
      <c r="H9" s="84"/>
      <c r="I9" s="84"/>
      <c r="J9" s="85"/>
    </row>
    <row r="10" spans="2:10" x14ac:dyDescent="0.3">
      <c r="B10" s="41"/>
      <c r="C10" s="84"/>
      <c r="D10" s="84"/>
      <c r="E10" s="85"/>
      <c r="G10" s="41"/>
      <c r="H10" s="84"/>
      <c r="I10" s="84"/>
      <c r="J10" s="85"/>
    </row>
    <row r="11" spans="2:10" x14ac:dyDescent="0.3">
      <c r="B11" s="49" t="s">
        <v>47</v>
      </c>
      <c r="C11" s="154">
        <f>C22-C6</f>
        <v>-4193</v>
      </c>
      <c r="D11" s="154">
        <f>D22-D6</f>
        <v>-5557</v>
      </c>
      <c r="E11" s="155">
        <f>-8.65%*E6</f>
        <v>0</v>
      </c>
      <c r="G11" s="49" t="s">
        <v>47</v>
      </c>
      <c r="H11" s="154">
        <f>H22-H6</f>
        <v>-4490.7000000000007</v>
      </c>
      <c r="I11" s="154">
        <f>I22-I6</f>
        <v>-6938.9000000000015</v>
      </c>
      <c r="J11" s="155">
        <f>-8.65%*J6</f>
        <v>0</v>
      </c>
    </row>
    <row r="12" spans="2:10" hidden="1" x14ac:dyDescent="0.3">
      <c r="B12" s="38" t="s">
        <v>49</v>
      </c>
      <c r="C12" s="84"/>
      <c r="D12" s="84"/>
      <c r="E12" s="85"/>
      <c r="G12" s="38" t="s">
        <v>49</v>
      </c>
      <c r="H12" s="84"/>
      <c r="I12" s="84"/>
      <c r="J12" s="85"/>
    </row>
    <row r="13" spans="2:10" hidden="1" x14ac:dyDescent="0.3">
      <c r="B13" s="38" t="s">
        <v>50</v>
      </c>
      <c r="C13" s="84"/>
      <c r="D13" s="84"/>
      <c r="E13" s="85"/>
      <c r="G13" s="38" t="s">
        <v>50</v>
      </c>
      <c r="H13" s="84"/>
      <c r="I13" s="84"/>
      <c r="J13" s="85"/>
    </row>
    <row r="14" spans="2:10" hidden="1" x14ac:dyDescent="0.3">
      <c r="B14" s="38" t="s">
        <v>51</v>
      </c>
      <c r="C14" s="84"/>
      <c r="D14" s="84"/>
      <c r="E14" s="85"/>
      <c r="G14" s="38" t="s">
        <v>51</v>
      </c>
      <c r="H14" s="84"/>
      <c r="I14" s="84"/>
      <c r="J14" s="85"/>
    </row>
    <row r="15" spans="2:10" hidden="1" x14ac:dyDescent="0.3">
      <c r="B15" s="38" t="s">
        <v>52</v>
      </c>
      <c r="C15" s="84"/>
      <c r="D15" s="84"/>
      <c r="E15" s="85"/>
      <c r="G15" s="38" t="s">
        <v>52</v>
      </c>
      <c r="H15" s="84"/>
      <c r="I15" s="84"/>
      <c r="J15" s="85"/>
    </row>
    <row r="16" spans="2:10" x14ac:dyDescent="0.3">
      <c r="B16" s="41"/>
      <c r="C16" s="84"/>
      <c r="D16" s="84"/>
      <c r="E16" s="85"/>
      <c r="G16" s="41"/>
      <c r="H16" s="84"/>
      <c r="I16" s="84"/>
      <c r="J16" s="85"/>
    </row>
    <row r="17" spans="2:10" x14ac:dyDescent="0.3">
      <c r="B17" s="49" t="s">
        <v>53</v>
      </c>
      <c r="C17" s="154">
        <v>0</v>
      </c>
      <c r="D17" s="154">
        <v>0</v>
      </c>
      <c r="E17" s="155">
        <v>0</v>
      </c>
      <c r="G17" s="49" t="s">
        <v>53</v>
      </c>
      <c r="H17" s="154">
        <v>0</v>
      </c>
      <c r="I17" s="154">
        <v>0</v>
      </c>
      <c r="J17" s="155">
        <v>0</v>
      </c>
    </row>
    <row r="18" spans="2:10" hidden="1" x14ac:dyDescent="0.3">
      <c r="B18" s="38" t="s">
        <v>55</v>
      </c>
      <c r="C18" s="84"/>
      <c r="D18" s="84"/>
      <c r="E18" s="85"/>
      <c r="G18" s="38" t="s">
        <v>55</v>
      </c>
      <c r="H18" s="84"/>
      <c r="I18" s="84"/>
      <c r="J18" s="85"/>
    </row>
    <row r="19" spans="2:10" hidden="1" x14ac:dyDescent="0.3">
      <c r="B19" s="38" t="s">
        <v>56</v>
      </c>
      <c r="C19" s="84"/>
      <c r="D19" s="84"/>
      <c r="E19" s="85"/>
      <c r="G19" s="38" t="s">
        <v>56</v>
      </c>
      <c r="H19" s="84"/>
      <c r="I19" s="84"/>
      <c r="J19" s="85"/>
    </row>
    <row r="20" spans="2:10" hidden="1" x14ac:dyDescent="0.3">
      <c r="B20" s="38" t="s">
        <v>57</v>
      </c>
      <c r="C20" s="84"/>
      <c r="D20" s="84"/>
      <c r="E20" s="85"/>
      <c r="G20" s="38" t="s">
        <v>57</v>
      </c>
      <c r="H20" s="84"/>
      <c r="I20" s="84"/>
      <c r="J20" s="85"/>
    </row>
    <row r="21" spans="2:10" x14ac:dyDescent="0.3">
      <c r="B21" s="41"/>
      <c r="C21" s="84"/>
      <c r="D21" s="84"/>
      <c r="E21" s="85"/>
      <c r="G21" s="41"/>
      <c r="H21" s="84"/>
      <c r="I21" s="84"/>
      <c r="J21" s="85"/>
    </row>
    <row r="22" spans="2:10" x14ac:dyDescent="0.3">
      <c r="B22" s="49" t="s">
        <v>58</v>
      </c>
      <c r="C22" s="156">
        <v>25655</v>
      </c>
      <c r="D22" s="156">
        <v>28901</v>
      </c>
      <c r="E22" s="157">
        <f>E6+E11+E17</f>
        <v>0</v>
      </c>
      <c r="G22" s="49" t="s">
        <v>58</v>
      </c>
      <c r="H22" s="156">
        <v>19886.3</v>
      </c>
      <c r="I22" s="156">
        <v>29177.1</v>
      </c>
      <c r="J22" s="157">
        <f>J6+J11+J17</f>
        <v>0</v>
      </c>
    </row>
    <row r="23" spans="2:10" x14ac:dyDescent="0.3">
      <c r="B23" s="41"/>
      <c r="C23" s="84"/>
      <c r="D23" s="84"/>
      <c r="E23" s="85"/>
      <c r="G23" s="41"/>
      <c r="H23" s="84"/>
      <c r="I23" s="84"/>
      <c r="J23" s="85"/>
    </row>
    <row r="24" spans="2:10" ht="31.2" x14ac:dyDescent="0.3">
      <c r="B24" s="48" t="s">
        <v>60</v>
      </c>
      <c r="C24" s="154">
        <v>-18312</v>
      </c>
      <c r="D24" s="154">
        <v>-19435</v>
      </c>
      <c r="E24" s="157">
        <f>-E6/3</f>
        <v>0</v>
      </c>
      <c r="G24" s="48" t="s">
        <v>60</v>
      </c>
      <c r="H24" s="154">
        <v>-14096.3</v>
      </c>
      <c r="I24" s="154">
        <v>-21657.200000000001</v>
      </c>
      <c r="J24" s="157">
        <f>-J6/3</f>
        <v>0</v>
      </c>
    </row>
    <row r="25" spans="2:10" hidden="1" x14ac:dyDescent="0.3">
      <c r="B25" s="38" t="s">
        <v>44</v>
      </c>
      <c r="C25" s="84"/>
      <c r="D25" s="84"/>
      <c r="E25" s="85"/>
      <c r="G25" s="38" t="s">
        <v>44</v>
      </c>
      <c r="H25" s="84"/>
      <c r="I25" s="84"/>
      <c r="J25" s="85"/>
    </row>
    <row r="26" spans="2:10" hidden="1" x14ac:dyDescent="0.3">
      <c r="B26" s="38" t="s">
        <v>45</v>
      </c>
      <c r="C26" s="84"/>
      <c r="D26" s="84"/>
      <c r="E26" s="85"/>
      <c r="G26" s="38" t="s">
        <v>45</v>
      </c>
      <c r="H26" s="84"/>
      <c r="I26" s="84"/>
      <c r="J26" s="85"/>
    </row>
    <row r="27" spans="2:10" hidden="1" x14ac:dyDescent="0.3">
      <c r="B27" s="38" t="s">
        <v>46</v>
      </c>
      <c r="C27" s="84"/>
      <c r="D27" s="84"/>
      <c r="E27" s="85"/>
      <c r="G27" s="38" t="s">
        <v>46</v>
      </c>
      <c r="H27" s="84"/>
      <c r="I27" s="84"/>
      <c r="J27" s="85"/>
    </row>
    <row r="28" spans="2:10" x14ac:dyDescent="0.3">
      <c r="B28" s="41"/>
      <c r="C28" s="84"/>
      <c r="D28" s="84"/>
      <c r="E28" s="85"/>
      <c r="G28" s="41"/>
      <c r="H28" s="84"/>
      <c r="I28" s="84"/>
      <c r="J28" s="85"/>
    </row>
    <row r="29" spans="2:10" x14ac:dyDescent="0.3">
      <c r="B29" s="49" t="s">
        <v>62</v>
      </c>
      <c r="C29" s="156">
        <f>C22+C24</f>
        <v>7343</v>
      </c>
      <c r="D29" s="156">
        <f>D22+D24</f>
        <v>9466</v>
      </c>
      <c r="E29" s="157">
        <f>E22+E24</f>
        <v>0</v>
      </c>
      <c r="G29" s="49" t="s">
        <v>62</v>
      </c>
      <c r="H29" s="156">
        <f>H22+H24</f>
        <v>5790</v>
      </c>
      <c r="I29" s="156">
        <f>I22+I24</f>
        <v>7519.8999999999978</v>
      </c>
      <c r="J29" s="157">
        <f>J22+J24</f>
        <v>0</v>
      </c>
    </row>
    <row r="30" spans="2:10" x14ac:dyDescent="0.3">
      <c r="B30" s="49" t="s">
        <v>64</v>
      </c>
      <c r="C30" s="158">
        <f>C29/C22</f>
        <v>0.28622100954979535</v>
      </c>
      <c r="D30" s="158">
        <f>D29/D22</f>
        <v>0.32753191931075049</v>
      </c>
      <c r="E30" s="159" t="e">
        <f>E29/E22</f>
        <v>#DIV/0!</v>
      </c>
      <c r="G30" s="49" t="s">
        <v>64</v>
      </c>
      <c r="H30" s="158">
        <f>H29/H22</f>
        <v>0.29115521741098144</v>
      </c>
      <c r="I30" s="158">
        <f>I29/I22</f>
        <v>0.25773294809970826</v>
      </c>
      <c r="J30" s="159" t="e">
        <f>J29/J22</f>
        <v>#DIV/0!</v>
      </c>
    </row>
    <row r="31" spans="2:10" x14ac:dyDescent="0.3">
      <c r="B31" s="41"/>
      <c r="C31" s="61"/>
      <c r="D31" s="61"/>
      <c r="E31" s="442"/>
      <c r="G31" s="41"/>
      <c r="H31" s="61"/>
      <c r="I31" s="61"/>
      <c r="J31" s="442"/>
    </row>
    <row r="32" spans="2:10" x14ac:dyDescent="0.3">
      <c r="B32" s="48" t="s">
        <v>66</v>
      </c>
      <c r="C32" s="154">
        <f>C33+C42</f>
        <v>-6455</v>
      </c>
      <c r="D32" s="154">
        <f>D33+D42</f>
        <v>-6823</v>
      </c>
      <c r="E32" s="155">
        <f>E33+E42</f>
        <v>0</v>
      </c>
      <c r="G32" s="48" t="s">
        <v>66</v>
      </c>
      <c r="H32" s="154">
        <f>H33+H42</f>
        <v>-4145.7</v>
      </c>
      <c r="I32" s="154">
        <f>I33+I42</f>
        <v>-6069.4000000000005</v>
      </c>
      <c r="J32" s="155">
        <f>J33+J42</f>
        <v>0</v>
      </c>
    </row>
    <row r="33" spans="2:10" x14ac:dyDescent="0.3">
      <c r="B33" s="341" t="s">
        <v>68</v>
      </c>
      <c r="C33" s="335">
        <v>-5564</v>
      </c>
      <c r="D33" s="335">
        <v>-5892</v>
      </c>
      <c r="E33" s="336">
        <f>SUM(E34:E37)</f>
        <v>0</v>
      </c>
      <c r="G33" s="341" t="s">
        <v>68</v>
      </c>
      <c r="H33" s="335">
        <v>-3444.1</v>
      </c>
      <c r="I33" s="335">
        <v>-5162.6000000000004</v>
      </c>
      <c r="J33" s="336">
        <f>SUM(J34:J37)</f>
        <v>0</v>
      </c>
    </row>
    <row r="34" spans="2:10" hidden="1" x14ac:dyDescent="0.3">
      <c r="B34" s="334" t="s">
        <v>70</v>
      </c>
      <c r="C34" s="335">
        <v>0</v>
      </c>
      <c r="D34" s="335">
        <v>0</v>
      </c>
      <c r="E34" s="336">
        <v>0</v>
      </c>
      <c r="G34" s="334" t="s">
        <v>70</v>
      </c>
      <c r="H34" s="335">
        <v>0</v>
      </c>
      <c r="I34" s="335">
        <v>0</v>
      </c>
      <c r="J34" s="336">
        <v>0</v>
      </c>
    </row>
    <row r="35" spans="2:10" hidden="1" x14ac:dyDescent="0.3">
      <c r="B35" s="334" t="s">
        <v>176</v>
      </c>
      <c r="C35" s="335">
        <v>0</v>
      </c>
      <c r="D35" s="335">
        <v>0</v>
      </c>
      <c r="E35" s="336">
        <v>0</v>
      </c>
      <c r="G35" s="334" t="s">
        <v>176</v>
      </c>
      <c r="H35" s="335">
        <v>0</v>
      </c>
      <c r="I35" s="335">
        <v>0</v>
      </c>
      <c r="J35" s="336">
        <v>0</v>
      </c>
    </row>
    <row r="36" spans="2:10" hidden="1" x14ac:dyDescent="0.3">
      <c r="B36" s="334" t="s">
        <v>72</v>
      </c>
      <c r="C36" s="335">
        <v>0</v>
      </c>
      <c r="D36" s="335">
        <v>0</v>
      </c>
      <c r="E36" s="336">
        <v>0</v>
      </c>
      <c r="G36" s="334" t="s">
        <v>72</v>
      </c>
      <c r="H36" s="335">
        <v>0</v>
      </c>
      <c r="I36" s="335">
        <v>0</v>
      </c>
      <c r="J36" s="336">
        <v>0</v>
      </c>
    </row>
    <row r="37" spans="2:10" hidden="1" x14ac:dyDescent="0.3">
      <c r="B37" s="334" t="s">
        <v>73</v>
      </c>
      <c r="C37" s="335">
        <v>0</v>
      </c>
      <c r="D37" s="335">
        <v>0</v>
      </c>
      <c r="E37" s="336">
        <v>0</v>
      </c>
      <c r="G37" s="334" t="s">
        <v>73</v>
      </c>
      <c r="H37" s="335">
        <v>0</v>
      </c>
      <c r="I37" s="335">
        <v>0</v>
      </c>
      <c r="J37" s="336">
        <v>0</v>
      </c>
    </row>
    <row r="38" spans="2:10" x14ac:dyDescent="0.3">
      <c r="B38" s="41"/>
      <c r="C38" s="84"/>
      <c r="D38" s="84"/>
      <c r="E38" s="85"/>
      <c r="G38" s="41"/>
      <c r="H38" s="84"/>
      <c r="I38" s="84"/>
      <c r="J38" s="85"/>
    </row>
    <row r="39" spans="2:10" x14ac:dyDescent="0.3">
      <c r="B39" s="49" t="s">
        <v>76</v>
      </c>
      <c r="C39" s="156">
        <f>C29+C33</f>
        <v>1779</v>
      </c>
      <c r="D39" s="156">
        <f>D29+D33</f>
        <v>3574</v>
      </c>
      <c r="E39" s="157">
        <f>E29+E33</f>
        <v>0</v>
      </c>
      <c r="G39" s="49" t="s">
        <v>76</v>
      </c>
      <c r="H39" s="156">
        <f>H29+H33</f>
        <v>2345.9</v>
      </c>
      <c r="I39" s="156">
        <f>I29+I33</f>
        <v>2357.2999999999975</v>
      </c>
      <c r="J39" s="157">
        <f>J29+J33</f>
        <v>0</v>
      </c>
    </row>
    <row r="40" spans="2:10" x14ac:dyDescent="0.3">
      <c r="B40" s="49" t="s">
        <v>78</v>
      </c>
      <c r="C40" s="182">
        <f>C39/C22</f>
        <v>6.9343207951666347E-2</v>
      </c>
      <c r="D40" s="182">
        <f>D39/D22</f>
        <v>0.12366354105394277</v>
      </c>
      <c r="E40" s="183" t="e">
        <f>E39/E22</f>
        <v>#DIV/0!</v>
      </c>
      <c r="G40" s="49" t="s">
        <v>78</v>
      </c>
      <c r="H40" s="182">
        <f>H39/H22</f>
        <v>0.11796563463288798</v>
      </c>
      <c r="I40" s="182">
        <f>I39/I22</f>
        <v>8.079281354212714E-2</v>
      </c>
      <c r="J40" s="183" t="e">
        <f>J39/J22</f>
        <v>#DIV/0!</v>
      </c>
    </row>
    <row r="41" spans="2:10" x14ac:dyDescent="0.3">
      <c r="B41" s="41"/>
      <c r="C41" s="61"/>
      <c r="D41" s="61"/>
      <c r="E41" s="442"/>
      <c r="G41" s="41"/>
      <c r="H41" s="61"/>
      <c r="I41" s="61"/>
      <c r="J41" s="442"/>
    </row>
    <row r="42" spans="2:10" x14ac:dyDescent="0.3">
      <c r="B42" s="46" t="s">
        <v>80</v>
      </c>
      <c r="C42" s="154">
        <v>-891</v>
      </c>
      <c r="D42" s="154">
        <v>-931</v>
      </c>
      <c r="E42" s="155">
        <f>SUM(E43:E48)</f>
        <v>0</v>
      </c>
      <c r="G42" s="46" t="s">
        <v>80</v>
      </c>
      <c r="H42" s="154">
        <v>-701.6</v>
      </c>
      <c r="I42" s="154">
        <v>-906.8</v>
      </c>
      <c r="J42" s="155">
        <f>SUM(J43:J48)</f>
        <v>0</v>
      </c>
    </row>
    <row r="43" spans="2:10" hidden="1" x14ac:dyDescent="0.3">
      <c r="B43" s="334" t="s">
        <v>82</v>
      </c>
      <c r="C43" s="335">
        <v>0</v>
      </c>
      <c r="D43" s="335">
        <v>0</v>
      </c>
      <c r="E43" s="336">
        <v>0</v>
      </c>
      <c r="G43" s="334" t="s">
        <v>82</v>
      </c>
      <c r="H43" s="335">
        <v>0</v>
      </c>
      <c r="I43" s="335">
        <v>0</v>
      </c>
      <c r="J43" s="336">
        <v>0</v>
      </c>
    </row>
    <row r="44" spans="2:10" hidden="1" x14ac:dyDescent="0.3">
      <c r="B44" s="334" t="s">
        <v>83</v>
      </c>
      <c r="C44" s="335">
        <v>0</v>
      </c>
      <c r="D44" s="335">
        <v>0</v>
      </c>
      <c r="E44" s="336">
        <v>0</v>
      </c>
      <c r="G44" s="334" t="s">
        <v>83</v>
      </c>
      <c r="H44" s="335">
        <v>0</v>
      </c>
      <c r="I44" s="335">
        <v>0</v>
      </c>
      <c r="J44" s="336">
        <v>0</v>
      </c>
    </row>
    <row r="45" spans="2:10" hidden="1" x14ac:dyDescent="0.3">
      <c r="B45" s="334" t="s">
        <v>84</v>
      </c>
      <c r="C45" s="335">
        <v>0</v>
      </c>
      <c r="D45" s="335">
        <v>0</v>
      </c>
      <c r="E45" s="336">
        <v>0</v>
      </c>
      <c r="G45" s="334" t="s">
        <v>84</v>
      </c>
      <c r="H45" s="335">
        <v>0</v>
      </c>
      <c r="I45" s="335">
        <v>0</v>
      </c>
      <c r="J45" s="336">
        <v>0</v>
      </c>
    </row>
    <row r="46" spans="2:10" hidden="1" x14ac:dyDescent="0.3">
      <c r="B46" s="334" t="s">
        <v>85</v>
      </c>
      <c r="C46" s="335">
        <v>0</v>
      </c>
      <c r="D46" s="335">
        <v>0</v>
      </c>
      <c r="E46" s="336">
        <v>0</v>
      </c>
      <c r="G46" s="334" t="s">
        <v>85</v>
      </c>
      <c r="H46" s="335">
        <v>0</v>
      </c>
      <c r="I46" s="335">
        <v>0</v>
      </c>
      <c r="J46" s="336">
        <v>0</v>
      </c>
    </row>
    <row r="47" spans="2:10" hidden="1" x14ac:dyDescent="0.3">
      <c r="B47" s="334" t="s">
        <v>86</v>
      </c>
      <c r="C47" s="335">
        <v>0</v>
      </c>
      <c r="D47" s="335">
        <v>0</v>
      </c>
      <c r="E47" s="336">
        <v>0</v>
      </c>
      <c r="G47" s="334" t="s">
        <v>86</v>
      </c>
      <c r="H47" s="335">
        <v>0</v>
      </c>
      <c r="I47" s="335">
        <v>0</v>
      </c>
      <c r="J47" s="336">
        <v>0</v>
      </c>
    </row>
    <row r="48" spans="2:10" hidden="1" x14ac:dyDescent="0.3">
      <c r="B48" s="334" t="s">
        <v>87</v>
      </c>
      <c r="C48" s="335">
        <v>0</v>
      </c>
      <c r="D48" s="335">
        <v>0</v>
      </c>
      <c r="E48" s="336">
        <v>0</v>
      </c>
      <c r="G48" s="334" t="s">
        <v>87</v>
      </c>
      <c r="H48" s="335">
        <v>0</v>
      </c>
      <c r="I48" s="335">
        <v>0</v>
      </c>
      <c r="J48" s="336">
        <v>0</v>
      </c>
    </row>
    <row r="49" spans="2:10" x14ac:dyDescent="0.3">
      <c r="B49" s="41"/>
      <c r="C49" s="84"/>
      <c r="D49" s="84"/>
      <c r="E49" s="85"/>
      <c r="G49" s="41"/>
      <c r="H49" s="84"/>
      <c r="I49" s="84"/>
      <c r="J49" s="85"/>
    </row>
    <row r="50" spans="2:10" x14ac:dyDescent="0.3">
      <c r="B50" s="48" t="s">
        <v>88</v>
      </c>
      <c r="C50" s="184">
        <v>1076</v>
      </c>
      <c r="D50" s="184">
        <v>2917</v>
      </c>
      <c r="E50" s="185">
        <f>E39+E42</f>
        <v>0</v>
      </c>
      <c r="G50" s="48" t="s">
        <v>88</v>
      </c>
      <c r="H50" s="184">
        <v>1659.7</v>
      </c>
      <c r="I50" s="184">
        <v>1506</v>
      </c>
      <c r="J50" s="185">
        <f>J39+J42</f>
        <v>0</v>
      </c>
    </row>
    <row r="51" spans="2:10" x14ac:dyDescent="0.3">
      <c r="B51" s="48" t="s">
        <v>90</v>
      </c>
      <c r="C51" s="182">
        <f>C50/C22</f>
        <v>4.1941142077567724E-2</v>
      </c>
      <c r="D51" s="182">
        <f>D50/D22</f>
        <v>0.1009307636413965</v>
      </c>
      <c r="E51" s="183" t="e">
        <f>E50/E22</f>
        <v>#DIV/0!</v>
      </c>
      <c r="G51" s="48" t="s">
        <v>90</v>
      </c>
      <c r="H51" s="182">
        <f>H50/H22</f>
        <v>8.3459467070294627E-2</v>
      </c>
      <c r="I51" s="182">
        <f>I50/I22</f>
        <v>5.1615821997388366E-2</v>
      </c>
      <c r="J51" s="183" t="e">
        <f>J50/J22</f>
        <v>#DIV/0!</v>
      </c>
    </row>
    <row r="52" spans="2:10" x14ac:dyDescent="0.3">
      <c r="B52" s="41"/>
      <c r="C52" s="62"/>
      <c r="D52" s="62"/>
      <c r="E52" s="45"/>
      <c r="G52" s="41"/>
      <c r="H52" s="62"/>
      <c r="I52" s="62"/>
      <c r="J52" s="45"/>
    </row>
    <row r="53" spans="2:10" x14ac:dyDescent="0.3">
      <c r="B53" s="48" t="s">
        <v>92</v>
      </c>
      <c r="C53" s="154">
        <v>-962</v>
      </c>
      <c r="D53" s="154">
        <v>-696</v>
      </c>
      <c r="E53" s="155">
        <v>0</v>
      </c>
      <c r="G53" s="48" t="s">
        <v>92</v>
      </c>
      <c r="H53" s="154">
        <v>-531</v>
      </c>
      <c r="I53" s="154">
        <v>-410</v>
      </c>
      <c r="J53" s="155">
        <v>0</v>
      </c>
    </row>
    <row r="54" spans="2:10" hidden="1" x14ac:dyDescent="0.3">
      <c r="B54" s="38" t="s">
        <v>94</v>
      </c>
      <c r="C54" s="84"/>
      <c r="D54" s="84"/>
      <c r="E54" s="85"/>
      <c r="G54" s="38" t="s">
        <v>94</v>
      </c>
      <c r="H54" s="84"/>
      <c r="I54" s="84"/>
      <c r="J54" s="85"/>
    </row>
    <row r="55" spans="2:10" hidden="1" x14ac:dyDescent="0.3">
      <c r="B55" s="38" t="s">
        <v>95</v>
      </c>
      <c r="C55" s="84"/>
      <c r="D55" s="84"/>
      <c r="E55" s="85"/>
      <c r="G55" s="38" t="s">
        <v>95</v>
      </c>
      <c r="H55" s="84"/>
      <c r="I55" s="84"/>
      <c r="J55" s="85"/>
    </row>
    <row r="56" spans="2:10" x14ac:dyDescent="0.3">
      <c r="B56" s="41"/>
      <c r="C56" s="84"/>
      <c r="D56" s="84"/>
      <c r="E56" s="85"/>
      <c r="G56" s="41"/>
      <c r="H56" s="84"/>
      <c r="I56" s="84"/>
      <c r="J56" s="85"/>
    </row>
    <row r="57" spans="2:10" x14ac:dyDescent="0.3">
      <c r="B57" s="48" t="s">
        <v>96</v>
      </c>
      <c r="C57" s="154">
        <v>-702</v>
      </c>
      <c r="D57" s="154">
        <v>-731</v>
      </c>
      <c r="E57" s="155">
        <v>0</v>
      </c>
      <c r="G57" s="48" t="s">
        <v>96</v>
      </c>
      <c r="H57" s="154">
        <v>-487</v>
      </c>
      <c r="I57" s="154">
        <v>-702.5</v>
      </c>
      <c r="J57" s="155">
        <v>0</v>
      </c>
    </row>
    <row r="58" spans="2:10" hidden="1" x14ac:dyDescent="0.3">
      <c r="B58" s="38" t="s">
        <v>98</v>
      </c>
      <c r="C58" s="84"/>
      <c r="D58" s="84"/>
      <c r="E58" s="85"/>
      <c r="G58" s="38" t="s">
        <v>98</v>
      </c>
      <c r="H58" s="84"/>
      <c r="I58" s="84"/>
      <c r="J58" s="85"/>
    </row>
    <row r="59" spans="2:10" hidden="1" x14ac:dyDescent="0.3">
      <c r="B59" s="38" t="s">
        <v>99</v>
      </c>
      <c r="C59" s="84"/>
      <c r="D59" s="84"/>
      <c r="E59" s="85"/>
      <c r="G59" s="38" t="s">
        <v>99</v>
      </c>
      <c r="H59" s="84"/>
      <c r="I59" s="84"/>
      <c r="J59" s="85"/>
    </row>
    <row r="60" spans="2:10" x14ac:dyDescent="0.3">
      <c r="B60" s="41"/>
      <c r="C60" s="84"/>
      <c r="D60" s="84"/>
      <c r="E60" s="85"/>
      <c r="G60" s="41"/>
      <c r="H60" s="84"/>
      <c r="I60" s="84"/>
      <c r="J60" s="85"/>
    </row>
    <row r="61" spans="2:10" x14ac:dyDescent="0.3">
      <c r="B61" s="48" t="s">
        <v>100</v>
      </c>
      <c r="C61" s="156">
        <v>-2004</v>
      </c>
      <c r="D61" s="156">
        <v>923</v>
      </c>
      <c r="E61" s="157">
        <f>E50+E53+E57</f>
        <v>0</v>
      </c>
      <c r="G61" s="48" t="s">
        <v>100</v>
      </c>
      <c r="H61" s="156">
        <v>641.6</v>
      </c>
      <c r="I61" s="156">
        <v>414.1</v>
      </c>
      <c r="J61" s="157">
        <f>J50+J53+J57</f>
        <v>0</v>
      </c>
    </row>
    <row r="62" spans="2:10" x14ac:dyDescent="0.3">
      <c r="B62" s="41"/>
      <c r="C62" s="84"/>
      <c r="D62" s="84"/>
      <c r="E62" s="85"/>
      <c r="G62" s="41"/>
      <c r="H62" s="84"/>
      <c r="I62" s="84"/>
      <c r="J62" s="85"/>
    </row>
    <row r="63" spans="2:10" x14ac:dyDescent="0.3">
      <c r="B63" s="48" t="s">
        <v>102</v>
      </c>
      <c r="C63" s="156">
        <v>571</v>
      </c>
      <c r="D63" s="156">
        <v>81</v>
      </c>
      <c r="E63" s="157">
        <f>-27%*E61</f>
        <v>0</v>
      </c>
      <c r="G63" s="48" t="s">
        <v>102</v>
      </c>
      <c r="H63" s="156">
        <v>-137.5</v>
      </c>
      <c r="I63" s="156">
        <v>-22.4</v>
      </c>
      <c r="J63" s="157">
        <f>-27%*J61</f>
        <v>0</v>
      </c>
    </row>
    <row r="64" spans="2:10" x14ac:dyDescent="0.3">
      <c r="B64" s="38" t="s">
        <v>104</v>
      </c>
      <c r="C64" s="84"/>
      <c r="D64" s="84"/>
      <c r="E64" s="85"/>
      <c r="G64" s="38" t="s">
        <v>104</v>
      </c>
      <c r="H64" s="84"/>
      <c r="I64" s="84"/>
      <c r="J64" s="85"/>
    </row>
    <row r="65" spans="2:10" x14ac:dyDescent="0.3">
      <c r="B65" s="38" t="s">
        <v>105</v>
      </c>
      <c r="C65" s="84"/>
      <c r="D65" s="84"/>
      <c r="E65" s="85"/>
      <c r="G65" s="38" t="s">
        <v>105</v>
      </c>
      <c r="H65" s="84"/>
      <c r="I65" s="84"/>
      <c r="J65" s="85"/>
    </row>
    <row r="66" spans="2:10" x14ac:dyDescent="0.3">
      <c r="B66" s="41"/>
      <c r="C66" s="84"/>
      <c r="D66" s="84"/>
      <c r="E66" s="85"/>
      <c r="G66" s="41"/>
      <c r="H66" s="84"/>
      <c r="I66" s="84"/>
      <c r="J66" s="85"/>
    </row>
    <row r="67" spans="2:10" x14ac:dyDescent="0.3">
      <c r="B67" s="53" t="s">
        <v>106</v>
      </c>
      <c r="C67" s="160">
        <v>-1433</v>
      </c>
      <c r="D67" s="160">
        <v>1004</v>
      </c>
      <c r="E67" s="161">
        <f>E61+E63</f>
        <v>0</v>
      </c>
      <c r="G67" s="53" t="s">
        <v>106</v>
      </c>
      <c r="H67" s="160">
        <v>504.2</v>
      </c>
      <c r="I67" s="160">
        <v>377.8</v>
      </c>
      <c r="J67" s="161">
        <f>J61+J63</f>
        <v>0</v>
      </c>
    </row>
    <row r="68" spans="2:10" x14ac:dyDescent="0.3">
      <c r="B68" s="53" t="s">
        <v>108</v>
      </c>
      <c r="C68" s="212">
        <f>C67/C22</f>
        <v>-5.5856558175794192E-2</v>
      </c>
      <c r="D68" s="212">
        <f>D67/D22</f>
        <v>3.4739282377772393E-2</v>
      </c>
      <c r="E68" s="213" t="e">
        <f>E67/E22</f>
        <v>#DIV/0!</v>
      </c>
      <c r="G68" s="53" t="s">
        <v>108</v>
      </c>
      <c r="H68" s="212">
        <f>H67/H22</f>
        <v>2.5354138276099628E-2</v>
      </c>
      <c r="I68" s="212">
        <f>I67/I22</f>
        <v>1.2948510989783083E-2</v>
      </c>
      <c r="J68" s="213" t="e">
        <f>J67/J22</f>
        <v>#DIV/0!</v>
      </c>
    </row>
    <row r="69" spans="2:10" x14ac:dyDescent="0.3">
      <c r="B69" s="41"/>
      <c r="C69" s="61"/>
      <c r="D69" s="29"/>
      <c r="E69" s="35"/>
      <c r="G69" s="41"/>
      <c r="H69" s="61"/>
      <c r="I69" s="29"/>
      <c r="J69" s="35"/>
    </row>
    <row r="70" spans="2:10" x14ac:dyDescent="0.3">
      <c r="B70" s="441"/>
      <c r="C70" s="99">
        <v>2019</v>
      </c>
      <c r="D70" s="99">
        <v>2020</v>
      </c>
      <c r="E70" s="103"/>
      <c r="G70" s="441"/>
      <c r="H70" s="99">
        <v>2019</v>
      </c>
      <c r="I70" s="99">
        <v>2020</v>
      </c>
      <c r="J70" s="103"/>
    </row>
    <row r="71" spans="2:10" x14ac:dyDescent="0.3">
      <c r="B71" s="72" t="s">
        <v>16</v>
      </c>
      <c r="C71" s="188">
        <f>C73+C77+C84</f>
        <v>12452</v>
      </c>
      <c r="D71" s="188">
        <f>D73+D77+D84</f>
        <v>19248</v>
      </c>
      <c r="E71" s="189">
        <f>E73+E77+E84</f>
        <v>-376</v>
      </c>
      <c r="G71" s="72" t="s">
        <v>16</v>
      </c>
      <c r="H71" s="188">
        <f>H73+H77+H84</f>
        <v>12156.8</v>
      </c>
      <c r="I71" s="188">
        <f>I73+I77+I84</f>
        <v>14799.5</v>
      </c>
      <c r="J71" s="189">
        <f>J73+J77+J84</f>
        <v>4788.4999999999991</v>
      </c>
    </row>
    <row r="72" spans="2:10" x14ac:dyDescent="0.3">
      <c r="B72" s="33"/>
      <c r="C72" s="89"/>
      <c r="D72" s="29"/>
      <c r="E72" s="35"/>
      <c r="G72" s="33"/>
      <c r="H72" s="89"/>
      <c r="I72" s="29"/>
      <c r="J72" s="35"/>
    </row>
    <row r="73" spans="2:10" x14ac:dyDescent="0.3">
      <c r="B73" s="68" t="s">
        <v>17</v>
      </c>
      <c r="C73" s="190">
        <f>C74+C75</f>
        <v>1364</v>
      </c>
      <c r="D73" s="190">
        <f>D74+D75</f>
        <v>2984</v>
      </c>
      <c r="E73" s="69">
        <f>E203</f>
        <v>-376</v>
      </c>
      <c r="G73" s="68" t="s">
        <v>17</v>
      </c>
      <c r="H73" s="190">
        <f>H74+H75</f>
        <v>4626.9000000000005</v>
      </c>
      <c r="I73" s="190">
        <f>I74+I75</f>
        <v>2501.6999999999998</v>
      </c>
      <c r="J73" s="69">
        <f>J203</f>
        <v>4788.4999999999991</v>
      </c>
    </row>
    <row r="74" spans="2:10" x14ac:dyDescent="0.3">
      <c r="B74" s="334" t="s">
        <v>9</v>
      </c>
      <c r="C74" s="411">
        <v>1364</v>
      </c>
      <c r="D74" s="411">
        <v>2984</v>
      </c>
      <c r="E74" s="336"/>
      <c r="G74" s="334" t="s">
        <v>9</v>
      </c>
      <c r="H74" s="411">
        <v>180.8</v>
      </c>
      <c r="I74" s="411">
        <v>1281.5999999999999</v>
      </c>
      <c r="J74" s="336"/>
    </row>
    <row r="75" spans="2:10" x14ac:dyDescent="0.3">
      <c r="B75" s="334" t="s">
        <v>18</v>
      </c>
      <c r="C75" s="411">
        <v>0</v>
      </c>
      <c r="D75" s="411"/>
      <c r="E75" s="336"/>
      <c r="G75" s="334" t="s">
        <v>18</v>
      </c>
      <c r="H75" s="411">
        <v>4446.1000000000004</v>
      </c>
      <c r="I75" s="411">
        <v>1220.0999999999999</v>
      </c>
      <c r="J75" s="336"/>
    </row>
    <row r="76" spans="2:10" x14ac:dyDescent="0.3">
      <c r="B76" s="33"/>
      <c r="C76" s="89"/>
      <c r="D76" s="89"/>
      <c r="E76" s="35"/>
      <c r="G76" s="33"/>
      <c r="H76" s="89"/>
      <c r="I76" s="89"/>
      <c r="J76" s="35"/>
    </row>
    <row r="77" spans="2:10" x14ac:dyDescent="0.3">
      <c r="B77" s="68" t="s">
        <v>19</v>
      </c>
      <c r="C77" s="190">
        <f>SUM(C78:C82)</f>
        <v>6523</v>
      </c>
      <c r="D77" s="190">
        <f>SUM(D78:D82)</f>
        <v>10088</v>
      </c>
      <c r="E77" s="69">
        <f>SUM(E78:E82)</f>
        <v>0</v>
      </c>
      <c r="G77" s="68" t="s">
        <v>19</v>
      </c>
      <c r="H77" s="190">
        <f>SUM(H78:H82)</f>
        <v>4020.6</v>
      </c>
      <c r="I77" s="190">
        <f>SUM(I78:I82)</f>
        <v>6838.8</v>
      </c>
      <c r="J77" s="69">
        <f>SUM(J78:J82)</f>
        <v>0</v>
      </c>
    </row>
    <row r="78" spans="2:10" x14ac:dyDescent="0.3">
      <c r="B78" s="334" t="s">
        <v>293</v>
      </c>
      <c r="C78" s="411">
        <v>1050</v>
      </c>
      <c r="D78" s="411">
        <v>1394</v>
      </c>
      <c r="E78" s="336">
        <f>D78/D$6*E$6</f>
        <v>0</v>
      </c>
      <c r="G78" s="334" t="s">
        <v>293</v>
      </c>
      <c r="H78" s="411">
        <v>777.9</v>
      </c>
      <c r="I78" s="411">
        <v>594.79999999999995</v>
      </c>
      <c r="J78" s="336">
        <f>I78/I$6*J$6</f>
        <v>0</v>
      </c>
    </row>
    <row r="79" spans="2:10" x14ac:dyDescent="0.3">
      <c r="B79" s="334" t="s">
        <v>294</v>
      </c>
      <c r="C79" s="411">
        <v>139</v>
      </c>
      <c r="D79" s="411">
        <v>209</v>
      </c>
      <c r="E79" s="336">
        <f>D79/D$6*E$6</f>
        <v>0</v>
      </c>
      <c r="G79" s="334" t="s">
        <v>294</v>
      </c>
      <c r="H79" s="411"/>
      <c r="I79" s="411"/>
      <c r="J79" s="336">
        <f>I79/I$6*J$6</f>
        <v>0</v>
      </c>
    </row>
    <row r="80" spans="2:10" x14ac:dyDescent="0.3">
      <c r="B80" s="334" t="s">
        <v>12</v>
      </c>
      <c r="C80" s="411">
        <v>5112</v>
      </c>
      <c r="D80" s="411">
        <v>7907</v>
      </c>
      <c r="E80" s="336">
        <f>D80/D$6*E$6</f>
        <v>0</v>
      </c>
      <c r="G80" s="334" t="s">
        <v>12</v>
      </c>
      <c r="H80" s="411">
        <v>2769.6</v>
      </c>
      <c r="I80" s="411">
        <v>3460.7</v>
      </c>
      <c r="J80" s="336">
        <f>I80/I$6*J$6</f>
        <v>0</v>
      </c>
    </row>
    <row r="81" spans="2:10" x14ac:dyDescent="0.3">
      <c r="B81" s="334" t="s">
        <v>295</v>
      </c>
      <c r="C81" s="411">
        <v>54</v>
      </c>
      <c r="D81" s="411">
        <v>281</v>
      </c>
      <c r="E81" s="336">
        <f>D81/D$6*E$6</f>
        <v>0</v>
      </c>
      <c r="G81" s="334" t="s">
        <v>295</v>
      </c>
      <c r="H81" s="411"/>
      <c r="I81" s="411"/>
      <c r="J81" s="336">
        <f>I81/I$6*J$6</f>
        <v>0</v>
      </c>
    </row>
    <row r="82" spans="2:10" x14ac:dyDescent="0.3">
      <c r="B82" s="334" t="s">
        <v>226</v>
      </c>
      <c r="C82" s="411">
        <f>2+166</f>
        <v>168</v>
      </c>
      <c r="D82" s="411">
        <f>0+297</f>
        <v>297</v>
      </c>
      <c r="E82" s="336">
        <f>D82/D$6*E$6</f>
        <v>0</v>
      </c>
      <c r="G82" s="334" t="s">
        <v>226</v>
      </c>
      <c r="H82" s="411">
        <v>473.1</v>
      </c>
      <c r="I82" s="411">
        <v>2783.3</v>
      </c>
      <c r="J82" s="336">
        <f>I82/I$6*J$6</f>
        <v>0</v>
      </c>
    </row>
    <row r="83" spans="2:10" x14ac:dyDescent="0.3">
      <c r="B83" s="33"/>
      <c r="C83" s="89"/>
      <c r="D83" s="29"/>
      <c r="E83" s="35"/>
      <c r="G83" s="33"/>
      <c r="H83" s="89"/>
      <c r="I83" s="29"/>
      <c r="J83" s="35"/>
    </row>
    <row r="84" spans="2:10" x14ac:dyDescent="0.3">
      <c r="B84" s="68" t="s">
        <v>24</v>
      </c>
      <c r="C84" s="190">
        <f>C85</f>
        <v>4565</v>
      </c>
      <c r="D84" s="190">
        <f>D85</f>
        <v>6176</v>
      </c>
      <c r="E84" s="69">
        <f>E85</f>
        <v>0</v>
      </c>
      <c r="G84" s="68" t="s">
        <v>24</v>
      </c>
      <c r="H84" s="190">
        <f>H85</f>
        <v>3509.3</v>
      </c>
      <c r="I84" s="190">
        <f>I85</f>
        <v>5459</v>
      </c>
      <c r="J84" s="69">
        <f>J85</f>
        <v>0</v>
      </c>
    </row>
    <row r="85" spans="2:10" x14ac:dyDescent="0.3">
      <c r="B85" s="334" t="s">
        <v>25</v>
      </c>
      <c r="C85" s="411">
        <v>4565</v>
      </c>
      <c r="D85" s="411">
        <v>6176</v>
      </c>
      <c r="E85" s="336">
        <f>D85/D$6*E$6</f>
        <v>0</v>
      </c>
      <c r="G85" s="334" t="s">
        <v>25</v>
      </c>
      <c r="H85" s="411">
        <v>3509.3</v>
      </c>
      <c r="I85" s="411">
        <v>5459</v>
      </c>
      <c r="J85" s="336">
        <f>I85/I$6*J$6</f>
        <v>0</v>
      </c>
    </row>
    <row r="86" spans="2:10" x14ac:dyDescent="0.3">
      <c r="B86" s="33"/>
      <c r="C86" s="89"/>
      <c r="D86" s="29"/>
      <c r="E86" s="35"/>
      <c r="G86" s="33"/>
      <c r="H86" s="89"/>
      <c r="I86" s="29"/>
      <c r="J86" s="35"/>
    </row>
    <row r="87" spans="2:10" x14ac:dyDescent="0.3">
      <c r="B87" s="72" t="s">
        <v>26</v>
      </c>
      <c r="C87" s="188">
        <f>SUM(C89:C99)</f>
        <v>11972</v>
      </c>
      <c r="D87" s="188">
        <f>SUM(D89:D99)</f>
        <v>13808</v>
      </c>
      <c r="E87" s="189">
        <f>E91</f>
        <v>0</v>
      </c>
      <c r="G87" s="72" t="s">
        <v>26</v>
      </c>
      <c r="H87" s="188">
        <f>SUM(H89:H99)</f>
        <v>6453.9</v>
      </c>
      <c r="I87" s="188">
        <f>SUM(I89:I99)</f>
        <v>7496.5</v>
      </c>
      <c r="J87" s="189">
        <f>J91</f>
        <v>0</v>
      </c>
    </row>
    <row r="88" spans="2:10" x14ac:dyDescent="0.3">
      <c r="B88" s="33"/>
      <c r="C88" s="89"/>
      <c r="D88" s="29"/>
      <c r="E88" s="35"/>
      <c r="G88" s="33"/>
      <c r="H88" s="89"/>
      <c r="I88" s="29"/>
      <c r="J88" s="35"/>
    </row>
    <row r="89" spans="2:10" x14ac:dyDescent="0.3">
      <c r="B89" s="334" t="s">
        <v>296</v>
      </c>
      <c r="C89" s="411">
        <v>366</v>
      </c>
      <c r="D89" s="411">
        <v>888</v>
      </c>
      <c r="E89" s="336"/>
      <c r="G89" s="334" t="s">
        <v>296</v>
      </c>
      <c r="H89" s="411">
        <v>14.3</v>
      </c>
      <c r="I89" s="411">
        <v>16.100000000000001</v>
      </c>
      <c r="J89" s="336"/>
    </row>
    <row r="90" spans="2:10" x14ac:dyDescent="0.3">
      <c r="B90" s="334" t="s">
        <v>293</v>
      </c>
      <c r="C90" s="411">
        <v>2794</v>
      </c>
      <c r="D90" s="411">
        <v>4052</v>
      </c>
      <c r="E90" s="336"/>
      <c r="G90" s="334" t="s">
        <v>293</v>
      </c>
      <c r="H90" s="411">
        <v>1039.7</v>
      </c>
      <c r="I90" s="411">
        <v>740.9</v>
      </c>
      <c r="J90" s="336"/>
    </row>
    <row r="91" spans="2:10" x14ac:dyDescent="0.3">
      <c r="B91" s="334" t="s">
        <v>297</v>
      </c>
      <c r="C91" s="411">
        <v>1467</v>
      </c>
      <c r="D91" s="411">
        <v>1607</v>
      </c>
      <c r="E91" s="336"/>
      <c r="G91" s="334" t="s">
        <v>297</v>
      </c>
      <c r="H91" s="411">
        <v>0</v>
      </c>
      <c r="I91" s="411">
        <v>164</v>
      </c>
      <c r="J91" s="336"/>
    </row>
    <row r="92" spans="2:10" x14ac:dyDescent="0.3">
      <c r="B92" s="334" t="s">
        <v>294</v>
      </c>
      <c r="C92" s="411">
        <v>123</v>
      </c>
      <c r="D92" s="411">
        <v>97</v>
      </c>
      <c r="E92" s="336"/>
      <c r="G92" s="334" t="s">
        <v>294</v>
      </c>
      <c r="H92" s="411"/>
      <c r="I92" s="411"/>
      <c r="J92" s="336"/>
    </row>
    <row r="93" spans="2:10" x14ac:dyDescent="0.3">
      <c r="B93" s="334" t="s">
        <v>298</v>
      </c>
      <c r="C93" s="411">
        <v>629</v>
      </c>
      <c r="D93" s="411">
        <v>676</v>
      </c>
      <c r="E93" s="336"/>
      <c r="G93" s="334" t="s">
        <v>298</v>
      </c>
      <c r="H93" s="411">
        <v>428</v>
      </c>
      <c r="I93" s="411">
        <v>660.1</v>
      </c>
      <c r="J93" s="336"/>
    </row>
    <row r="94" spans="2:10" x14ac:dyDescent="0.3">
      <c r="B94" s="334" t="s">
        <v>299</v>
      </c>
      <c r="C94" s="411">
        <v>43</v>
      </c>
      <c r="D94" s="411">
        <v>0</v>
      </c>
      <c r="E94" s="336"/>
      <c r="G94" s="334" t="s">
        <v>299</v>
      </c>
      <c r="H94" s="411"/>
      <c r="I94" s="411"/>
      <c r="J94" s="336"/>
    </row>
    <row r="95" spans="2:10" x14ac:dyDescent="0.3">
      <c r="B95" s="334" t="s">
        <v>300</v>
      </c>
      <c r="C95" s="411">
        <v>151</v>
      </c>
      <c r="D95" s="411">
        <v>137</v>
      </c>
      <c r="E95" s="336"/>
      <c r="G95" s="334" t="s">
        <v>300</v>
      </c>
      <c r="H95" s="411">
        <v>9</v>
      </c>
      <c r="I95" s="411">
        <v>3.7</v>
      </c>
      <c r="J95" s="336"/>
    </row>
    <row r="96" spans="2:10" x14ac:dyDescent="0.3">
      <c r="B96" s="334" t="s">
        <v>301</v>
      </c>
      <c r="C96" s="411">
        <v>145</v>
      </c>
      <c r="D96" s="411">
        <v>206</v>
      </c>
      <c r="E96" s="336"/>
      <c r="G96" s="334" t="s">
        <v>301</v>
      </c>
      <c r="H96" s="411">
        <v>1240.0999999999999</v>
      </c>
      <c r="I96" s="411">
        <v>1705</v>
      </c>
      <c r="J96" s="336"/>
    </row>
    <row r="97" spans="2:10" x14ac:dyDescent="0.3">
      <c r="B97" s="334" t="s">
        <v>302</v>
      </c>
      <c r="C97" s="411">
        <v>1369</v>
      </c>
      <c r="D97" s="411">
        <v>1413</v>
      </c>
      <c r="E97" s="336"/>
      <c r="G97" s="334" t="s">
        <v>302</v>
      </c>
      <c r="H97" s="411">
        <v>3196.1</v>
      </c>
      <c r="I97" s="411">
        <v>3613.3</v>
      </c>
      <c r="J97" s="336"/>
    </row>
    <row r="98" spans="2:10" x14ac:dyDescent="0.3">
      <c r="B98" s="334" t="s">
        <v>303</v>
      </c>
      <c r="C98" s="411">
        <v>1245</v>
      </c>
      <c r="D98" s="411">
        <v>1653</v>
      </c>
      <c r="E98" s="336"/>
      <c r="G98" s="334" t="s">
        <v>303</v>
      </c>
      <c r="H98" s="411">
        <v>526.70000000000005</v>
      </c>
      <c r="I98" s="411">
        <v>593.4</v>
      </c>
      <c r="J98" s="336"/>
    </row>
    <row r="99" spans="2:10" x14ac:dyDescent="0.3">
      <c r="B99" s="334" t="s">
        <v>300</v>
      </c>
      <c r="C99" s="411">
        <v>3640</v>
      </c>
      <c r="D99" s="411">
        <v>3079</v>
      </c>
      <c r="E99" s="336"/>
      <c r="G99" s="334" t="s">
        <v>300</v>
      </c>
      <c r="H99" s="411"/>
      <c r="I99" s="411"/>
      <c r="J99" s="336"/>
    </row>
    <row r="100" spans="2:10" x14ac:dyDescent="0.3">
      <c r="B100" s="334"/>
      <c r="C100" s="411"/>
      <c r="D100" s="411"/>
      <c r="E100" s="336"/>
      <c r="G100" s="334"/>
      <c r="H100" s="411"/>
      <c r="I100" s="411"/>
      <c r="J100" s="336"/>
    </row>
    <row r="101" spans="2:10" x14ac:dyDescent="0.3">
      <c r="B101" s="33"/>
      <c r="C101" s="89"/>
      <c r="D101" s="29"/>
      <c r="E101" s="35"/>
      <c r="G101" s="33"/>
      <c r="H101" s="89"/>
      <c r="I101" s="29"/>
      <c r="J101" s="35"/>
    </row>
    <row r="102" spans="2:10" x14ac:dyDescent="0.3">
      <c r="B102" s="72" t="s">
        <v>28</v>
      </c>
      <c r="C102" s="188">
        <f>C71+C87</f>
        <v>24424</v>
      </c>
      <c r="D102" s="188">
        <f>D71+D87</f>
        <v>33056</v>
      </c>
      <c r="E102" s="189">
        <f>E71+E87</f>
        <v>-376</v>
      </c>
      <c r="G102" s="72" t="s">
        <v>28</v>
      </c>
      <c r="H102" s="188">
        <f>H71+H87</f>
        <v>18610.699999999997</v>
      </c>
      <c r="I102" s="188">
        <f>I71+I87</f>
        <v>22296</v>
      </c>
      <c r="J102" s="189">
        <f>J71+J87</f>
        <v>4788.4999999999991</v>
      </c>
    </row>
    <row r="103" spans="2:10" x14ac:dyDescent="0.3">
      <c r="B103" s="33"/>
      <c r="C103" s="29"/>
      <c r="D103" s="29"/>
      <c r="E103" s="35"/>
      <c r="G103" s="33"/>
      <c r="H103" s="29"/>
      <c r="I103" s="29"/>
      <c r="J103" s="35"/>
    </row>
    <row r="104" spans="2:10" x14ac:dyDescent="0.3">
      <c r="B104" s="53" t="s">
        <v>29</v>
      </c>
      <c r="C104" s="191">
        <f>SUM(C106:C114)</f>
        <v>15733</v>
      </c>
      <c r="D104" s="191">
        <f>SUM(D106:D114)</f>
        <v>18497</v>
      </c>
      <c r="E104" s="192">
        <f>SUM(E106:E114)</f>
        <v>0</v>
      </c>
      <c r="G104" s="53" t="s">
        <v>29</v>
      </c>
      <c r="H104" s="191">
        <f>SUM(H106:H114)</f>
        <v>7202.9000000000005</v>
      </c>
      <c r="I104" s="191">
        <f>SUM(I106:I114)</f>
        <v>11512.000000000002</v>
      </c>
      <c r="J104" s="192">
        <f>SUM(J106:J114)</f>
        <v>0</v>
      </c>
    </row>
    <row r="105" spans="2:10" x14ac:dyDescent="0.3">
      <c r="B105" s="41"/>
      <c r="C105" s="91"/>
      <c r="D105" s="29"/>
      <c r="E105" s="35"/>
      <c r="G105" s="41"/>
      <c r="H105" s="91"/>
      <c r="I105" s="29"/>
      <c r="J105" s="35"/>
    </row>
    <row r="106" spans="2:10" x14ac:dyDescent="0.3">
      <c r="B106" s="333" t="s">
        <v>304</v>
      </c>
      <c r="C106" s="335">
        <f>7278+647</f>
        <v>7925</v>
      </c>
      <c r="D106" s="335">
        <f>7799+484</f>
        <v>8283</v>
      </c>
      <c r="E106" s="336"/>
      <c r="G106" s="333" t="s">
        <v>304</v>
      </c>
      <c r="H106" s="335">
        <v>5413.5</v>
      </c>
      <c r="I106" s="335">
        <v>7679.8</v>
      </c>
      <c r="J106" s="336"/>
    </row>
    <row r="107" spans="2:10" x14ac:dyDescent="0.3">
      <c r="B107" s="333" t="s">
        <v>305</v>
      </c>
      <c r="C107" s="335">
        <v>198</v>
      </c>
      <c r="D107" s="335">
        <v>276</v>
      </c>
      <c r="E107" s="336"/>
      <c r="G107" s="333" t="s">
        <v>305</v>
      </c>
      <c r="H107" s="335">
        <v>307.7</v>
      </c>
      <c r="I107" s="335">
        <v>331.1</v>
      </c>
      <c r="J107" s="336"/>
    </row>
    <row r="108" spans="2:10" x14ac:dyDescent="0.3">
      <c r="B108" s="333" t="s">
        <v>306</v>
      </c>
      <c r="C108" s="335">
        <v>401</v>
      </c>
      <c r="D108" s="335">
        <v>612</v>
      </c>
      <c r="E108" s="336"/>
      <c r="G108" s="333" t="s">
        <v>306</v>
      </c>
      <c r="H108" s="335">
        <v>309</v>
      </c>
      <c r="I108" s="335">
        <v>294.3</v>
      </c>
      <c r="J108" s="336"/>
    </row>
    <row r="109" spans="2:10" x14ac:dyDescent="0.3">
      <c r="B109" s="333" t="s">
        <v>307</v>
      </c>
      <c r="C109" s="335">
        <v>369</v>
      </c>
      <c r="D109" s="335">
        <v>385</v>
      </c>
      <c r="E109" s="336"/>
      <c r="G109" s="333" t="s">
        <v>307</v>
      </c>
      <c r="H109" s="335"/>
      <c r="I109" s="335"/>
      <c r="J109" s="336"/>
    </row>
    <row r="110" spans="2:10" x14ac:dyDescent="0.3">
      <c r="B110" s="333" t="s">
        <v>294</v>
      </c>
      <c r="C110" s="335">
        <v>119</v>
      </c>
      <c r="D110" s="335">
        <v>26</v>
      </c>
      <c r="E110" s="336"/>
      <c r="G110" s="333" t="s">
        <v>294</v>
      </c>
      <c r="H110" s="335">
        <v>152.1</v>
      </c>
      <c r="I110" s="335">
        <v>189.1</v>
      </c>
      <c r="J110" s="336"/>
    </row>
    <row r="111" spans="2:10" x14ac:dyDescent="0.3">
      <c r="B111" s="333" t="s">
        <v>308</v>
      </c>
      <c r="C111" s="335">
        <v>515</v>
      </c>
      <c r="D111" s="335">
        <v>653</v>
      </c>
      <c r="E111" s="336"/>
      <c r="G111" s="333" t="s">
        <v>308</v>
      </c>
      <c r="H111" s="335"/>
      <c r="I111" s="335"/>
      <c r="J111" s="336"/>
    </row>
    <row r="112" spans="2:10" x14ac:dyDescent="0.3">
      <c r="B112" s="333" t="s">
        <v>309</v>
      </c>
      <c r="C112" s="335">
        <v>609</v>
      </c>
      <c r="D112" s="335">
        <v>665</v>
      </c>
      <c r="E112" s="336"/>
      <c r="G112" s="333" t="s">
        <v>309</v>
      </c>
      <c r="H112" s="335"/>
      <c r="I112" s="335"/>
      <c r="J112" s="336"/>
    </row>
    <row r="113" spans="2:10" x14ac:dyDescent="0.3">
      <c r="B113" s="333" t="s">
        <v>226</v>
      </c>
      <c r="C113" s="335">
        <v>653</v>
      </c>
      <c r="D113" s="335">
        <v>910</v>
      </c>
      <c r="E113" s="336"/>
      <c r="G113" s="333" t="s">
        <v>226</v>
      </c>
      <c r="H113" s="335">
        <v>1012.5</v>
      </c>
      <c r="I113" s="335">
        <v>1351.5</v>
      </c>
      <c r="J113" s="336"/>
    </row>
    <row r="114" spans="2:10" ht="31.2" x14ac:dyDescent="0.3">
      <c r="B114" s="333" t="s">
        <v>40</v>
      </c>
      <c r="C114" s="335">
        <v>4944</v>
      </c>
      <c r="D114" s="335">
        <v>6687</v>
      </c>
      <c r="E114" s="336"/>
      <c r="G114" s="333" t="s">
        <v>40</v>
      </c>
      <c r="H114" s="335">
        <v>8.1</v>
      </c>
      <c r="I114" s="335">
        <v>1666.2</v>
      </c>
      <c r="J114" s="336"/>
    </row>
    <row r="115" spans="2:10" x14ac:dyDescent="0.3">
      <c r="B115" s="41"/>
      <c r="C115" s="91"/>
      <c r="D115" s="29"/>
      <c r="E115" s="35"/>
      <c r="G115" s="41"/>
      <c r="H115" s="91"/>
      <c r="I115" s="29"/>
      <c r="J115" s="35"/>
    </row>
    <row r="116" spans="2:10" x14ac:dyDescent="0.3">
      <c r="B116" s="53" t="s">
        <v>34</v>
      </c>
      <c r="C116" s="191">
        <f>SUM(C118:C124)</f>
        <v>8113</v>
      </c>
      <c r="D116" s="191">
        <f>SUM(D118:D124)</f>
        <v>8580</v>
      </c>
      <c r="E116" s="192">
        <f>E118</f>
        <v>0</v>
      </c>
      <c r="G116" s="53" t="s">
        <v>34</v>
      </c>
      <c r="H116" s="191">
        <f>SUM(H118:H124)</f>
        <v>3843.6</v>
      </c>
      <c r="I116" s="191">
        <f>SUM(I118:I124)</f>
        <v>3459.5</v>
      </c>
      <c r="J116" s="192">
        <f>J118</f>
        <v>0</v>
      </c>
    </row>
    <row r="117" spans="2:10" x14ac:dyDescent="0.3">
      <c r="B117" s="41"/>
      <c r="C117" s="91"/>
      <c r="D117" s="29"/>
      <c r="E117" s="35"/>
      <c r="G117" s="41"/>
      <c r="H117" s="91"/>
      <c r="I117" s="29"/>
      <c r="J117" s="35"/>
    </row>
    <row r="118" spans="2:10" ht="31.2" x14ac:dyDescent="0.3">
      <c r="B118" s="333" t="s">
        <v>41</v>
      </c>
      <c r="C118" s="335">
        <v>957</v>
      </c>
      <c r="D118" s="335">
        <v>2409</v>
      </c>
      <c r="E118" s="336">
        <v>0</v>
      </c>
      <c r="G118" s="333" t="s">
        <v>41</v>
      </c>
      <c r="H118" s="335">
        <v>838.8</v>
      </c>
      <c r="I118" s="335">
        <v>17.8</v>
      </c>
      <c r="J118" s="336">
        <v>0</v>
      </c>
    </row>
    <row r="119" spans="2:10" x14ac:dyDescent="0.3">
      <c r="B119" s="333" t="s">
        <v>307</v>
      </c>
      <c r="C119" s="335">
        <v>1266</v>
      </c>
      <c r="D119" s="335">
        <v>1108</v>
      </c>
      <c r="E119" s="336">
        <v>0</v>
      </c>
      <c r="G119" s="333" t="s">
        <v>307</v>
      </c>
      <c r="H119" s="335">
        <v>339.5</v>
      </c>
      <c r="I119" s="335">
        <v>286.89999999999998</v>
      </c>
      <c r="J119" s="336">
        <v>0</v>
      </c>
    </row>
    <row r="120" spans="2:10" x14ac:dyDescent="0.3">
      <c r="B120" s="333" t="s">
        <v>310</v>
      </c>
      <c r="C120" s="335">
        <v>1865</v>
      </c>
      <c r="D120" s="335">
        <v>1691</v>
      </c>
      <c r="E120" s="336">
        <v>0</v>
      </c>
      <c r="G120" s="333" t="s">
        <v>310</v>
      </c>
      <c r="H120" s="335">
        <v>767.9</v>
      </c>
      <c r="I120" s="335">
        <v>998.3</v>
      </c>
      <c r="J120" s="336">
        <v>0</v>
      </c>
    </row>
    <row r="121" spans="2:10" x14ac:dyDescent="0.3">
      <c r="B121" s="333" t="s">
        <v>305</v>
      </c>
      <c r="C121" s="335">
        <v>25</v>
      </c>
      <c r="D121" s="335">
        <v>23</v>
      </c>
      <c r="E121" s="336">
        <v>0</v>
      </c>
      <c r="G121" s="333" t="s">
        <v>305</v>
      </c>
      <c r="H121" s="335"/>
      <c r="I121" s="335"/>
      <c r="J121" s="336">
        <v>0</v>
      </c>
    </row>
    <row r="122" spans="2:10" x14ac:dyDescent="0.3">
      <c r="B122" s="333" t="s">
        <v>311</v>
      </c>
      <c r="C122" s="335">
        <v>6</v>
      </c>
      <c r="D122" s="335">
        <v>6</v>
      </c>
      <c r="E122" s="336">
        <v>0</v>
      </c>
      <c r="G122" s="333" t="s">
        <v>311</v>
      </c>
      <c r="H122" s="335">
        <v>3.7</v>
      </c>
      <c r="I122" s="335">
        <v>0</v>
      </c>
      <c r="J122" s="336">
        <v>0</v>
      </c>
    </row>
    <row r="123" spans="2:10" x14ac:dyDescent="0.3">
      <c r="B123" s="333" t="s">
        <v>309</v>
      </c>
      <c r="C123" s="335">
        <v>3974</v>
      </c>
      <c r="D123" s="335">
        <v>3298</v>
      </c>
      <c r="E123" s="336">
        <v>0</v>
      </c>
      <c r="G123" s="333" t="s">
        <v>309</v>
      </c>
      <c r="H123" s="335"/>
      <c r="I123" s="335"/>
      <c r="J123" s="336">
        <v>0</v>
      </c>
    </row>
    <row r="124" spans="2:10" x14ac:dyDescent="0.3">
      <c r="B124" s="333" t="s">
        <v>226</v>
      </c>
      <c r="C124" s="335">
        <v>20</v>
      </c>
      <c r="D124" s="335">
        <v>45</v>
      </c>
      <c r="E124" s="336">
        <v>0</v>
      </c>
      <c r="G124" s="333" t="s">
        <v>226</v>
      </c>
      <c r="H124" s="335">
        <v>1893.7</v>
      </c>
      <c r="I124" s="335">
        <v>2156.5</v>
      </c>
      <c r="J124" s="336">
        <v>0</v>
      </c>
    </row>
    <row r="125" spans="2:10" x14ac:dyDescent="0.3">
      <c r="B125" s="41"/>
      <c r="C125" s="91"/>
      <c r="D125" s="29"/>
      <c r="E125" s="35"/>
      <c r="G125" s="41"/>
      <c r="H125" s="91"/>
      <c r="I125" s="29"/>
      <c r="J125" s="35"/>
    </row>
    <row r="126" spans="2:10" x14ac:dyDescent="0.3">
      <c r="B126" s="41"/>
      <c r="C126" s="29"/>
      <c r="D126" s="29"/>
      <c r="E126" s="35"/>
      <c r="G126" s="41"/>
      <c r="H126" s="29"/>
      <c r="I126" s="29"/>
      <c r="J126" s="35"/>
    </row>
    <row r="127" spans="2:10" x14ac:dyDescent="0.3">
      <c r="B127" s="53" t="s">
        <v>36</v>
      </c>
      <c r="C127" s="191">
        <f>SUM(C128:C134)</f>
        <v>578</v>
      </c>
      <c r="D127" s="191">
        <f>SUM(D128:D134)</f>
        <v>5979</v>
      </c>
      <c r="E127" s="192">
        <v>0</v>
      </c>
      <c r="F127" s="25"/>
      <c r="G127" s="53" t="s">
        <v>36</v>
      </c>
      <c r="H127" s="191">
        <f>SUM(H128:H134)</f>
        <v>7564.8</v>
      </c>
      <c r="I127" s="191">
        <f>SUM(I128:I134)</f>
        <v>7325.3000000000011</v>
      </c>
      <c r="J127" s="192">
        <v>0</v>
      </c>
    </row>
    <row r="128" spans="2:10" x14ac:dyDescent="0.3">
      <c r="B128" s="333" t="s">
        <v>39</v>
      </c>
      <c r="C128" s="335">
        <v>2903</v>
      </c>
      <c r="D128" s="335">
        <v>5039</v>
      </c>
      <c r="E128" s="336"/>
      <c r="G128" s="333" t="s">
        <v>39</v>
      </c>
      <c r="H128" s="335">
        <v>5952.3</v>
      </c>
      <c r="I128" s="335">
        <v>5952.3</v>
      </c>
      <c r="J128" s="336"/>
    </row>
    <row r="129" spans="2:10" x14ac:dyDescent="0.3">
      <c r="B129" s="333" t="s">
        <v>314</v>
      </c>
      <c r="C129" s="335">
        <v>-1232</v>
      </c>
      <c r="D129" s="335">
        <v>-1232</v>
      </c>
      <c r="E129" s="336"/>
      <c r="G129" s="333" t="s">
        <v>314</v>
      </c>
      <c r="H129" s="335"/>
      <c r="I129" s="335"/>
      <c r="J129" s="336"/>
    </row>
    <row r="130" spans="2:10" x14ac:dyDescent="0.3">
      <c r="B130" s="333" t="s">
        <v>315</v>
      </c>
      <c r="C130" s="335">
        <v>-1</v>
      </c>
      <c r="D130" s="335">
        <v>-1</v>
      </c>
      <c r="E130" s="336"/>
      <c r="G130" s="333" t="s">
        <v>315</v>
      </c>
      <c r="H130" s="335"/>
      <c r="I130" s="335"/>
      <c r="J130" s="336"/>
    </row>
    <row r="131" spans="2:10" x14ac:dyDescent="0.3">
      <c r="B131" s="333" t="s">
        <v>312</v>
      </c>
      <c r="C131" s="335">
        <v>376</v>
      </c>
      <c r="D131" s="335">
        <v>2656</v>
      </c>
      <c r="E131" s="336"/>
      <c r="G131" s="333" t="s">
        <v>312</v>
      </c>
      <c r="H131" s="335">
        <v>198.7</v>
      </c>
      <c r="I131" s="335">
        <v>-213</v>
      </c>
      <c r="J131" s="336"/>
    </row>
    <row r="132" spans="2:10" x14ac:dyDescent="0.3">
      <c r="B132" s="333" t="s">
        <v>37</v>
      </c>
      <c r="C132" s="335">
        <v>-1420</v>
      </c>
      <c r="D132" s="335">
        <v>-1420</v>
      </c>
      <c r="E132" s="336"/>
      <c r="G132" s="333" t="s">
        <v>37</v>
      </c>
      <c r="H132" s="335">
        <v>1410.7</v>
      </c>
      <c r="I132" s="335">
        <v>1574.9</v>
      </c>
      <c r="J132" s="336"/>
    </row>
    <row r="133" spans="2:10" x14ac:dyDescent="0.3">
      <c r="B133" s="333" t="s">
        <v>316</v>
      </c>
      <c r="C133" s="335">
        <v>0</v>
      </c>
      <c r="D133" s="335">
        <f>D67</f>
        <v>1004</v>
      </c>
      <c r="E133" s="336">
        <f>E67</f>
        <v>0</v>
      </c>
      <c r="G133" s="333" t="s">
        <v>316</v>
      </c>
      <c r="H133" s="335">
        <v>0</v>
      </c>
      <c r="I133" s="335">
        <v>0</v>
      </c>
      <c r="J133" s="336">
        <f>J67</f>
        <v>0</v>
      </c>
    </row>
    <row r="134" spans="2:10" x14ac:dyDescent="0.3">
      <c r="B134" s="333" t="s">
        <v>313</v>
      </c>
      <c r="C134" s="335">
        <v>-48</v>
      </c>
      <c r="D134" s="335">
        <v>-67</v>
      </c>
      <c r="E134" s="336">
        <v>0</v>
      </c>
      <c r="G134" s="333" t="s">
        <v>313</v>
      </c>
      <c r="H134" s="335">
        <v>3.1</v>
      </c>
      <c r="I134" s="335">
        <v>11.1</v>
      </c>
      <c r="J134" s="336">
        <v>0</v>
      </c>
    </row>
    <row r="135" spans="2:10" x14ac:dyDescent="0.3">
      <c r="B135" s="41"/>
      <c r="C135" s="29"/>
      <c r="D135" s="29"/>
      <c r="E135" s="35"/>
      <c r="G135" s="41"/>
      <c r="H135" s="29"/>
      <c r="I135" s="29"/>
      <c r="J135" s="35"/>
    </row>
    <row r="136" spans="2:10" x14ac:dyDescent="0.3">
      <c r="B136" s="41"/>
      <c r="C136" s="91"/>
      <c r="D136" s="29"/>
      <c r="E136" s="35"/>
      <c r="G136" s="41"/>
      <c r="H136" s="91"/>
      <c r="I136" s="29"/>
      <c r="J136" s="35"/>
    </row>
    <row r="137" spans="2:10" x14ac:dyDescent="0.3">
      <c r="B137" s="53" t="s">
        <v>110</v>
      </c>
      <c r="C137" s="191">
        <f>C104+C116+C127</f>
        <v>24424</v>
      </c>
      <c r="D137" s="191">
        <f>D104+D116+D127</f>
        <v>33056</v>
      </c>
      <c r="E137" s="192">
        <f>E104+E116+E127</f>
        <v>0</v>
      </c>
      <c r="G137" s="53" t="s">
        <v>110</v>
      </c>
      <c r="H137" s="191">
        <f>H104+H116+H127</f>
        <v>18611.3</v>
      </c>
      <c r="I137" s="191">
        <f>I104+I116+I127</f>
        <v>22296.800000000003</v>
      </c>
      <c r="J137" s="192">
        <f>J104+J116+J127</f>
        <v>0</v>
      </c>
    </row>
    <row r="138" spans="2:10" x14ac:dyDescent="0.3">
      <c r="B138" s="33"/>
      <c r="C138" s="91">
        <f>C137-C102</f>
        <v>0</v>
      </c>
      <c r="D138" s="91">
        <f>D137-D102</f>
        <v>0</v>
      </c>
      <c r="E138" s="90">
        <f>E137-E102</f>
        <v>376</v>
      </c>
      <c r="G138" s="33"/>
      <c r="H138" s="91">
        <f>H137-H102</f>
        <v>0.60000000000218279</v>
      </c>
      <c r="I138" s="91">
        <f>I137-I102</f>
        <v>0.80000000000291038</v>
      </c>
      <c r="J138" s="90">
        <f>J137-J102</f>
        <v>-4788.4999999999991</v>
      </c>
    </row>
    <row r="139" spans="2:10" x14ac:dyDescent="0.3">
      <c r="B139" s="33"/>
      <c r="C139" s="91"/>
      <c r="D139" s="91"/>
      <c r="E139" s="90"/>
      <c r="G139" s="33"/>
      <c r="H139" s="91"/>
      <c r="I139" s="91"/>
      <c r="J139" s="90"/>
    </row>
    <row r="140" spans="2:10" x14ac:dyDescent="0.3">
      <c r="B140" s="72" t="s">
        <v>231</v>
      </c>
      <c r="C140" s="191">
        <f>C141+C142-C143</f>
        <v>299</v>
      </c>
      <c r="D140" s="191">
        <f>D141+D142-D143</f>
        <v>4454</v>
      </c>
      <c r="E140" s="192">
        <f>E141+E142-E143</f>
        <v>0</v>
      </c>
      <c r="G140" s="72" t="s">
        <v>231</v>
      </c>
      <c r="H140" s="191">
        <f>H141+H142-H143</f>
        <v>335.09999999999945</v>
      </c>
      <c r="I140" s="191">
        <f>I141+I142-I143</f>
        <v>2451.9999999999982</v>
      </c>
      <c r="J140" s="192">
        <f>J141+J142-J143</f>
        <v>0</v>
      </c>
    </row>
    <row r="141" spans="2:10" x14ac:dyDescent="0.3">
      <c r="B141" s="333" t="s">
        <v>24</v>
      </c>
      <c r="C141" s="335">
        <f>C84</f>
        <v>4565</v>
      </c>
      <c r="D141" s="335">
        <f>D84</f>
        <v>6176</v>
      </c>
      <c r="E141" s="336">
        <f>E84</f>
        <v>0</v>
      </c>
      <c r="G141" s="333" t="s">
        <v>24</v>
      </c>
      <c r="H141" s="335">
        <f>H84</f>
        <v>3509.3</v>
      </c>
      <c r="I141" s="335">
        <f>I84</f>
        <v>5459</v>
      </c>
      <c r="J141" s="336">
        <f>J84</f>
        <v>0</v>
      </c>
    </row>
    <row r="142" spans="2:10" x14ac:dyDescent="0.3">
      <c r="B142" s="333" t="s">
        <v>12</v>
      </c>
      <c r="C142" s="335">
        <f>C77</f>
        <v>6523</v>
      </c>
      <c r="D142" s="335">
        <f>D77</f>
        <v>10088</v>
      </c>
      <c r="E142" s="336">
        <f>E77</f>
        <v>0</v>
      </c>
      <c r="G142" s="333" t="s">
        <v>12</v>
      </c>
      <c r="H142" s="335">
        <f>H77</f>
        <v>4020.6</v>
      </c>
      <c r="I142" s="335">
        <f>I77</f>
        <v>6838.8</v>
      </c>
      <c r="J142" s="336">
        <f>J77</f>
        <v>0</v>
      </c>
    </row>
    <row r="143" spans="2:10" x14ac:dyDescent="0.3">
      <c r="B143" s="333" t="s">
        <v>15</v>
      </c>
      <c r="C143" s="335">
        <f>SUM(C106:C113)</f>
        <v>10789</v>
      </c>
      <c r="D143" s="335">
        <f>SUM(D106:D113)</f>
        <v>11810</v>
      </c>
      <c r="E143" s="336">
        <f>SUM(E106:E110)</f>
        <v>0</v>
      </c>
      <c r="G143" s="333" t="s">
        <v>15</v>
      </c>
      <c r="H143" s="335">
        <f>SUM(H106:H113)</f>
        <v>7194.8</v>
      </c>
      <c r="I143" s="335">
        <f>SUM(I106:I113)</f>
        <v>9845.8000000000011</v>
      </c>
      <c r="J143" s="336">
        <f>SUM(J106:J110)</f>
        <v>0</v>
      </c>
    </row>
    <row r="144" spans="2:10" x14ac:dyDescent="0.3">
      <c r="B144" s="41"/>
      <c r="C144" s="61"/>
      <c r="D144" s="29"/>
      <c r="E144" s="35"/>
      <c r="G144" s="41"/>
      <c r="H144" s="61"/>
      <c r="I144" s="29"/>
      <c r="J144" s="35"/>
    </row>
    <row r="145" spans="2:10" x14ac:dyDescent="0.3">
      <c r="B145" s="333" t="s">
        <v>24</v>
      </c>
      <c r="C145" s="430">
        <f t="shared" ref="C145:D147" si="0">IF(C$6&gt;0,C141/C$6*365,0)</f>
        <v>55.823673277941573</v>
      </c>
      <c r="D145" s="431">
        <f t="shared" si="0"/>
        <v>65.419931510824767</v>
      </c>
      <c r="E145" s="432">
        <f t="shared" ref="E145:E147" si="1">IF(E$6&gt;0,E141/E$6*30,0)</f>
        <v>0</v>
      </c>
      <c r="G145" s="333" t="s">
        <v>24</v>
      </c>
      <c r="H145" s="430">
        <f t="shared" ref="H145:I147" si="2">IF(H$6&gt;0,H141/H$6*365,0)</f>
        <v>52.545206547155104</v>
      </c>
      <c r="I145" s="431">
        <f t="shared" si="2"/>
        <v>55.170423081182854</v>
      </c>
      <c r="J145" s="432">
        <f t="shared" ref="J145:J147" si="3">IF(J$6&gt;0,J141/J$6*30,0)</f>
        <v>0</v>
      </c>
    </row>
    <row r="146" spans="2:10" x14ac:dyDescent="0.3">
      <c r="B146" s="333" t="s">
        <v>12</v>
      </c>
      <c r="C146" s="430">
        <f t="shared" si="0"/>
        <v>79.767321093540616</v>
      </c>
      <c r="D146" s="431">
        <f t="shared" si="0"/>
        <v>106.85820419060886</v>
      </c>
      <c r="E146" s="432">
        <f t="shared" si="1"/>
        <v>0</v>
      </c>
      <c r="G146" s="333" t="s">
        <v>12</v>
      </c>
      <c r="H146" s="430">
        <f t="shared" si="2"/>
        <v>60.200968125692249</v>
      </c>
      <c r="I146" s="431">
        <f t="shared" si="2"/>
        <v>69.115129028685345</v>
      </c>
      <c r="J146" s="432">
        <f t="shared" si="3"/>
        <v>0</v>
      </c>
    </row>
    <row r="147" spans="2:10" x14ac:dyDescent="0.3">
      <c r="B147" s="333" t="s">
        <v>15</v>
      </c>
      <c r="C147" s="430">
        <f t="shared" si="0"/>
        <v>131.93463548646474</v>
      </c>
      <c r="D147" s="431">
        <f t="shared" si="0"/>
        <v>125.09867084566719</v>
      </c>
      <c r="E147" s="432">
        <f t="shared" si="1"/>
        <v>0</v>
      </c>
      <c r="G147" s="333" t="s">
        <v>15</v>
      </c>
      <c r="H147" s="430">
        <f t="shared" si="2"/>
        <v>107.72867867251918</v>
      </c>
      <c r="I147" s="431">
        <f t="shared" si="2"/>
        <v>99.504845497840293</v>
      </c>
      <c r="J147" s="432">
        <f t="shared" si="3"/>
        <v>0</v>
      </c>
    </row>
    <row r="148" spans="2:10" x14ac:dyDescent="0.3">
      <c r="B148" s="53" t="s">
        <v>233</v>
      </c>
      <c r="C148" s="433">
        <f>C145+C146-C147</f>
        <v>3.656358885017454</v>
      </c>
      <c r="D148" s="433">
        <f>D145+D146-D147</f>
        <v>47.17946485576644</v>
      </c>
      <c r="E148" s="434">
        <f>E145+E146-E147</f>
        <v>0</v>
      </c>
      <c r="G148" s="53" t="s">
        <v>233</v>
      </c>
      <c r="H148" s="433">
        <f>H145+H146-H147</f>
        <v>5.0174960003281797</v>
      </c>
      <c r="I148" s="433">
        <f>I145+I146-I147</f>
        <v>24.780706612027913</v>
      </c>
      <c r="J148" s="434">
        <f>J145+J146-J147</f>
        <v>0</v>
      </c>
    </row>
    <row r="149" spans="2:10" x14ac:dyDescent="0.3">
      <c r="B149" s="41"/>
      <c r="C149" s="61"/>
      <c r="D149" s="29"/>
      <c r="E149" s="35"/>
      <c r="G149" s="41"/>
      <c r="H149" s="61"/>
      <c r="I149" s="29"/>
      <c r="J149" s="35"/>
    </row>
    <row r="150" spans="2:10" x14ac:dyDescent="0.3">
      <c r="B150" s="134" t="s">
        <v>232</v>
      </c>
      <c r="C150" s="135">
        <f>0</f>
        <v>0</v>
      </c>
      <c r="D150" s="135">
        <f>D140-C140</f>
        <v>4155</v>
      </c>
      <c r="E150" s="136">
        <f>E140-D140</f>
        <v>-4454</v>
      </c>
      <c r="G150" s="134" t="s">
        <v>232</v>
      </c>
      <c r="H150" s="135">
        <f>0</f>
        <v>0</v>
      </c>
      <c r="I150" s="135">
        <f>I140-H140</f>
        <v>2116.8999999999987</v>
      </c>
      <c r="J150" s="136">
        <f>J140-I140</f>
        <v>-2451.9999999999982</v>
      </c>
    </row>
    <row r="151" spans="2:10" x14ac:dyDescent="0.3">
      <c r="B151" s="18"/>
      <c r="C151" s="23"/>
      <c r="D151" s="23"/>
      <c r="E151" s="23"/>
      <c r="G151" s="18"/>
      <c r="H151" s="23"/>
      <c r="I151" s="23"/>
      <c r="J151" s="23"/>
    </row>
    <row r="152" spans="2:10" x14ac:dyDescent="0.3">
      <c r="B152" s="94" t="s">
        <v>127</v>
      </c>
      <c r="C152" s="39"/>
      <c r="D152" s="39"/>
      <c r="E152" s="40"/>
      <c r="G152" s="94" t="s">
        <v>127</v>
      </c>
      <c r="H152" s="39"/>
      <c r="I152" s="39"/>
      <c r="J152" s="40"/>
    </row>
    <row r="153" spans="2:10" x14ac:dyDescent="0.3">
      <c r="B153" s="193" t="s">
        <v>128</v>
      </c>
      <c r="C153" s="163"/>
      <c r="D153" s="194">
        <f>D67</f>
        <v>1004</v>
      </c>
      <c r="E153" s="195">
        <f>E67</f>
        <v>0</v>
      </c>
      <c r="G153" s="193" t="s">
        <v>128</v>
      </c>
      <c r="H153" s="163"/>
      <c r="I153" s="194">
        <f>I67</f>
        <v>377.8</v>
      </c>
      <c r="J153" s="195">
        <f>J67</f>
        <v>0</v>
      </c>
    </row>
    <row r="154" spans="2:10" x14ac:dyDescent="0.3">
      <c r="B154" s="97"/>
      <c r="C154" s="29"/>
      <c r="D154" s="95"/>
      <c r="E154" s="35"/>
      <c r="G154" s="97"/>
      <c r="H154" s="29"/>
      <c r="I154" s="95"/>
      <c r="J154" s="35"/>
    </row>
    <row r="155" spans="2:10" ht="26.4" x14ac:dyDescent="0.3">
      <c r="B155" s="196" t="s">
        <v>129</v>
      </c>
      <c r="C155" s="163"/>
      <c r="D155" s="194"/>
      <c r="E155" s="70"/>
      <c r="G155" s="196" t="s">
        <v>129</v>
      </c>
      <c r="H155" s="163"/>
      <c r="I155" s="194"/>
      <c r="J155" s="70"/>
    </row>
    <row r="156" spans="2:10" ht="26.4" x14ac:dyDescent="0.3">
      <c r="B156" s="197" t="s">
        <v>130</v>
      </c>
      <c r="C156" s="163"/>
      <c r="D156" s="194"/>
      <c r="E156" s="70"/>
      <c r="G156" s="197" t="s">
        <v>130</v>
      </c>
      <c r="H156" s="163"/>
      <c r="I156" s="194"/>
      <c r="J156" s="70"/>
    </row>
    <row r="157" spans="2:10" x14ac:dyDescent="0.3">
      <c r="B157" s="393" t="s">
        <v>131</v>
      </c>
      <c r="C157" s="389"/>
      <c r="D157" s="400">
        <f>C77-D77</f>
        <v>-3565</v>
      </c>
      <c r="E157" s="397">
        <f>D77-E77</f>
        <v>10088</v>
      </c>
      <c r="G157" s="393" t="s">
        <v>131</v>
      </c>
      <c r="H157" s="389"/>
      <c r="I157" s="400">
        <f>H77-I77</f>
        <v>-2818.2000000000003</v>
      </c>
      <c r="J157" s="397">
        <f>I77-J77</f>
        <v>6838.8</v>
      </c>
    </row>
    <row r="158" spans="2:10" x14ac:dyDescent="0.3">
      <c r="B158" s="393" t="s">
        <v>132</v>
      </c>
      <c r="C158" s="389"/>
      <c r="D158" s="400">
        <f>C84-D84</f>
        <v>-1611</v>
      </c>
      <c r="E158" s="397">
        <f>D84-E84</f>
        <v>6176</v>
      </c>
      <c r="G158" s="393" t="s">
        <v>132</v>
      </c>
      <c r="H158" s="389"/>
      <c r="I158" s="400">
        <f>H84-I84</f>
        <v>-1949.6999999999998</v>
      </c>
      <c r="J158" s="397">
        <f>I84-J84</f>
        <v>5459</v>
      </c>
    </row>
    <row r="159" spans="2:10" x14ac:dyDescent="0.3">
      <c r="B159" s="393" t="s">
        <v>133</v>
      </c>
      <c r="C159" s="389"/>
      <c r="D159" s="400">
        <v>0</v>
      </c>
      <c r="E159" s="397">
        <v>0</v>
      </c>
      <c r="G159" s="393" t="s">
        <v>133</v>
      </c>
      <c r="H159" s="389"/>
      <c r="I159" s="400">
        <v>0</v>
      </c>
      <c r="J159" s="397">
        <v>0</v>
      </c>
    </row>
    <row r="160" spans="2:10" x14ac:dyDescent="0.3">
      <c r="B160" s="393" t="s">
        <v>134</v>
      </c>
      <c r="C160" s="389"/>
      <c r="D160" s="400">
        <v>0</v>
      </c>
      <c r="E160" s="397">
        <v>0</v>
      </c>
      <c r="G160" s="393" t="s">
        <v>134</v>
      </c>
      <c r="H160" s="389"/>
      <c r="I160" s="400">
        <v>0</v>
      </c>
      <c r="J160" s="397">
        <v>0</v>
      </c>
    </row>
    <row r="161" spans="2:10" x14ac:dyDescent="0.3">
      <c r="B161" s="393" t="s">
        <v>135</v>
      </c>
      <c r="C161" s="389"/>
      <c r="D161" s="400">
        <v>0</v>
      </c>
      <c r="E161" s="397">
        <v>0</v>
      </c>
      <c r="G161" s="393" t="s">
        <v>135</v>
      </c>
      <c r="H161" s="389"/>
      <c r="I161" s="400">
        <v>0</v>
      </c>
      <c r="J161" s="397">
        <v>0</v>
      </c>
    </row>
    <row r="162" spans="2:10" x14ac:dyDescent="0.3">
      <c r="B162" s="393" t="s">
        <v>136</v>
      </c>
      <c r="C162" s="389"/>
      <c r="D162" s="400">
        <v>0</v>
      </c>
      <c r="E162" s="397">
        <v>0</v>
      </c>
      <c r="G162" s="393" t="s">
        <v>136</v>
      </c>
      <c r="H162" s="389"/>
      <c r="I162" s="400">
        <v>0</v>
      </c>
      <c r="J162" s="397">
        <v>0</v>
      </c>
    </row>
    <row r="163" spans="2:10" x14ac:dyDescent="0.3">
      <c r="B163" s="393" t="s">
        <v>137</v>
      </c>
      <c r="C163" s="389"/>
      <c r="D163" s="400">
        <v>0</v>
      </c>
      <c r="E163" s="397">
        <v>0</v>
      </c>
      <c r="G163" s="393" t="s">
        <v>137</v>
      </c>
      <c r="H163" s="389"/>
      <c r="I163" s="400">
        <f>(H89+H90+H91+H93+H95)-(I89+I90+I91+I93+I95)</f>
        <v>-93.799999999999955</v>
      </c>
      <c r="J163" s="397">
        <v>0</v>
      </c>
    </row>
    <row r="164" spans="2:10" ht="26.4" x14ac:dyDescent="0.3">
      <c r="B164" s="198" t="s">
        <v>138</v>
      </c>
      <c r="C164" s="163"/>
      <c r="D164" s="194">
        <f>SUM(D157:D163)</f>
        <v>-5176</v>
      </c>
      <c r="E164" s="195">
        <f>SUM(E157:E163)</f>
        <v>16264</v>
      </c>
      <c r="G164" s="198" t="s">
        <v>138</v>
      </c>
      <c r="H164" s="163"/>
      <c r="I164" s="194">
        <f>SUM(I157:I163)</f>
        <v>-4861.7</v>
      </c>
      <c r="J164" s="195">
        <f>SUM(J157:J163)</f>
        <v>12297.8</v>
      </c>
    </row>
    <row r="165" spans="2:10" x14ac:dyDescent="0.3">
      <c r="B165" s="97"/>
      <c r="C165" s="29"/>
      <c r="D165" s="95"/>
      <c r="E165" s="35"/>
      <c r="G165" s="97"/>
      <c r="H165" s="29"/>
      <c r="I165" s="95"/>
      <c r="J165" s="35"/>
    </row>
    <row r="166" spans="2:10" x14ac:dyDescent="0.3">
      <c r="B166" s="97"/>
      <c r="C166" s="29"/>
      <c r="D166" s="95"/>
      <c r="E166" s="35"/>
      <c r="G166" s="97"/>
      <c r="H166" s="29"/>
      <c r="I166" s="95"/>
      <c r="J166" s="35"/>
    </row>
    <row r="167" spans="2:10" ht="26.4" x14ac:dyDescent="0.3">
      <c r="B167" s="196" t="s">
        <v>129</v>
      </c>
      <c r="C167" s="163"/>
      <c r="D167" s="194"/>
      <c r="E167" s="70"/>
      <c r="G167" s="196" t="s">
        <v>129</v>
      </c>
      <c r="H167" s="163"/>
      <c r="I167" s="194"/>
      <c r="J167" s="70"/>
    </row>
    <row r="168" spans="2:10" ht="26.4" x14ac:dyDescent="0.3">
      <c r="B168" s="197" t="s">
        <v>139</v>
      </c>
      <c r="C168" s="163"/>
      <c r="D168" s="194"/>
      <c r="E168" s="70"/>
      <c r="G168" s="197" t="s">
        <v>139</v>
      </c>
      <c r="H168" s="163"/>
      <c r="I168" s="194"/>
      <c r="J168" s="70"/>
    </row>
    <row r="169" spans="2:10" x14ac:dyDescent="0.3">
      <c r="B169" s="393" t="s">
        <v>140</v>
      </c>
      <c r="C169" s="389"/>
      <c r="D169" s="400">
        <f>D106-C106</f>
        <v>358</v>
      </c>
      <c r="E169" s="397">
        <f>E106-D106</f>
        <v>-8283</v>
      </c>
      <c r="G169" s="393" t="s">
        <v>140</v>
      </c>
      <c r="H169" s="389"/>
      <c r="I169" s="400">
        <f>I106-H106</f>
        <v>2266.3000000000002</v>
      </c>
      <c r="J169" s="397">
        <f>J106-I106</f>
        <v>-7679.8</v>
      </c>
    </row>
    <row r="170" spans="2:10" x14ac:dyDescent="0.3">
      <c r="B170" s="393" t="s">
        <v>141</v>
      </c>
      <c r="C170" s="389"/>
      <c r="D170" s="400">
        <f>D108-C108</f>
        <v>211</v>
      </c>
      <c r="E170" s="397">
        <f>E108-D108</f>
        <v>-612</v>
      </c>
      <c r="G170" s="393" t="s">
        <v>141</v>
      </c>
      <c r="H170" s="389"/>
      <c r="I170" s="400">
        <f>I108-H108</f>
        <v>-14.699999999999989</v>
      </c>
      <c r="J170" s="397">
        <f>J108-I108</f>
        <v>-294.3</v>
      </c>
    </row>
    <row r="171" spans="2:10" x14ac:dyDescent="0.3">
      <c r="B171" s="393" t="s">
        <v>142</v>
      </c>
      <c r="C171" s="389"/>
      <c r="D171" s="400">
        <f>D121-C121</f>
        <v>-2</v>
      </c>
      <c r="E171" s="397">
        <v>0</v>
      </c>
      <c r="G171" s="393" t="s">
        <v>142</v>
      </c>
      <c r="H171" s="389"/>
      <c r="I171" s="400">
        <f>I121-H121+I107-H107</f>
        <v>23.400000000000034</v>
      </c>
      <c r="J171" s="397">
        <v>0</v>
      </c>
    </row>
    <row r="172" spans="2:10" x14ac:dyDescent="0.3">
      <c r="B172" s="393" t="s">
        <v>143</v>
      </c>
      <c r="C172" s="389"/>
      <c r="D172" s="400">
        <f>D110-C110</f>
        <v>-93</v>
      </c>
      <c r="E172" s="397">
        <f>E110-D110</f>
        <v>-26</v>
      </c>
      <c r="G172" s="393" t="s">
        <v>143</v>
      </c>
      <c r="H172" s="389"/>
      <c r="I172" s="400">
        <f>I110-H110</f>
        <v>37</v>
      </c>
      <c r="J172" s="397">
        <f>J110-I110</f>
        <v>-189.1</v>
      </c>
    </row>
    <row r="173" spans="2:10" x14ac:dyDescent="0.3">
      <c r="B173" s="393" t="s">
        <v>144</v>
      </c>
      <c r="C173" s="389"/>
      <c r="D173" s="400">
        <f>(D107+D109+D111+D112+D113)-(C107+C109+C111+C112+C113)</f>
        <v>545</v>
      </c>
      <c r="E173" s="397">
        <v>0</v>
      </c>
      <c r="G173" s="393" t="s">
        <v>144</v>
      </c>
      <c r="H173" s="389"/>
      <c r="I173" s="400">
        <f>(I109+I111+I112+I113)-(H109+H111+H112+H113)+(I119+I120+I122+I124)-(H119+H120+H122+H124)</f>
        <v>775.89999999999964</v>
      </c>
      <c r="J173" s="397">
        <v>0</v>
      </c>
    </row>
    <row r="174" spans="2:10" x14ac:dyDescent="0.3">
      <c r="B174" s="393" t="s">
        <v>145</v>
      </c>
      <c r="C174" s="389"/>
      <c r="D174" s="400">
        <v>0</v>
      </c>
      <c r="E174" s="397">
        <v>0</v>
      </c>
      <c r="G174" s="393" t="s">
        <v>145</v>
      </c>
      <c r="H174" s="389"/>
      <c r="I174" s="400">
        <v>0</v>
      </c>
      <c r="J174" s="397">
        <v>0</v>
      </c>
    </row>
    <row r="175" spans="2:10" ht="26.4" x14ac:dyDescent="0.3">
      <c r="B175" s="198" t="s">
        <v>146</v>
      </c>
      <c r="C175" s="163"/>
      <c r="D175" s="194">
        <f>SUM(D169:D174)</f>
        <v>1019</v>
      </c>
      <c r="E175" s="195">
        <f>SUM(E169:E174)</f>
        <v>-8921</v>
      </c>
      <c r="G175" s="198" t="s">
        <v>146</v>
      </c>
      <c r="H175" s="163"/>
      <c r="I175" s="194">
        <f>SUM(I169:I174)</f>
        <v>3087.9</v>
      </c>
      <c r="J175" s="195">
        <f>SUM(J169:J174)</f>
        <v>-8163.2000000000007</v>
      </c>
    </row>
    <row r="176" spans="2:10" x14ac:dyDescent="0.3">
      <c r="B176" s="97"/>
      <c r="C176" s="29"/>
      <c r="D176" s="95"/>
      <c r="E176" s="96"/>
      <c r="G176" s="97"/>
      <c r="H176" s="29"/>
      <c r="I176" s="95"/>
      <c r="J176" s="96"/>
    </row>
    <row r="177" spans="2:10" ht="26.4" x14ac:dyDescent="0.3">
      <c r="B177" s="199" t="s">
        <v>147</v>
      </c>
      <c r="C177" s="163"/>
      <c r="D177" s="194">
        <f>D164+D175+D153</f>
        <v>-3153</v>
      </c>
      <c r="E177" s="195">
        <f>E164+E175+E153</f>
        <v>7343</v>
      </c>
      <c r="G177" s="199" t="s">
        <v>147</v>
      </c>
      <c r="H177" s="163"/>
      <c r="I177" s="194">
        <f>I164+I175+I153</f>
        <v>-1395.9999999999998</v>
      </c>
      <c r="J177" s="195">
        <f>J164+J175+J153</f>
        <v>4134.5999999999985</v>
      </c>
    </row>
    <row r="178" spans="2:10" x14ac:dyDescent="0.3">
      <c r="B178" s="97"/>
      <c r="C178" s="29"/>
      <c r="D178" s="95"/>
      <c r="E178" s="35"/>
      <c r="G178" s="97"/>
      <c r="H178" s="29"/>
      <c r="I178" s="95"/>
      <c r="J178" s="35"/>
    </row>
    <row r="179" spans="2:10" ht="26.4" x14ac:dyDescent="0.3">
      <c r="B179" s="393" t="s">
        <v>167</v>
      </c>
      <c r="C179" s="389"/>
      <c r="D179" s="400">
        <v>0</v>
      </c>
      <c r="E179" s="397">
        <v>0</v>
      </c>
      <c r="G179" s="393" t="s">
        <v>167</v>
      </c>
      <c r="H179" s="389"/>
      <c r="I179" s="400">
        <v>0</v>
      </c>
      <c r="J179" s="397">
        <v>0</v>
      </c>
    </row>
    <row r="180" spans="2:10" x14ac:dyDescent="0.3">
      <c r="B180" s="97"/>
      <c r="C180" s="29"/>
      <c r="D180" s="95"/>
      <c r="E180" s="35"/>
      <c r="G180" s="97"/>
      <c r="H180" s="29"/>
      <c r="I180" s="95"/>
      <c r="J180" s="35"/>
    </row>
    <row r="181" spans="2:10" ht="27" x14ac:dyDescent="0.3">
      <c r="B181" s="200" t="s">
        <v>148</v>
      </c>
      <c r="C181" s="163"/>
      <c r="D181" s="194">
        <f>D177+D179</f>
        <v>-3153</v>
      </c>
      <c r="E181" s="195">
        <f>E177+E179</f>
        <v>7343</v>
      </c>
      <c r="G181" s="200" t="s">
        <v>148</v>
      </c>
      <c r="H181" s="163"/>
      <c r="I181" s="194">
        <f>I177+I179</f>
        <v>-1395.9999999999998</v>
      </c>
      <c r="J181" s="195">
        <f>J177+J179</f>
        <v>4134.5999999999985</v>
      </c>
    </row>
    <row r="182" spans="2:10" x14ac:dyDescent="0.3">
      <c r="B182" s="97"/>
      <c r="C182" s="29"/>
      <c r="D182" s="95"/>
      <c r="E182" s="35"/>
      <c r="G182" s="97"/>
      <c r="H182" s="29"/>
      <c r="I182" s="95"/>
      <c r="J182" s="35"/>
    </row>
    <row r="183" spans="2:10" x14ac:dyDescent="0.3">
      <c r="B183" s="94" t="s">
        <v>127</v>
      </c>
      <c r="C183" s="201"/>
      <c r="D183" s="202"/>
      <c r="E183" s="203"/>
      <c r="G183" s="94" t="s">
        <v>127</v>
      </c>
      <c r="H183" s="201"/>
      <c r="I183" s="202"/>
      <c r="J183" s="203"/>
    </row>
    <row r="184" spans="2:10" ht="26.4" x14ac:dyDescent="0.3">
      <c r="B184" s="196" t="s">
        <v>149</v>
      </c>
      <c r="C184" s="163"/>
      <c r="D184" s="194"/>
      <c r="E184" s="70"/>
      <c r="G184" s="196" t="s">
        <v>149</v>
      </c>
      <c r="H184" s="163"/>
      <c r="I184" s="194"/>
      <c r="J184" s="70"/>
    </row>
    <row r="185" spans="2:10" x14ac:dyDescent="0.3">
      <c r="B185" s="393" t="s">
        <v>150</v>
      </c>
      <c r="C185" s="389"/>
      <c r="D185" s="400">
        <f>C96-D96</f>
        <v>-61</v>
      </c>
      <c r="E185" s="397">
        <f>E91-D91</f>
        <v>-1607</v>
      </c>
      <c r="G185" s="393" t="s">
        <v>150</v>
      </c>
      <c r="H185" s="389"/>
      <c r="I185" s="400">
        <f>H96-I96</f>
        <v>-464.90000000000009</v>
      </c>
      <c r="J185" s="397">
        <f>J91-I91</f>
        <v>-164</v>
      </c>
    </row>
    <row r="186" spans="2:10" x14ac:dyDescent="0.3">
      <c r="B186" s="393" t="s">
        <v>151</v>
      </c>
      <c r="C186" s="389"/>
      <c r="D186" s="400">
        <f>C97-D97</f>
        <v>-44</v>
      </c>
      <c r="E186" s="397">
        <v>0</v>
      </c>
      <c r="G186" s="393" t="s">
        <v>151</v>
      </c>
      <c r="H186" s="389"/>
      <c r="I186" s="400">
        <f>H97-I97</f>
        <v>-417.20000000000027</v>
      </c>
      <c r="J186" s="397">
        <v>0</v>
      </c>
    </row>
    <row r="187" spans="2:10" x14ac:dyDescent="0.3">
      <c r="B187" s="393" t="s">
        <v>152</v>
      </c>
      <c r="C187" s="389"/>
      <c r="D187" s="400">
        <f>C98-D98</f>
        <v>-408</v>
      </c>
      <c r="E187" s="397">
        <v>0</v>
      </c>
      <c r="G187" s="393" t="s">
        <v>152</v>
      </c>
      <c r="H187" s="389"/>
      <c r="I187" s="400">
        <f>H98-I98</f>
        <v>-66.699999999999932</v>
      </c>
      <c r="J187" s="397">
        <v>0</v>
      </c>
    </row>
    <row r="188" spans="2:10" ht="26.4" x14ac:dyDescent="0.3">
      <c r="B188" s="198" t="s">
        <v>153</v>
      </c>
      <c r="C188" s="163"/>
      <c r="D188" s="194">
        <f>SUM(D185:D187)</f>
        <v>-513</v>
      </c>
      <c r="E188" s="195">
        <f>SUM(E185:E187)</f>
        <v>-1607</v>
      </c>
      <c r="G188" s="198" t="s">
        <v>153</v>
      </c>
      <c r="H188" s="163"/>
      <c r="I188" s="194">
        <f>SUM(I185:I187)</f>
        <v>-948.8000000000003</v>
      </c>
      <c r="J188" s="195">
        <f>SUM(J185:J187)</f>
        <v>-164</v>
      </c>
    </row>
    <row r="189" spans="2:10" x14ac:dyDescent="0.3">
      <c r="B189" s="97"/>
      <c r="C189" s="29"/>
      <c r="D189" s="95"/>
      <c r="E189" s="35"/>
      <c r="G189" s="97"/>
      <c r="H189" s="29"/>
      <c r="I189" s="95"/>
      <c r="J189" s="35"/>
    </row>
    <row r="190" spans="2:10" ht="26.4" x14ac:dyDescent="0.3">
      <c r="B190" s="199" t="s">
        <v>154</v>
      </c>
      <c r="C190" s="163"/>
      <c r="D190" s="194"/>
      <c r="E190" s="70"/>
      <c r="G190" s="199" t="s">
        <v>154</v>
      </c>
      <c r="H190" s="163"/>
      <c r="I190" s="194"/>
      <c r="J190" s="70"/>
    </row>
    <row r="191" spans="2:10" x14ac:dyDescent="0.3">
      <c r="B191" s="415" t="s">
        <v>155</v>
      </c>
      <c r="C191" s="389"/>
      <c r="D191" s="400">
        <f>D128-C128</f>
        <v>2136</v>
      </c>
      <c r="E191" s="397"/>
      <c r="G191" s="415" t="s">
        <v>155</v>
      </c>
      <c r="H191" s="389"/>
      <c r="I191" s="400">
        <f>I128-H128</f>
        <v>0</v>
      </c>
      <c r="J191" s="397"/>
    </row>
    <row r="192" spans="2:10" x14ac:dyDescent="0.3">
      <c r="B192" s="393" t="s">
        <v>156</v>
      </c>
      <c r="C192" s="389"/>
      <c r="D192" s="400">
        <v>0</v>
      </c>
      <c r="E192" s="397">
        <f>E134</f>
        <v>0</v>
      </c>
      <c r="G192" s="393" t="s">
        <v>156</v>
      </c>
      <c r="H192" s="389"/>
      <c r="I192" s="400">
        <f>-I67</f>
        <v>-377.8</v>
      </c>
      <c r="J192" s="397">
        <f>J134</f>
        <v>0</v>
      </c>
    </row>
    <row r="193" spans="2:10" x14ac:dyDescent="0.3">
      <c r="B193" s="393" t="s">
        <v>157</v>
      </c>
      <c r="C193" s="389"/>
      <c r="D193" s="400">
        <f>C92-D92</f>
        <v>26</v>
      </c>
      <c r="E193" s="397">
        <v>0</v>
      </c>
      <c r="G193" s="393" t="s">
        <v>157</v>
      </c>
      <c r="H193" s="389"/>
      <c r="I193" s="400">
        <f>H92-I92</f>
        <v>0</v>
      </c>
      <c r="J193" s="397">
        <v>0</v>
      </c>
    </row>
    <row r="194" spans="2:10" x14ac:dyDescent="0.3">
      <c r="B194" s="393" t="s">
        <v>158</v>
      </c>
      <c r="C194" s="389"/>
      <c r="D194" s="400">
        <f>D110-C110</f>
        <v>-93</v>
      </c>
      <c r="E194" s="397">
        <v>0</v>
      </c>
      <c r="G194" s="393" t="s">
        <v>158</v>
      </c>
      <c r="H194" s="389"/>
      <c r="I194" s="400">
        <v>0</v>
      </c>
      <c r="J194" s="397">
        <v>0</v>
      </c>
    </row>
    <row r="195" spans="2:10" x14ac:dyDescent="0.3">
      <c r="B195" s="393" t="s">
        <v>159</v>
      </c>
      <c r="C195" s="389"/>
      <c r="D195" s="400">
        <f>D114-C114+D118-C118</f>
        <v>3195</v>
      </c>
      <c r="E195" s="397">
        <f>E114-D114+E118-D118</f>
        <v>-9096</v>
      </c>
      <c r="G195" s="393" t="s">
        <v>159</v>
      </c>
      <c r="H195" s="389"/>
      <c r="I195" s="400">
        <f>(I114-H114)+(I118-H118)</f>
        <v>837.10000000000014</v>
      </c>
      <c r="J195" s="397">
        <f>J114-I114+J118-I118</f>
        <v>-1684</v>
      </c>
    </row>
    <row r="196" spans="2:10" x14ac:dyDescent="0.3">
      <c r="B196" s="393" t="s">
        <v>160</v>
      </c>
      <c r="C196" s="389"/>
      <c r="D196" s="400">
        <v>0</v>
      </c>
      <c r="E196" s="397">
        <v>0</v>
      </c>
      <c r="G196" s="393" t="s">
        <v>160</v>
      </c>
      <c r="H196" s="389"/>
      <c r="I196" s="400">
        <f>I131-H131</f>
        <v>-411.7</v>
      </c>
      <c r="J196" s="397">
        <v>0</v>
      </c>
    </row>
    <row r="197" spans="2:10" x14ac:dyDescent="0.3">
      <c r="B197" s="393" t="s">
        <v>161</v>
      </c>
      <c r="C197" s="389"/>
      <c r="D197" s="400">
        <v>22</v>
      </c>
      <c r="E197" s="397">
        <v>0</v>
      </c>
      <c r="G197" s="393" t="s">
        <v>161</v>
      </c>
      <c r="H197" s="389"/>
      <c r="I197" s="400">
        <f>I132-H132+I134-H134</f>
        <v>172.20000000000005</v>
      </c>
      <c r="J197" s="397">
        <v>0</v>
      </c>
    </row>
    <row r="198" spans="2:10" ht="26.4" x14ac:dyDescent="0.3">
      <c r="B198" s="198" t="s">
        <v>162</v>
      </c>
      <c r="C198" s="163"/>
      <c r="D198" s="194">
        <f>SUM(D191:D197)</f>
        <v>5286</v>
      </c>
      <c r="E198" s="195">
        <f>SUM(E192:E197)</f>
        <v>-9096</v>
      </c>
      <c r="G198" s="198" t="s">
        <v>162</v>
      </c>
      <c r="H198" s="163"/>
      <c r="I198" s="194">
        <f>SUM(I191:I197)</f>
        <v>219.80000000000018</v>
      </c>
      <c r="J198" s="195">
        <f>SUM(J192:J197)</f>
        <v>-1684</v>
      </c>
    </row>
    <row r="199" spans="2:10" x14ac:dyDescent="0.3">
      <c r="B199" s="97"/>
      <c r="C199" s="29"/>
      <c r="D199" s="95"/>
      <c r="E199" s="35"/>
      <c r="G199" s="97"/>
      <c r="H199" s="29"/>
      <c r="I199" s="95"/>
      <c r="J199" s="35"/>
    </row>
    <row r="200" spans="2:10" ht="27" x14ac:dyDescent="0.3">
      <c r="B200" s="200" t="s">
        <v>163</v>
      </c>
      <c r="C200" s="163"/>
      <c r="D200" s="194">
        <f>D181+D188+D198</f>
        <v>1620</v>
      </c>
      <c r="E200" s="195">
        <f>E181+E188+E198</f>
        <v>-3360</v>
      </c>
      <c r="G200" s="200" t="s">
        <v>163</v>
      </c>
      <c r="H200" s="163"/>
      <c r="I200" s="194">
        <f>I181+I188+I198</f>
        <v>-2125</v>
      </c>
      <c r="J200" s="195">
        <f>J181+J188+J198</f>
        <v>2286.5999999999985</v>
      </c>
    </row>
    <row r="201" spans="2:10" x14ac:dyDescent="0.3">
      <c r="B201" s="97"/>
      <c r="C201" s="29"/>
      <c r="D201" s="95"/>
      <c r="E201" s="35"/>
      <c r="G201" s="97"/>
      <c r="H201" s="29"/>
      <c r="I201" s="95"/>
      <c r="J201" s="35"/>
    </row>
    <row r="202" spans="2:10" x14ac:dyDescent="0.3">
      <c r="B202" s="393" t="s">
        <v>164</v>
      </c>
      <c r="C202" s="389"/>
      <c r="D202" s="400">
        <f>C73</f>
        <v>1364</v>
      </c>
      <c r="E202" s="397">
        <f>D203</f>
        <v>2984</v>
      </c>
      <c r="G202" s="393" t="s">
        <v>164</v>
      </c>
      <c r="H202" s="389"/>
      <c r="I202" s="400">
        <f>H73</f>
        <v>4626.9000000000005</v>
      </c>
      <c r="J202" s="397">
        <f>I203</f>
        <v>2501.9000000000005</v>
      </c>
    </row>
    <row r="203" spans="2:10" x14ac:dyDescent="0.3">
      <c r="B203" s="393" t="s">
        <v>165</v>
      </c>
      <c r="C203" s="389"/>
      <c r="D203" s="400">
        <f>D202+D200</f>
        <v>2984</v>
      </c>
      <c r="E203" s="397">
        <f>E202+E200</f>
        <v>-376</v>
      </c>
      <c r="G203" s="393" t="s">
        <v>165</v>
      </c>
      <c r="H203" s="389"/>
      <c r="I203" s="400">
        <f>I202+I200</f>
        <v>2501.9000000000005</v>
      </c>
      <c r="J203" s="397">
        <f>J202+J200</f>
        <v>4788.4999999999991</v>
      </c>
    </row>
    <row r="204" spans="2:10" x14ac:dyDescent="0.3">
      <c r="B204" s="98" t="s">
        <v>166</v>
      </c>
      <c r="C204" s="30"/>
      <c r="D204" s="92">
        <f>D73-D203</f>
        <v>0</v>
      </c>
      <c r="E204" s="93">
        <f>E73-E203</f>
        <v>0</v>
      </c>
      <c r="G204" s="98" t="s">
        <v>166</v>
      </c>
      <c r="H204" s="30"/>
      <c r="I204" s="92">
        <f>I73-I203</f>
        <v>-0.2000000000007276</v>
      </c>
      <c r="J204" s="93">
        <f>J73-J203</f>
        <v>0</v>
      </c>
    </row>
  </sheetData>
  <mergeCells count="2">
    <mergeCell ref="B2:E2"/>
    <mergeCell ref="G2:J2"/>
  </mergeCells>
  <conditionalFormatting sqref="B152 B183">
    <cfRule type="cellIs" dxfId="3" priority="2" stopIfTrue="1" operator="equal">
      <formula>0</formula>
    </cfRule>
  </conditionalFormatting>
  <conditionalFormatting sqref="G152 G183">
    <cfRule type="cellIs" dxfId="2" priority="1" stopIfTrue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94B4-B752-BF45-8A86-EC511405811C}">
  <dimension ref="B2:F193"/>
  <sheetViews>
    <sheetView zoomScaleNormal="100" workbookViewId="0">
      <selection sqref="A1:XFD1048576"/>
    </sheetView>
  </sheetViews>
  <sheetFormatPr defaultColWidth="11.19921875" defaultRowHeight="15.6" x14ac:dyDescent="0.3"/>
  <cols>
    <col min="1" max="1" width="11.19921875" style="18"/>
    <col min="2" max="2" width="33.69921875" style="20" customWidth="1"/>
    <col min="3" max="3" width="16.69921875" style="19" customWidth="1"/>
    <col min="4" max="5" width="16.69921875" style="18" customWidth="1"/>
    <col min="6" max="16384" width="11.19921875" style="18"/>
  </cols>
  <sheetData>
    <row r="2" spans="2:5" x14ac:dyDescent="0.3">
      <c r="B2" s="80"/>
      <c r="C2" s="81" t="s">
        <v>122</v>
      </c>
      <c r="D2" s="81" t="s">
        <v>123</v>
      </c>
      <c r="E2" s="82" t="s">
        <v>124</v>
      </c>
    </row>
    <row r="3" spans="2:5" x14ac:dyDescent="0.3">
      <c r="B3" s="41"/>
      <c r="C3" s="61"/>
      <c r="D3" s="29"/>
      <c r="E3" s="35"/>
    </row>
    <row r="4" spans="2:5" x14ac:dyDescent="0.3">
      <c r="B4" s="48" t="s">
        <v>170</v>
      </c>
      <c r="C4" s="180">
        <v>1000</v>
      </c>
      <c r="D4" s="180">
        <v>1200</v>
      </c>
      <c r="E4" s="181">
        <v>1300</v>
      </c>
    </row>
    <row r="5" spans="2:5" x14ac:dyDescent="0.3">
      <c r="B5" s="48" t="s">
        <v>169</v>
      </c>
      <c r="C5" s="171">
        <v>0.05</v>
      </c>
      <c r="D5" s="171">
        <v>0.05</v>
      </c>
      <c r="E5" s="172">
        <v>0.05</v>
      </c>
    </row>
    <row r="6" spans="2:5" x14ac:dyDescent="0.3">
      <c r="B6" s="48" t="s">
        <v>171</v>
      </c>
      <c r="C6" s="170">
        <f>C4*C5</f>
        <v>50</v>
      </c>
      <c r="D6" s="170">
        <f>D4*D5</f>
        <v>60</v>
      </c>
      <c r="E6" s="50">
        <f>E4*E5</f>
        <v>65</v>
      </c>
    </row>
    <row r="7" spans="2:5" x14ac:dyDescent="0.3">
      <c r="B7" s="41"/>
      <c r="C7" s="61"/>
      <c r="D7" s="61"/>
      <c r="E7" s="43"/>
    </row>
    <row r="8" spans="2:5" x14ac:dyDescent="0.3">
      <c r="B8" s="48" t="s">
        <v>168</v>
      </c>
      <c r="C8" s="65">
        <v>60</v>
      </c>
      <c r="D8" s="65">
        <v>60</v>
      </c>
      <c r="E8" s="47">
        <v>60</v>
      </c>
    </row>
    <row r="9" spans="2:5" x14ac:dyDescent="0.3">
      <c r="B9" s="41"/>
      <c r="C9" s="61"/>
      <c r="D9" s="61"/>
      <c r="E9" s="43"/>
    </row>
    <row r="10" spans="2:5" x14ac:dyDescent="0.3">
      <c r="B10" s="48" t="s">
        <v>173</v>
      </c>
      <c r="C10" s="170">
        <v>2</v>
      </c>
      <c r="D10" s="170">
        <v>2</v>
      </c>
      <c r="E10" s="50">
        <v>2</v>
      </c>
    </row>
    <row r="11" spans="2:5" x14ac:dyDescent="0.3">
      <c r="B11" s="41"/>
      <c r="C11" s="61"/>
      <c r="D11" s="61"/>
      <c r="E11" s="43"/>
    </row>
    <row r="12" spans="2:5" x14ac:dyDescent="0.3">
      <c r="B12" s="48" t="s">
        <v>174</v>
      </c>
      <c r="C12" s="173">
        <v>3</v>
      </c>
      <c r="D12" s="173">
        <v>3</v>
      </c>
      <c r="E12" s="174">
        <v>3</v>
      </c>
    </row>
    <row r="13" spans="2:5" x14ac:dyDescent="0.3">
      <c r="B13" s="41"/>
      <c r="C13" s="61"/>
      <c r="D13" s="61"/>
      <c r="E13" s="43"/>
    </row>
    <row r="14" spans="2:5" x14ac:dyDescent="0.3">
      <c r="B14" s="48" t="s">
        <v>172</v>
      </c>
      <c r="C14" s="171">
        <v>0.02</v>
      </c>
      <c r="D14" s="171">
        <v>0.02</v>
      </c>
      <c r="E14" s="172">
        <v>0.02</v>
      </c>
    </row>
    <row r="15" spans="2:5" x14ac:dyDescent="0.3">
      <c r="B15" s="48" t="s">
        <v>175</v>
      </c>
      <c r="C15" s="171">
        <v>0.01</v>
      </c>
      <c r="D15" s="171">
        <v>0.01</v>
      </c>
      <c r="E15" s="172">
        <v>0.01</v>
      </c>
    </row>
    <row r="16" spans="2:5" x14ac:dyDescent="0.3">
      <c r="B16" s="48" t="s">
        <v>177</v>
      </c>
      <c r="C16" s="170">
        <v>10</v>
      </c>
      <c r="D16" s="170">
        <v>10</v>
      </c>
      <c r="E16" s="50">
        <v>10</v>
      </c>
    </row>
    <row r="17" spans="2:5" x14ac:dyDescent="0.3">
      <c r="B17" s="52" t="s">
        <v>73</v>
      </c>
      <c r="C17" s="178">
        <v>300</v>
      </c>
      <c r="D17" s="178">
        <v>450</v>
      </c>
      <c r="E17" s="179">
        <v>300</v>
      </c>
    </row>
    <row r="19" spans="2:5" s="19" customFormat="1" ht="16.95" customHeight="1" x14ac:dyDescent="0.3">
      <c r="B19" s="83"/>
      <c r="C19" s="81" t="s">
        <v>122</v>
      </c>
      <c r="D19" s="81" t="s">
        <v>123</v>
      </c>
      <c r="E19" s="82" t="s">
        <v>124</v>
      </c>
    </row>
    <row r="20" spans="2:5" x14ac:dyDescent="0.3">
      <c r="B20" s="49" t="s">
        <v>42</v>
      </c>
      <c r="C20" s="154">
        <f>C6*C8</f>
        <v>3000</v>
      </c>
      <c r="D20" s="154">
        <f>D6*D8</f>
        <v>3600</v>
      </c>
      <c r="E20" s="155">
        <f>E6*E8</f>
        <v>3900</v>
      </c>
    </row>
    <row r="21" spans="2:5" hidden="1" x14ac:dyDescent="0.3">
      <c r="B21" s="38" t="s">
        <v>44</v>
      </c>
      <c r="C21" s="84"/>
      <c r="D21" s="84"/>
      <c r="E21" s="85"/>
    </row>
    <row r="22" spans="2:5" hidden="1" x14ac:dyDescent="0.3">
      <c r="B22" s="38" t="s">
        <v>45</v>
      </c>
      <c r="C22" s="84"/>
      <c r="D22" s="84"/>
      <c r="E22" s="85"/>
    </row>
    <row r="23" spans="2:5" hidden="1" x14ac:dyDescent="0.3">
      <c r="B23" s="38" t="s">
        <v>46</v>
      </c>
      <c r="C23" s="84"/>
      <c r="D23" s="84"/>
      <c r="E23" s="85"/>
    </row>
    <row r="24" spans="2:5" x14ac:dyDescent="0.3">
      <c r="B24" s="41"/>
      <c r="C24" s="84"/>
      <c r="D24" s="84"/>
      <c r="E24" s="85"/>
    </row>
    <row r="25" spans="2:5" x14ac:dyDescent="0.3">
      <c r="B25" s="49" t="s">
        <v>47</v>
      </c>
      <c r="C25" s="154">
        <f>-8.65%*C20</f>
        <v>-259.5</v>
      </c>
      <c r="D25" s="154">
        <f>-8.65%*D20</f>
        <v>-311.40000000000003</v>
      </c>
      <c r="E25" s="155">
        <f>-8.65%*E20</f>
        <v>-337.35</v>
      </c>
    </row>
    <row r="26" spans="2:5" hidden="1" x14ac:dyDescent="0.3">
      <c r="B26" s="38" t="s">
        <v>49</v>
      </c>
      <c r="C26" s="84"/>
      <c r="D26" s="84"/>
      <c r="E26" s="85"/>
    </row>
    <row r="27" spans="2:5" hidden="1" x14ac:dyDescent="0.3">
      <c r="B27" s="38" t="s">
        <v>50</v>
      </c>
      <c r="C27" s="84"/>
      <c r="D27" s="84"/>
      <c r="E27" s="85"/>
    </row>
    <row r="28" spans="2:5" hidden="1" x14ac:dyDescent="0.3">
      <c r="B28" s="38" t="s">
        <v>51</v>
      </c>
      <c r="C28" s="84"/>
      <c r="D28" s="84"/>
      <c r="E28" s="85"/>
    </row>
    <row r="29" spans="2:5" hidden="1" x14ac:dyDescent="0.3">
      <c r="B29" s="38" t="s">
        <v>52</v>
      </c>
      <c r="C29" s="84"/>
      <c r="D29" s="84"/>
      <c r="E29" s="85"/>
    </row>
    <row r="30" spans="2:5" x14ac:dyDescent="0.3">
      <c r="B30" s="41"/>
      <c r="C30" s="84"/>
      <c r="D30" s="84"/>
      <c r="E30" s="85"/>
    </row>
    <row r="31" spans="2:5" x14ac:dyDescent="0.3">
      <c r="B31" s="49" t="s">
        <v>53</v>
      </c>
      <c r="C31" s="154">
        <f>-C10*C8</f>
        <v>-120</v>
      </c>
      <c r="D31" s="154">
        <f>-D10*D8</f>
        <v>-120</v>
      </c>
      <c r="E31" s="155">
        <f>-E10*E8</f>
        <v>-120</v>
      </c>
    </row>
    <row r="32" spans="2:5" hidden="1" x14ac:dyDescent="0.3">
      <c r="B32" s="38" t="s">
        <v>55</v>
      </c>
      <c r="C32" s="84"/>
      <c r="D32" s="84"/>
      <c r="E32" s="85"/>
    </row>
    <row r="33" spans="2:5" hidden="1" x14ac:dyDescent="0.3">
      <c r="B33" s="38" t="s">
        <v>56</v>
      </c>
      <c r="C33" s="84"/>
      <c r="D33" s="84"/>
      <c r="E33" s="85"/>
    </row>
    <row r="34" spans="2:5" hidden="1" x14ac:dyDescent="0.3">
      <c r="B34" s="38" t="s">
        <v>57</v>
      </c>
      <c r="C34" s="84"/>
      <c r="D34" s="84"/>
      <c r="E34" s="85"/>
    </row>
    <row r="35" spans="2:5" x14ac:dyDescent="0.3">
      <c r="B35" s="41"/>
      <c r="C35" s="84"/>
      <c r="D35" s="84"/>
      <c r="E35" s="85"/>
    </row>
    <row r="36" spans="2:5" x14ac:dyDescent="0.3">
      <c r="B36" s="49" t="s">
        <v>58</v>
      </c>
      <c r="C36" s="156">
        <f>C20+C25+C31</f>
        <v>2620.5</v>
      </c>
      <c r="D36" s="156">
        <f>D20+D25+D31</f>
        <v>3168.6</v>
      </c>
      <c r="E36" s="157">
        <f>E20+E25+E31</f>
        <v>3442.65</v>
      </c>
    </row>
    <row r="37" spans="2:5" x14ac:dyDescent="0.3">
      <c r="B37" s="41"/>
      <c r="C37" s="84"/>
      <c r="D37" s="84"/>
      <c r="E37" s="85"/>
    </row>
    <row r="38" spans="2:5" ht="31.2" x14ac:dyDescent="0.3">
      <c r="B38" s="48" t="s">
        <v>60</v>
      </c>
      <c r="C38" s="154">
        <f>-C20/C12</f>
        <v>-1000</v>
      </c>
      <c r="D38" s="154">
        <f>-D20/D12</f>
        <v>-1200</v>
      </c>
      <c r="E38" s="155">
        <f>-E20/E12</f>
        <v>-1300</v>
      </c>
    </row>
    <row r="39" spans="2:5" hidden="1" x14ac:dyDescent="0.3">
      <c r="B39" s="38" t="s">
        <v>44</v>
      </c>
      <c r="C39" s="84"/>
      <c r="D39" s="84"/>
      <c r="E39" s="85"/>
    </row>
    <row r="40" spans="2:5" hidden="1" x14ac:dyDescent="0.3">
      <c r="B40" s="38" t="s">
        <v>45</v>
      </c>
      <c r="C40" s="84"/>
      <c r="D40" s="84"/>
      <c r="E40" s="85"/>
    </row>
    <row r="41" spans="2:5" hidden="1" x14ac:dyDescent="0.3">
      <c r="B41" s="38" t="s">
        <v>46</v>
      </c>
      <c r="C41" s="84"/>
      <c r="D41" s="84"/>
      <c r="E41" s="85"/>
    </row>
    <row r="42" spans="2:5" x14ac:dyDescent="0.3">
      <c r="B42" s="41"/>
      <c r="C42" s="84"/>
      <c r="D42" s="84"/>
      <c r="E42" s="85"/>
    </row>
    <row r="43" spans="2:5" x14ac:dyDescent="0.3">
      <c r="B43" s="49" t="s">
        <v>62</v>
      </c>
      <c r="C43" s="156">
        <f>C36+C38</f>
        <v>1620.5</v>
      </c>
      <c r="D43" s="156">
        <f>D36+D38</f>
        <v>1968.6</v>
      </c>
      <c r="E43" s="157">
        <f>E36+E38</f>
        <v>2142.65</v>
      </c>
    </row>
    <row r="44" spans="2:5" x14ac:dyDescent="0.3">
      <c r="B44" s="49" t="s">
        <v>64</v>
      </c>
      <c r="C44" s="158">
        <f>C43/C36</f>
        <v>0.61839343636710553</v>
      </c>
      <c r="D44" s="158">
        <f>D43/D36</f>
        <v>0.62128384775610679</v>
      </c>
      <c r="E44" s="159">
        <f>E43/E36</f>
        <v>0.62238391936444315</v>
      </c>
    </row>
    <row r="45" spans="2:5" x14ac:dyDescent="0.3">
      <c r="B45" s="41"/>
      <c r="C45" s="61"/>
      <c r="D45" s="61"/>
      <c r="E45" s="43"/>
    </row>
    <row r="46" spans="2:5" x14ac:dyDescent="0.3">
      <c r="B46" s="48" t="s">
        <v>66</v>
      </c>
      <c r="C46" s="154">
        <f>C47+C56</f>
        <v>-1116.2049999999999</v>
      </c>
      <c r="D46" s="154">
        <f>D47+D56</f>
        <v>-1383.6860000000001</v>
      </c>
      <c r="E46" s="155">
        <f>E47+E56</f>
        <v>-1292.4265</v>
      </c>
    </row>
    <row r="47" spans="2:5" x14ac:dyDescent="0.3">
      <c r="B47" s="333" t="s">
        <v>68</v>
      </c>
      <c r="C47" s="335">
        <f>SUM(C48:C51)</f>
        <v>-886.20500000000004</v>
      </c>
      <c r="D47" s="335">
        <f>SUM(D48:D51)</f>
        <v>-1153.6860000000001</v>
      </c>
      <c r="E47" s="336">
        <f>SUM(E48:E51)</f>
        <v>-1062.4265</v>
      </c>
    </row>
    <row r="48" spans="2:5" x14ac:dyDescent="0.3">
      <c r="B48" s="334" t="s">
        <v>70</v>
      </c>
      <c r="C48" s="335">
        <f>-C15*C36</f>
        <v>-26.205000000000002</v>
      </c>
      <c r="D48" s="335">
        <f>-D15*D36</f>
        <v>-31.686</v>
      </c>
      <c r="E48" s="336">
        <f>-E15*E36</f>
        <v>-34.426500000000004</v>
      </c>
    </row>
    <row r="49" spans="2:5" x14ac:dyDescent="0.3">
      <c r="B49" s="334" t="s">
        <v>176</v>
      </c>
      <c r="C49" s="335">
        <f>-C16*C6</f>
        <v>-500</v>
      </c>
      <c r="D49" s="335">
        <f>-D16*D6</f>
        <v>-600</v>
      </c>
      <c r="E49" s="336">
        <f>-E16*E6</f>
        <v>-650</v>
      </c>
    </row>
    <row r="50" spans="2:5" x14ac:dyDescent="0.3">
      <c r="B50" s="334" t="s">
        <v>72</v>
      </c>
      <c r="C50" s="335">
        <f>-C14*C20</f>
        <v>-60</v>
      </c>
      <c r="D50" s="335">
        <f>-D14*D20</f>
        <v>-72</v>
      </c>
      <c r="E50" s="336">
        <f>-E14*E20</f>
        <v>-78</v>
      </c>
    </row>
    <row r="51" spans="2:5" x14ac:dyDescent="0.3">
      <c r="B51" s="334" t="s">
        <v>73</v>
      </c>
      <c r="C51" s="335">
        <f>-C17</f>
        <v>-300</v>
      </c>
      <c r="D51" s="335">
        <f>-D17</f>
        <v>-450</v>
      </c>
      <c r="E51" s="336">
        <f>-E17</f>
        <v>-300</v>
      </c>
    </row>
    <row r="52" spans="2:5" x14ac:dyDescent="0.3">
      <c r="B52" s="41"/>
      <c r="C52" s="84"/>
      <c r="D52" s="84"/>
      <c r="E52" s="85"/>
    </row>
    <row r="53" spans="2:5" x14ac:dyDescent="0.3">
      <c r="B53" s="49" t="s">
        <v>76</v>
      </c>
      <c r="C53" s="156">
        <f>C43+C47</f>
        <v>734.29499999999996</v>
      </c>
      <c r="D53" s="156">
        <f>D43+D47</f>
        <v>814.91399999999976</v>
      </c>
      <c r="E53" s="157">
        <f>E43+E47</f>
        <v>1080.2235000000001</v>
      </c>
    </row>
    <row r="54" spans="2:5" x14ac:dyDescent="0.3">
      <c r="B54" s="49" t="s">
        <v>78</v>
      </c>
      <c r="C54" s="182">
        <f>C53/C36</f>
        <v>0.28021179164281623</v>
      </c>
      <c r="D54" s="182">
        <f>D53/D36</f>
        <v>0.25718424540806656</v>
      </c>
      <c r="E54" s="183">
        <f>E53/E36</f>
        <v>0.31377674175417192</v>
      </c>
    </row>
    <row r="55" spans="2:5" x14ac:dyDescent="0.3">
      <c r="B55" s="41"/>
      <c r="C55" s="61"/>
      <c r="D55" s="61"/>
      <c r="E55" s="43"/>
    </row>
    <row r="56" spans="2:5" x14ac:dyDescent="0.3">
      <c r="B56" s="49" t="s">
        <v>80</v>
      </c>
      <c r="C56" s="154">
        <f>SUM(C57:C62)</f>
        <v>-230</v>
      </c>
      <c r="D56" s="154">
        <f>SUM(D57:D62)</f>
        <v>-230</v>
      </c>
      <c r="E56" s="155">
        <f>SUM(E57:E62)</f>
        <v>-230</v>
      </c>
    </row>
    <row r="57" spans="2:5" x14ac:dyDescent="0.3">
      <c r="B57" s="333" t="s">
        <v>82</v>
      </c>
      <c r="C57" s="335">
        <v>-100</v>
      </c>
      <c r="D57" s="335">
        <v>-100</v>
      </c>
      <c r="E57" s="336">
        <v>-100</v>
      </c>
    </row>
    <row r="58" spans="2:5" x14ac:dyDescent="0.3">
      <c r="B58" s="333" t="s">
        <v>83</v>
      </c>
      <c r="C58" s="335">
        <v>-50</v>
      </c>
      <c r="D58" s="335">
        <v>-50</v>
      </c>
      <c r="E58" s="336">
        <v>-50</v>
      </c>
    </row>
    <row r="59" spans="2:5" x14ac:dyDescent="0.3">
      <c r="B59" s="333" t="s">
        <v>84</v>
      </c>
      <c r="C59" s="335">
        <v>-30</v>
      </c>
      <c r="D59" s="335">
        <v>-30</v>
      </c>
      <c r="E59" s="336">
        <v>-30</v>
      </c>
    </row>
    <row r="60" spans="2:5" x14ac:dyDescent="0.3">
      <c r="B60" s="333" t="s">
        <v>85</v>
      </c>
      <c r="C60" s="335">
        <v>-20</v>
      </c>
      <c r="D60" s="335">
        <v>-20</v>
      </c>
      <c r="E60" s="336">
        <v>-20</v>
      </c>
    </row>
    <row r="61" spans="2:5" x14ac:dyDescent="0.3">
      <c r="B61" s="333" t="s">
        <v>86</v>
      </c>
      <c r="C61" s="335">
        <v>-20</v>
      </c>
      <c r="D61" s="335">
        <v>-20</v>
      </c>
      <c r="E61" s="336">
        <v>-20</v>
      </c>
    </row>
    <row r="62" spans="2:5" x14ac:dyDescent="0.3">
      <c r="B62" s="333" t="s">
        <v>87</v>
      </c>
      <c r="C62" s="335">
        <v>-10</v>
      </c>
      <c r="D62" s="335">
        <v>-10</v>
      </c>
      <c r="E62" s="336">
        <v>-10</v>
      </c>
    </row>
    <row r="63" spans="2:5" x14ac:dyDescent="0.3">
      <c r="B63" s="41"/>
      <c r="C63" s="84"/>
      <c r="D63" s="84"/>
      <c r="E63" s="85"/>
    </row>
    <row r="64" spans="2:5" x14ac:dyDescent="0.3">
      <c r="B64" s="48" t="s">
        <v>88</v>
      </c>
      <c r="C64" s="184">
        <f>C53+C56</f>
        <v>504.29499999999996</v>
      </c>
      <c r="D64" s="184">
        <f>D53+D56</f>
        <v>584.91399999999976</v>
      </c>
      <c r="E64" s="185">
        <f>E53+E56</f>
        <v>850.22350000000006</v>
      </c>
    </row>
    <row r="65" spans="2:5" x14ac:dyDescent="0.3">
      <c r="B65" s="48" t="s">
        <v>90</v>
      </c>
      <c r="C65" s="182">
        <f>C64/C36</f>
        <v>0.1924422820072505</v>
      </c>
      <c r="D65" s="182">
        <f>D64/D36</f>
        <v>0.18459698289465373</v>
      </c>
      <c r="E65" s="183">
        <f>E64/E36</f>
        <v>0.24696774287249648</v>
      </c>
    </row>
    <row r="66" spans="2:5" x14ac:dyDescent="0.3">
      <c r="B66" s="41"/>
      <c r="C66" s="62"/>
      <c r="D66" s="62"/>
      <c r="E66" s="45"/>
    </row>
    <row r="67" spans="2:5" x14ac:dyDescent="0.3">
      <c r="B67" s="48" t="s">
        <v>92</v>
      </c>
      <c r="C67" s="154">
        <v>0</v>
      </c>
      <c r="D67" s="154">
        <v>0</v>
      </c>
      <c r="E67" s="155">
        <v>0</v>
      </c>
    </row>
    <row r="68" spans="2:5" hidden="1" x14ac:dyDescent="0.3">
      <c r="B68" s="38" t="s">
        <v>94</v>
      </c>
      <c r="C68" s="84"/>
      <c r="D68" s="84"/>
      <c r="E68" s="85"/>
    </row>
    <row r="69" spans="2:5" hidden="1" x14ac:dyDescent="0.3">
      <c r="B69" s="38" t="s">
        <v>95</v>
      </c>
      <c r="C69" s="84"/>
      <c r="D69" s="84"/>
      <c r="E69" s="85"/>
    </row>
    <row r="70" spans="2:5" x14ac:dyDescent="0.3">
      <c r="B70" s="41"/>
      <c r="C70" s="84"/>
      <c r="D70" s="84"/>
      <c r="E70" s="85"/>
    </row>
    <row r="71" spans="2:5" x14ac:dyDescent="0.3">
      <c r="B71" s="48" t="s">
        <v>96</v>
      </c>
      <c r="C71" s="154">
        <v>0</v>
      </c>
      <c r="D71" s="154">
        <v>0</v>
      </c>
      <c r="E71" s="155">
        <v>0</v>
      </c>
    </row>
    <row r="72" spans="2:5" hidden="1" x14ac:dyDescent="0.3">
      <c r="B72" s="38" t="s">
        <v>98</v>
      </c>
      <c r="C72" s="84"/>
      <c r="D72" s="84"/>
      <c r="E72" s="85"/>
    </row>
    <row r="73" spans="2:5" hidden="1" x14ac:dyDescent="0.3">
      <c r="B73" s="38" t="s">
        <v>99</v>
      </c>
      <c r="C73" s="84"/>
      <c r="D73" s="84"/>
      <c r="E73" s="85"/>
    </row>
    <row r="74" spans="2:5" x14ac:dyDescent="0.3">
      <c r="B74" s="41"/>
      <c r="C74" s="84"/>
      <c r="D74" s="84"/>
      <c r="E74" s="85"/>
    </row>
    <row r="75" spans="2:5" x14ac:dyDescent="0.3">
      <c r="B75" s="48" t="s">
        <v>100</v>
      </c>
      <c r="C75" s="156">
        <f>C64+C67+C71</f>
        <v>504.29499999999996</v>
      </c>
      <c r="D75" s="156">
        <f>D64+D67+D71</f>
        <v>584.91399999999976</v>
      </c>
      <c r="E75" s="157">
        <f>E64+E67+E71</f>
        <v>850.22350000000006</v>
      </c>
    </row>
    <row r="76" spans="2:5" x14ac:dyDescent="0.3">
      <c r="B76" s="41"/>
      <c r="C76" s="84"/>
      <c r="D76" s="84"/>
      <c r="E76" s="85"/>
    </row>
    <row r="77" spans="2:5" x14ac:dyDescent="0.3">
      <c r="B77" s="48" t="s">
        <v>102</v>
      </c>
      <c r="C77" s="156">
        <f>-27%*C75</f>
        <v>-136.15965</v>
      </c>
      <c r="D77" s="156">
        <f>-27%*D75</f>
        <v>-157.92677999999995</v>
      </c>
      <c r="E77" s="157">
        <f>-27%*E75</f>
        <v>-229.56034500000004</v>
      </c>
    </row>
    <row r="78" spans="2:5" hidden="1" x14ac:dyDescent="0.3">
      <c r="B78" s="38" t="s">
        <v>104</v>
      </c>
      <c r="C78" s="84"/>
      <c r="D78" s="84"/>
      <c r="E78" s="85"/>
    </row>
    <row r="79" spans="2:5" hidden="1" x14ac:dyDescent="0.3">
      <c r="B79" s="38" t="s">
        <v>105</v>
      </c>
      <c r="C79" s="84"/>
      <c r="D79" s="84"/>
      <c r="E79" s="85"/>
    </row>
    <row r="80" spans="2:5" x14ac:dyDescent="0.3">
      <c r="B80" s="41"/>
      <c r="C80" s="84"/>
      <c r="D80" s="84"/>
      <c r="E80" s="85"/>
    </row>
    <row r="81" spans="2:5" x14ac:dyDescent="0.3">
      <c r="B81" s="48" t="s">
        <v>106</v>
      </c>
      <c r="C81" s="156">
        <f>C75+C77</f>
        <v>368.13534999999996</v>
      </c>
      <c r="D81" s="156">
        <f>D75+D77</f>
        <v>426.98721999999981</v>
      </c>
      <c r="E81" s="157">
        <f>E75+E77</f>
        <v>620.66315499999996</v>
      </c>
    </row>
    <row r="82" spans="2:5" x14ac:dyDescent="0.3">
      <c r="B82" s="52" t="s">
        <v>108</v>
      </c>
      <c r="C82" s="186">
        <f>C81/C36</f>
        <v>0.14048286586529288</v>
      </c>
      <c r="D82" s="186">
        <f>D81/D36</f>
        <v>0.13475579751309721</v>
      </c>
      <c r="E82" s="187">
        <f>E81/E36</f>
        <v>0.18028645229692242</v>
      </c>
    </row>
    <row r="84" spans="2:5" x14ac:dyDescent="0.3">
      <c r="B84" s="88"/>
      <c r="C84" s="81" t="s">
        <v>122</v>
      </c>
      <c r="D84" s="81" t="s">
        <v>123</v>
      </c>
      <c r="E84" s="82" t="s">
        <v>124</v>
      </c>
    </row>
    <row r="85" spans="2:5" x14ac:dyDescent="0.3">
      <c r="B85" s="72" t="s">
        <v>16</v>
      </c>
      <c r="C85" s="188">
        <f>C87+C91+C98</f>
        <v>19700</v>
      </c>
      <c r="D85" s="188">
        <f>D87+D91+D98</f>
        <v>19077</v>
      </c>
      <c r="E85" s="189">
        <f>E87+E91+E98</f>
        <v>19999.317041666669</v>
      </c>
    </row>
    <row r="86" spans="2:5" x14ac:dyDescent="0.3">
      <c r="B86" s="33"/>
      <c r="C86" s="89"/>
      <c r="D86" s="29"/>
      <c r="E86" s="35"/>
    </row>
    <row r="87" spans="2:5" x14ac:dyDescent="0.3">
      <c r="B87" s="68" t="s">
        <v>17</v>
      </c>
      <c r="C87" s="190">
        <f>C88+C89</f>
        <v>4000</v>
      </c>
      <c r="D87" s="190">
        <f>D88+D89</f>
        <v>4736</v>
      </c>
      <c r="E87" s="69">
        <f>E192</f>
        <v>4463.2337083333332</v>
      </c>
    </row>
    <row r="88" spans="2:5" x14ac:dyDescent="0.3">
      <c r="B88" s="333" t="s">
        <v>9</v>
      </c>
      <c r="C88" s="335">
        <v>1000</v>
      </c>
      <c r="D88" s="335">
        <v>1500</v>
      </c>
      <c r="E88" s="336"/>
    </row>
    <row r="89" spans="2:5" x14ac:dyDescent="0.3">
      <c r="B89" s="333" t="s">
        <v>18</v>
      </c>
      <c r="C89" s="335">
        <v>3000</v>
      </c>
      <c r="D89" s="335">
        <v>3236</v>
      </c>
      <c r="E89" s="336"/>
    </row>
    <row r="90" spans="2:5" x14ac:dyDescent="0.3">
      <c r="B90" s="33"/>
      <c r="C90" s="89"/>
      <c r="D90" s="89"/>
      <c r="E90" s="35"/>
    </row>
    <row r="91" spans="2:5" x14ac:dyDescent="0.3">
      <c r="B91" s="68" t="s">
        <v>19</v>
      </c>
      <c r="C91" s="190">
        <f>SUM(C92:C96)</f>
        <v>5700</v>
      </c>
      <c r="D91" s="190">
        <f>SUM(D92:D96)</f>
        <v>4950</v>
      </c>
      <c r="E91" s="69">
        <f>SUM(E92:E96)</f>
        <v>5362.5</v>
      </c>
    </row>
    <row r="92" spans="2:5" x14ac:dyDescent="0.3">
      <c r="B92" s="333" t="s">
        <v>20</v>
      </c>
      <c r="C92" s="335">
        <v>100</v>
      </c>
      <c r="D92" s="335">
        <v>0</v>
      </c>
      <c r="E92" s="336">
        <f>D92/D$20*E$20</f>
        <v>0</v>
      </c>
    </row>
    <row r="93" spans="2:5" x14ac:dyDescent="0.3">
      <c r="B93" s="333" t="s">
        <v>21</v>
      </c>
      <c r="C93" s="335">
        <v>200</v>
      </c>
      <c r="D93" s="335">
        <v>150</v>
      </c>
      <c r="E93" s="336">
        <f>D93/D$20*E$20</f>
        <v>162.5</v>
      </c>
    </row>
    <row r="94" spans="2:5" x14ac:dyDescent="0.3">
      <c r="B94" s="333" t="s">
        <v>12</v>
      </c>
      <c r="C94" s="335">
        <v>5000</v>
      </c>
      <c r="D94" s="335">
        <v>4500</v>
      </c>
      <c r="E94" s="336">
        <f>D94/D$20*E$20</f>
        <v>4875</v>
      </c>
    </row>
    <row r="95" spans="2:5" x14ac:dyDescent="0.3">
      <c r="B95" s="333" t="s">
        <v>22</v>
      </c>
      <c r="C95" s="335">
        <v>100</v>
      </c>
      <c r="D95" s="335">
        <v>50</v>
      </c>
      <c r="E95" s="336">
        <f>D95/D$20*E$20</f>
        <v>54.166666666666664</v>
      </c>
    </row>
    <row r="96" spans="2:5" x14ac:dyDescent="0.3">
      <c r="B96" s="333" t="s">
        <v>23</v>
      </c>
      <c r="C96" s="335">
        <v>300</v>
      </c>
      <c r="D96" s="335">
        <v>250</v>
      </c>
      <c r="E96" s="336">
        <f>D96/D$20*E$20</f>
        <v>270.83333333333337</v>
      </c>
    </row>
    <row r="97" spans="2:5" x14ac:dyDescent="0.3">
      <c r="B97" s="33"/>
      <c r="C97" s="89"/>
      <c r="D97" s="29"/>
      <c r="E97" s="35"/>
    </row>
    <row r="98" spans="2:5" x14ac:dyDescent="0.3">
      <c r="B98" s="68" t="s">
        <v>24</v>
      </c>
      <c r="C98" s="190">
        <f>C99</f>
        <v>10000</v>
      </c>
      <c r="D98" s="190">
        <f>D99</f>
        <v>9391</v>
      </c>
      <c r="E98" s="69">
        <f>E99</f>
        <v>10173.583333333334</v>
      </c>
    </row>
    <row r="99" spans="2:5" x14ac:dyDescent="0.3">
      <c r="B99" s="333" t="s">
        <v>25</v>
      </c>
      <c r="C99" s="335">
        <v>10000</v>
      </c>
      <c r="D99" s="335">
        <v>9391</v>
      </c>
      <c r="E99" s="336">
        <f>D99/D$20*E$20</f>
        <v>10173.583333333334</v>
      </c>
    </row>
    <row r="100" spans="2:5" x14ac:dyDescent="0.3">
      <c r="B100" s="33"/>
      <c r="C100" s="89"/>
      <c r="D100" s="29"/>
      <c r="E100" s="35"/>
    </row>
    <row r="101" spans="2:5" x14ac:dyDescent="0.3">
      <c r="B101" s="72" t="s">
        <v>26</v>
      </c>
      <c r="C101" s="188">
        <f>C103</f>
        <v>1000</v>
      </c>
      <c r="D101" s="188">
        <f>D103</f>
        <v>1000</v>
      </c>
      <c r="E101" s="189">
        <f>E103</f>
        <v>1000</v>
      </c>
    </row>
    <row r="102" spans="2:5" x14ac:dyDescent="0.3">
      <c r="B102" s="33"/>
      <c r="C102" s="89"/>
      <c r="D102" s="29"/>
      <c r="E102" s="35"/>
    </row>
    <row r="103" spans="2:5" x14ac:dyDescent="0.3">
      <c r="B103" s="333" t="s">
        <v>27</v>
      </c>
      <c r="C103" s="335">
        <v>1000</v>
      </c>
      <c r="D103" s="335">
        <v>1000</v>
      </c>
      <c r="E103" s="336">
        <f>D103</f>
        <v>1000</v>
      </c>
    </row>
    <row r="104" spans="2:5" x14ac:dyDescent="0.3">
      <c r="B104" s="33"/>
      <c r="C104" s="89"/>
      <c r="D104" s="29"/>
      <c r="E104" s="35"/>
    </row>
    <row r="105" spans="2:5" x14ac:dyDescent="0.3">
      <c r="B105" s="72" t="s">
        <v>28</v>
      </c>
      <c r="C105" s="188">
        <f>C85+C101</f>
        <v>20700</v>
      </c>
      <c r="D105" s="188">
        <f>D85+D101</f>
        <v>20077</v>
      </c>
      <c r="E105" s="189">
        <f>E85+E101</f>
        <v>20999.317041666669</v>
      </c>
    </row>
    <row r="106" spans="2:5" x14ac:dyDescent="0.3">
      <c r="B106" s="33"/>
      <c r="C106" s="29"/>
      <c r="D106" s="29"/>
      <c r="E106" s="35"/>
    </row>
    <row r="107" spans="2:5" x14ac:dyDescent="0.3">
      <c r="B107" s="53" t="s">
        <v>29</v>
      </c>
      <c r="C107" s="191">
        <f>SUM(C109:C113)</f>
        <v>13500</v>
      </c>
      <c r="D107" s="191">
        <f>SUM(D109:D113)</f>
        <v>12600</v>
      </c>
      <c r="E107" s="192">
        <f>SUM(E109:E113)</f>
        <v>13041.666666666666</v>
      </c>
    </row>
    <row r="108" spans="2:5" x14ac:dyDescent="0.3">
      <c r="B108" s="41"/>
      <c r="C108" s="91"/>
      <c r="D108" s="29"/>
      <c r="E108" s="35"/>
    </row>
    <row r="109" spans="2:5" x14ac:dyDescent="0.3">
      <c r="B109" s="333" t="s">
        <v>30</v>
      </c>
      <c r="C109" s="335">
        <v>5000</v>
      </c>
      <c r="D109" s="335">
        <v>4800</v>
      </c>
      <c r="E109" s="336">
        <f>D109/D$38*E$38</f>
        <v>5200</v>
      </c>
    </row>
    <row r="110" spans="2:5" x14ac:dyDescent="0.3">
      <c r="B110" s="333" t="s">
        <v>31</v>
      </c>
      <c r="C110" s="335">
        <v>3000</v>
      </c>
      <c r="D110" s="335">
        <v>2700</v>
      </c>
      <c r="E110" s="336">
        <f>D110/D$38*E$38</f>
        <v>2925</v>
      </c>
    </row>
    <row r="111" spans="2:5" x14ac:dyDescent="0.3">
      <c r="B111" s="333" t="s">
        <v>32</v>
      </c>
      <c r="C111" s="335">
        <v>2000</v>
      </c>
      <c r="D111" s="335">
        <v>2000</v>
      </c>
      <c r="E111" s="336">
        <f>D111</f>
        <v>2000</v>
      </c>
    </row>
    <row r="112" spans="2:5" x14ac:dyDescent="0.3">
      <c r="B112" s="333" t="s">
        <v>33</v>
      </c>
      <c r="C112" s="335">
        <v>1500</v>
      </c>
      <c r="D112" s="335">
        <v>1400</v>
      </c>
      <c r="E112" s="336">
        <f>D112/D$20*E$20</f>
        <v>1516.6666666666667</v>
      </c>
    </row>
    <row r="113" spans="2:6" ht="31.2" x14ac:dyDescent="0.3">
      <c r="B113" s="333" t="s">
        <v>40</v>
      </c>
      <c r="C113" s="335">
        <v>2000</v>
      </c>
      <c r="D113" s="335">
        <v>1700</v>
      </c>
      <c r="E113" s="336">
        <f>D113-300</f>
        <v>1400</v>
      </c>
    </row>
    <row r="114" spans="2:6" x14ac:dyDescent="0.3">
      <c r="B114" s="41"/>
      <c r="C114" s="91"/>
      <c r="D114" s="29"/>
      <c r="E114" s="35"/>
    </row>
    <row r="115" spans="2:6" x14ac:dyDescent="0.3">
      <c r="B115" s="53" t="s">
        <v>34</v>
      </c>
      <c r="C115" s="191">
        <f>C117</f>
        <v>1000</v>
      </c>
      <c r="D115" s="191">
        <f>D117</f>
        <v>900</v>
      </c>
      <c r="E115" s="192">
        <f>E117</f>
        <v>800</v>
      </c>
    </row>
    <row r="116" spans="2:6" x14ac:dyDescent="0.3">
      <c r="B116" s="41"/>
      <c r="C116" s="91"/>
      <c r="D116" s="29"/>
      <c r="E116" s="35"/>
    </row>
    <row r="117" spans="2:6" ht="31.2" x14ac:dyDescent="0.3">
      <c r="B117" s="333" t="s">
        <v>41</v>
      </c>
      <c r="C117" s="335">
        <v>1000</v>
      </c>
      <c r="D117" s="335">
        <v>900</v>
      </c>
      <c r="E117" s="336">
        <f>D117-100</f>
        <v>800</v>
      </c>
    </row>
    <row r="118" spans="2:6" x14ac:dyDescent="0.3">
      <c r="B118" s="41"/>
      <c r="C118" s="91"/>
      <c r="D118" s="29"/>
      <c r="E118" s="35"/>
    </row>
    <row r="119" spans="2:6" x14ac:dyDescent="0.3">
      <c r="B119" s="41"/>
      <c r="C119" s="29"/>
      <c r="D119" s="29"/>
      <c r="E119" s="35"/>
    </row>
    <row r="120" spans="2:6" x14ac:dyDescent="0.3">
      <c r="B120" s="53" t="s">
        <v>36</v>
      </c>
      <c r="C120" s="191">
        <f>C121+C122+C123+C124</f>
        <v>6200.1353499999996</v>
      </c>
      <c r="D120" s="191">
        <f>D121+D122+D123+D124</f>
        <v>6577.1225700000005</v>
      </c>
      <c r="E120" s="192">
        <f>E121+E122+E123+E124</f>
        <v>7157.7857249999997</v>
      </c>
      <c r="F120" s="25"/>
    </row>
    <row r="121" spans="2:6" x14ac:dyDescent="0.3">
      <c r="B121" s="333" t="s">
        <v>39</v>
      </c>
      <c r="C121" s="335">
        <v>3000</v>
      </c>
      <c r="D121" s="335">
        <v>3000</v>
      </c>
      <c r="E121" s="336">
        <f>D121</f>
        <v>3000</v>
      </c>
    </row>
    <row r="122" spans="2:6" x14ac:dyDescent="0.3">
      <c r="B122" s="333" t="s">
        <v>37</v>
      </c>
      <c r="C122" s="335">
        <f>2800+132</f>
        <v>2932</v>
      </c>
      <c r="D122" s="335">
        <f>C122+C123+C124</f>
        <v>3200.13535</v>
      </c>
      <c r="E122" s="336">
        <f>D122+D123+D124</f>
        <v>3577.12257</v>
      </c>
    </row>
    <row r="123" spans="2:6" x14ac:dyDescent="0.3">
      <c r="B123" s="333" t="s">
        <v>38</v>
      </c>
      <c r="C123" s="335">
        <f>C81</f>
        <v>368.13534999999996</v>
      </c>
      <c r="D123" s="335">
        <f>D81</f>
        <v>426.98721999999981</v>
      </c>
      <c r="E123" s="336">
        <f>E81</f>
        <v>620.66315499999996</v>
      </c>
    </row>
    <row r="124" spans="2:6" x14ac:dyDescent="0.3">
      <c r="B124" s="333" t="s">
        <v>111</v>
      </c>
      <c r="C124" s="335">
        <v>-100</v>
      </c>
      <c r="D124" s="335">
        <v>-50</v>
      </c>
      <c r="E124" s="336">
        <v>-40</v>
      </c>
    </row>
    <row r="125" spans="2:6" x14ac:dyDescent="0.3">
      <c r="B125" s="41"/>
      <c r="C125" s="29"/>
      <c r="D125" s="29"/>
      <c r="E125" s="35"/>
    </row>
    <row r="126" spans="2:6" x14ac:dyDescent="0.3">
      <c r="B126" s="41"/>
      <c r="C126" s="91"/>
      <c r="D126" s="29"/>
      <c r="E126" s="35"/>
    </row>
    <row r="127" spans="2:6" x14ac:dyDescent="0.3">
      <c r="B127" s="53" t="s">
        <v>110</v>
      </c>
      <c r="C127" s="191">
        <f>C107+C115+C120</f>
        <v>20700.13535</v>
      </c>
      <c r="D127" s="191">
        <f>D107+D115+D120</f>
        <v>20077.12257</v>
      </c>
      <c r="E127" s="192">
        <f>E107+E115+E120</f>
        <v>20999.452391666666</v>
      </c>
    </row>
    <row r="128" spans="2:6" x14ac:dyDescent="0.3">
      <c r="B128" s="33"/>
      <c r="C128" s="91">
        <f>C127-C105</f>
        <v>0.13535000000047148</v>
      </c>
      <c r="D128" s="91">
        <f>D127-D105</f>
        <v>0.12256999999954132</v>
      </c>
      <c r="E128" s="90">
        <f>E127-E105</f>
        <v>0.1353499999968335</v>
      </c>
    </row>
    <row r="129" spans="2:5" x14ac:dyDescent="0.3">
      <c r="B129" s="72" t="s">
        <v>231</v>
      </c>
      <c r="C129" s="437">
        <f>C130+C131-C132</f>
        <v>6200</v>
      </c>
      <c r="D129" s="437">
        <f>D130+D131-D132</f>
        <v>5441</v>
      </c>
      <c r="E129" s="438">
        <f>E130+E131-E132</f>
        <v>5894.4166666666679</v>
      </c>
    </row>
    <row r="130" spans="2:5" x14ac:dyDescent="0.3">
      <c r="B130" s="333" t="s">
        <v>24</v>
      </c>
      <c r="C130" s="435">
        <f>C99</f>
        <v>10000</v>
      </c>
      <c r="D130" s="435">
        <f>D99</f>
        <v>9391</v>
      </c>
      <c r="E130" s="436">
        <f>E99</f>
        <v>10173.583333333334</v>
      </c>
    </row>
    <row r="131" spans="2:5" x14ac:dyDescent="0.3">
      <c r="B131" s="333" t="s">
        <v>12</v>
      </c>
      <c r="C131" s="435">
        <f>C91</f>
        <v>5700</v>
      </c>
      <c r="D131" s="435">
        <f>D91</f>
        <v>4950</v>
      </c>
      <c r="E131" s="436">
        <f>E91</f>
        <v>5362.5</v>
      </c>
    </row>
    <row r="132" spans="2:5" x14ac:dyDescent="0.3">
      <c r="B132" s="333" t="s">
        <v>15</v>
      </c>
      <c r="C132" s="435">
        <f>C109+C110+C112</f>
        <v>9500</v>
      </c>
      <c r="D132" s="435">
        <f>D109+D110+D112</f>
        <v>8900</v>
      </c>
      <c r="E132" s="436">
        <f>E109+E110+E112</f>
        <v>9641.6666666666661</v>
      </c>
    </row>
    <row r="133" spans="2:5" x14ac:dyDescent="0.3">
      <c r="B133" s="41"/>
      <c r="C133" s="61"/>
      <c r="D133" s="29"/>
      <c r="E133" s="35"/>
    </row>
    <row r="134" spans="2:5" x14ac:dyDescent="0.3">
      <c r="B134" s="333" t="s">
        <v>24</v>
      </c>
      <c r="C134" s="430">
        <f t="shared" ref="C134:E136" si="0">IF(C$20&gt;0,C130/C$20*30)</f>
        <v>100</v>
      </c>
      <c r="D134" s="430">
        <f t="shared" si="0"/>
        <v>78.25833333333334</v>
      </c>
      <c r="E134" s="440">
        <f t="shared" si="0"/>
        <v>78.25833333333334</v>
      </c>
    </row>
    <row r="135" spans="2:5" x14ac:dyDescent="0.3">
      <c r="B135" s="333" t="s">
        <v>12</v>
      </c>
      <c r="C135" s="430">
        <f t="shared" si="0"/>
        <v>57</v>
      </c>
      <c r="D135" s="430">
        <f t="shared" si="0"/>
        <v>41.25</v>
      </c>
      <c r="E135" s="440">
        <f t="shared" si="0"/>
        <v>41.25</v>
      </c>
    </row>
    <row r="136" spans="2:5" x14ac:dyDescent="0.3">
      <c r="B136" s="333" t="s">
        <v>15</v>
      </c>
      <c r="C136" s="430">
        <f t="shared" si="0"/>
        <v>95</v>
      </c>
      <c r="D136" s="430">
        <f t="shared" si="0"/>
        <v>74.166666666666671</v>
      </c>
      <c r="E136" s="440">
        <f t="shared" si="0"/>
        <v>74.166666666666657</v>
      </c>
    </row>
    <row r="137" spans="2:5" x14ac:dyDescent="0.3">
      <c r="B137" s="53" t="s">
        <v>233</v>
      </c>
      <c r="C137" s="433">
        <f>C134+C135-C136</f>
        <v>62</v>
      </c>
      <c r="D137" s="433">
        <f>D134+D135-D136</f>
        <v>45.341666666666669</v>
      </c>
      <c r="E137" s="439">
        <f>E134+E135-E136</f>
        <v>45.341666666666683</v>
      </c>
    </row>
    <row r="138" spans="2:5" x14ac:dyDescent="0.3">
      <c r="B138" s="41"/>
      <c r="C138" s="61"/>
      <c r="D138" s="29"/>
      <c r="E138" s="35"/>
    </row>
    <row r="139" spans="2:5" x14ac:dyDescent="0.3">
      <c r="B139" s="134" t="s">
        <v>232</v>
      </c>
      <c r="C139" s="135"/>
      <c r="D139" s="135">
        <f>D129-C129</f>
        <v>-759</v>
      </c>
      <c r="E139" s="135">
        <f>E129-D129</f>
        <v>453.41666666666788</v>
      </c>
    </row>
    <row r="140" spans="2:5" x14ac:dyDescent="0.3">
      <c r="B140" s="41"/>
      <c r="C140" s="61"/>
      <c r="D140" s="29"/>
      <c r="E140" s="37"/>
    </row>
    <row r="141" spans="2:5" x14ac:dyDescent="0.3">
      <c r="B141" s="94" t="s">
        <v>127</v>
      </c>
      <c r="C141" s="39"/>
      <c r="D141" s="39"/>
      <c r="E141" s="40"/>
    </row>
    <row r="142" spans="2:5" x14ac:dyDescent="0.3">
      <c r="B142" s="193" t="s">
        <v>128</v>
      </c>
      <c r="C142" s="163"/>
      <c r="D142" s="194">
        <f>D81</f>
        <v>426.98721999999981</v>
      </c>
      <c r="E142" s="195">
        <f>E81</f>
        <v>620.66315499999996</v>
      </c>
    </row>
    <row r="143" spans="2:5" x14ac:dyDescent="0.3">
      <c r="B143" s="97"/>
      <c r="C143" s="29"/>
      <c r="D143" s="95"/>
      <c r="E143" s="35"/>
    </row>
    <row r="144" spans="2:5" ht="26.4" x14ac:dyDescent="0.3">
      <c r="B144" s="196" t="s">
        <v>129</v>
      </c>
      <c r="C144" s="163"/>
      <c r="D144" s="194"/>
      <c r="E144" s="70"/>
    </row>
    <row r="145" spans="2:5" ht="26.4" x14ac:dyDescent="0.3">
      <c r="B145" s="197" t="s">
        <v>130</v>
      </c>
      <c r="C145" s="163"/>
      <c r="D145" s="194"/>
      <c r="E145" s="70"/>
    </row>
    <row r="146" spans="2:5" x14ac:dyDescent="0.3">
      <c r="B146" s="392" t="s">
        <v>131</v>
      </c>
      <c r="C146" s="395"/>
      <c r="D146" s="399">
        <f>C91-D91</f>
        <v>750</v>
      </c>
      <c r="E146" s="396">
        <f>D91-E91</f>
        <v>-412.5</v>
      </c>
    </row>
    <row r="147" spans="2:5" x14ac:dyDescent="0.3">
      <c r="B147" s="393" t="s">
        <v>132</v>
      </c>
      <c r="C147" s="389"/>
      <c r="D147" s="400">
        <f>C98-D98</f>
        <v>609</v>
      </c>
      <c r="E147" s="397">
        <f>D98-E98</f>
        <v>-782.58333333333394</v>
      </c>
    </row>
    <row r="148" spans="2:5" x14ac:dyDescent="0.3">
      <c r="B148" s="393" t="s">
        <v>133</v>
      </c>
      <c r="C148" s="389"/>
      <c r="D148" s="400">
        <v>0</v>
      </c>
      <c r="E148" s="397">
        <v>0</v>
      </c>
    </row>
    <row r="149" spans="2:5" x14ac:dyDescent="0.3">
      <c r="B149" s="393" t="s">
        <v>134</v>
      </c>
      <c r="C149" s="389"/>
      <c r="D149" s="400">
        <v>0</v>
      </c>
      <c r="E149" s="397">
        <v>0</v>
      </c>
    </row>
    <row r="150" spans="2:5" x14ac:dyDescent="0.3">
      <c r="B150" s="393" t="s">
        <v>135</v>
      </c>
      <c r="C150" s="389"/>
      <c r="D150" s="400">
        <v>0</v>
      </c>
      <c r="E150" s="397">
        <v>0</v>
      </c>
    </row>
    <row r="151" spans="2:5" x14ac:dyDescent="0.3">
      <c r="B151" s="393" t="s">
        <v>136</v>
      </c>
      <c r="C151" s="389"/>
      <c r="D151" s="400">
        <v>0</v>
      </c>
      <c r="E151" s="397">
        <v>0</v>
      </c>
    </row>
    <row r="152" spans="2:5" x14ac:dyDescent="0.3">
      <c r="B152" s="394" t="s">
        <v>137</v>
      </c>
      <c r="C152" s="390"/>
      <c r="D152" s="401">
        <v>0</v>
      </c>
      <c r="E152" s="398">
        <v>0</v>
      </c>
    </row>
    <row r="153" spans="2:5" ht="26.4" x14ac:dyDescent="0.3">
      <c r="B153" s="197" t="s">
        <v>138</v>
      </c>
      <c r="C153" s="163"/>
      <c r="D153" s="194">
        <f>SUM(D146:D152)</f>
        <v>1359</v>
      </c>
      <c r="E153" s="195">
        <f>SUM(E146:E152)</f>
        <v>-1195.0833333333339</v>
      </c>
    </row>
    <row r="154" spans="2:5" x14ac:dyDescent="0.3">
      <c r="B154" s="97"/>
      <c r="C154" s="29"/>
      <c r="D154" s="95"/>
      <c r="E154" s="35"/>
    </row>
    <row r="155" spans="2:5" x14ac:dyDescent="0.3">
      <c r="B155" s="97"/>
      <c r="C155" s="29"/>
      <c r="D155" s="95"/>
      <c r="E155" s="35"/>
    </row>
    <row r="156" spans="2:5" ht="26.4" x14ac:dyDescent="0.3">
      <c r="B156" s="196" t="s">
        <v>129</v>
      </c>
      <c r="C156" s="163"/>
      <c r="D156" s="194"/>
      <c r="E156" s="70"/>
    </row>
    <row r="157" spans="2:5" ht="26.4" x14ac:dyDescent="0.3">
      <c r="B157" s="197" t="s">
        <v>139</v>
      </c>
      <c r="C157" s="163"/>
      <c r="D157" s="194"/>
      <c r="E157" s="70"/>
    </row>
    <row r="158" spans="2:5" x14ac:dyDescent="0.3">
      <c r="B158" s="393" t="s">
        <v>140</v>
      </c>
      <c r="C158" s="389"/>
      <c r="D158" s="400">
        <f>D109-C109</f>
        <v>-200</v>
      </c>
      <c r="E158" s="397">
        <f>E109-D109</f>
        <v>400</v>
      </c>
    </row>
    <row r="159" spans="2:5" x14ac:dyDescent="0.3">
      <c r="B159" s="393" t="s">
        <v>141</v>
      </c>
      <c r="C159" s="389"/>
      <c r="D159" s="400">
        <f>D110-C110</f>
        <v>-300</v>
      </c>
      <c r="E159" s="397">
        <f>E110-D110</f>
        <v>225</v>
      </c>
    </row>
    <row r="160" spans="2:5" x14ac:dyDescent="0.3">
      <c r="B160" s="393" t="s">
        <v>142</v>
      </c>
      <c r="C160" s="389"/>
      <c r="D160" s="400">
        <v>0</v>
      </c>
      <c r="E160" s="397">
        <v>0</v>
      </c>
    </row>
    <row r="161" spans="2:5" x14ac:dyDescent="0.3">
      <c r="B161" s="393" t="s">
        <v>143</v>
      </c>
      <c r="C161" s="389"/>
      <c r="D161" s="400">
        <f>D112-C112</f>
        <v>-100</v>
      </c>
      <c r="E161" s="397">
        <f>E112-D112</f>
        <v>116.66666666666674</v>
      </c>
    </row>
    <row r="162" spans="2:5" x14ac:dyDescent="0.3">
      <c r="B162" s="393" t="s">
        <v>144</v>
      </c>
      <c r="C162" s="389"/>
      <c r="D162" s="400">
        <v>0</v>
      </c>
      <c r="E162" s="397">
        <v>0</v>
      </c>
    </row>
    <row r="163" spans="2:5" x14ac:dyDescent="0.3">
      <c r="B163" s="393" t="s">
        <v>145</v>
      </c>
      <c r="C163" s="389"/>
      <c r="D163" s="400">
        <v>0</v>
      </c>
      <c r="E163" s="397">
        <v>0</v>
      </c>
    </row>
    <row r="164" spans="2:5" ht="26.4" x14ac:dyDescent="0.3">
      <c r="B164" s="198" t="s">
        <v>146</v>
      </c>
      <c r="C164" s="163"/>
      <c r="D164" s="194">
        <f>SUM(D158:D163)</f>
        <v>-600</v>
      </c>
      <c r="E164" s="195">
        <f>SUM(E158:E163)</f>
        <v>741.66666666666674</v>
      </c>
    </row>
    <row r="165" spans="2:5" x14ac:dyDescent="0.3">
      <c r="B165" s="97"/>
      <c r="C165" s="29"/>
      <c r="D165" s="95"/>
      <c r="E165" s="96"/>
    </row>
    <row r="166" spans="2:5" ht="26.4" x14ac:dyDescent="0.3">
      <c r="B166" s="199" t="s">
        <v>147</v>
      </c>
      <c r="C166" s="163"/>
      <c r="D166" s="194">
        <f>D153+D164+D142</f>
        <v>1185.9872199999998</v>
      </c>
      <c r="E166" s="195">
        <f>E153+E164+E142</f>
        <v>167.24648833333276</v>
      </c>
    </row>
    <row r="167" spans="2:5" x14ac:dyDescent="0.3">
      <c r="B167" s="97"/>
      <c r="C167" s="29"/>
      <c r="D167" s="95"/>
      <c r="E167" s="35"/>
    </row>
    <row r="168" spans="2:5" ht="26.4" x14ac:dyDescent="0.3">
      <c r="B168" s="393" t="s">
        <v>167</v>
      </c>
      <c r="C168" s="389"/>
      <c r="D168" s="400">
        <v>0</v>
      </c>
      <c r="E168" s="397">
        <v>0</v>
      </c>
    </row>
    <row r="169" spans="2:5" x14ac:dyDescent="0.3">
      <c r="B169" s="97"/>
      <c r="C169" s="29"/>
      <c r="D169" s="95"/>
      <c r="E169" s="35"/>
    </row>
    <row r="170" spans="2:5" ht="27" x14ac:dyDescent="0.3">
      <c r="B170" s="200" t="s">
        <v>148</v>
      </c>
      <c r="C170" s="163"/>
      <c r="D170" s="194">
        <f>D166+D168</f>
        <v>1185.9872199999998</v>
      </c>
      <c r="E170" s="195">
        <f>E166+E168</f>
        <v>167.24648833333276</v>
      </c>
    </row>
    <row r="171" spans="2:5" x14ac:dyDescent="0.3">
      <c r="B171" s="97"/>
      <c r="C171" s="29"/>
      <c r="D171" s="95"/>
      <c r="E171" s="35"/>
    </row>
    <row r="172" spans="2:5" x14ac:dyDescent="0.3">
      <c r="B172" s="94" t="s">
        <v>127</v>
      </c>
      <c r="C172" s="201"/>
      <c r="D172" s="202"/>
      <c r="E172" s="203"/>
    </row>
    <row r="173" spans="2:5" ht="26.4" x14ac:dyDescent="0.3">
      <c r="B173" s="196" t="s">
        <v>149</v>
      </c>
      <c r="C173" s="163"/>
      <c r="D173" s="194"/>
      <c r="E173" s="70"/>
    </row>
    <row r="174" spans="2:5" x14ac:dyDescent="0.3">
      <c r="B174" s="393" t="s">
        <v>150</v>
      </c>
      <c r="C174" s="389"/>
      <c r="D174" s="400">
        <f>D103-C103</f>
        <v>0</v>
      </c>
      <c r="E174" s="397">
        <f>E103-D103</f>
        <v>0</v>
      </c>
    </row>
    <row r="175" spans="2:5" x14ac:dyDescent="0.3">
      <c r="B175" s="393" t="s">
        <v>151</v>
      </c>
      <c r="C175" s="389"/>
      <c r="D175" s="400">
        <v>0</v>
      </c>
      <c r="E175" s="397">
        <v>0</v>
      </c>
    </row>
    <row r="176" spans="2:5" x14ac:dyDescent="0.3">
      <c r="B176" s="393" t="s">
        <v>152</v>
      </c>
      <c r="C176" s="389"/>
      <c r="D176" s="400">
        <v>0</v>
      </c>
      <c r="E176" s="397">
        <v>0</v>
      </c>
    </row>
    <row r="177" spans="2:5" ht="26.4" x14ac:dyDescent="0.3">
      <c r="B177" s="198" t="s">
        <v>153</v>
      </c>
      <c r="C177" s="163"/>
      <c r="D177" s="194">
        <f>SUM(D174:D176)</f>
        <v>0</v>
      </c>
      <c r="E177" s="195">
        <f>SUM(E174:E176)</f>
        <v>0</v>
      </c>
    </row>
    <row r="178" spans="2:5" x14ac:dyDescent="0.3">
      <c r="B178" s="97"/>
      <c r="C178" s="29"/>
      <c r="D178" s="95"/>
      <c r="E178" s="35"/>
    </row>
    <row r="179" spans="2:5" ht="26.4" x14ac:dyDescent="0.3">
      <c r="B179" s="196" t="s">
        <v>154</v>
      </c>
      <c r="C179" s="163"/>
      <c r="D179" s="194"/>
      <c r="E179" s="70"/>
    </row>
    <row r="180" spans="2:5" x14ac:dyDescent="0.3">
      <c r="B180" s="393" t="s">
        <v>155</v>
      </c>
      <c r="C180" s="389"/>
      <c r="D180" s="400"/>
      <c r="E180" s="397"/>
    </row>
    <row r="181" spans="2:5" x14ac:dyDescent="0.3">
      <c r="B181" s="393" t="s">
        <v>156</v>
      </c>
      <c r="C181" s="389"/>
      <c r="D181" s="400">
        <f>D124</f>
        <v>-50</v>
      </c>
      <c r="E181" s="397">
        <f>E124</f>
        <v>-40</v>
      </c>
    </row>
    <row r="182" spans="2:5" x14ac:dyDescent="0.3">
      <c r="B182" s="393" t="s">
        <v>157</v>
      </c>
      <c r="C182" s="389"/>
      <c r="D182" s="400">
        <v>0</v>
      </c>
      <c r="E182" s="397">
        <v>0</v>
      </c>
    </row>
    <row r="183" spans="2:5" x14ac:dyDescent="0.3">
      <c r="B183" s="393" t="s">
        <v>158</v>
      </c>
      <c r="C183" s="389"/>
      <c r="D183" s="400">
        <v>0</v>
      </c>
      <c r="E183" s="397">
        <v>0</v>
      </c>
    </row>
    <row r="184" spans="2:5" x14ac:dyDescent="0.3">
      <c r="B184" s="393" t="s">
        <v>159</v>
      </c>
      <c r="C184" s="389"/>
      <c r="D184" s="400">
        <f>D113-C113+D117-C117</f>
        <v>-400</v>
      </c>
      <c r="E184" s="397">
        <f>E113-D113+E117-D117</f>
        <v>-400</v>
      </c>
    </row>
    <row r="185" spans="2:5" x14ac:dyDescent="0.3">
      <c r="B185" s="393" t="s">
        <v>160</v>
      </c>
      <c r="C185" s="389"/>
      <c r="D185" s="400">
        <v>0</v>
      </c>
      <c r="E185" s="397">
        <v>0</v>
      </c>
    </row>
    <row r="186" spans="2:5" x14ac:dyDescent="0.3">
      <c r="B186" s="393" t="s">
        <v>161</v>
      </c>
      <c r="C186" s="389"/>
      <c r="D186" s="400">
        <v>0</v>
      </c>
      <c r="E186" s="397">
        <v>0</v>
      </c>
    </row>
    <row r="187" spans="2:5" ht="26.4" x14ac:dyDescent="0.3">
      <c r="B187" s="198" t="s">
        <v>162</v>
      </c>
      <c r="C187" s="163"/>
      <c r="D187" s="194">
        <f>SUM(D181:D186)</f>
        <v>-450</v>
      </c>
      <c r="E187" s="195">
        <f>SUM(E181:E186)</f>
        <v>-440</v>
      </c>
    </row>
    <row r="188" spans="2:5" x14ac:dyDescent="0.3">
      <c r="B188" s="97"/>
      <c r="C188" s="29"/>
      <c r="D188" s="95"/>
      <c r="E188" s="35"/>
    </row>
    <row r="189" spans="2:5" ht="27" x14ac:dyDescent="0.3">
      <c r="B189" s="200" t="s">
        <v>163</v>
      </c>
      <c r="C189" s="163"/>
      <c r="D189" s="194">
        <f>D170+D177+D187</f>
        <v>735.98721999999975</v>
      </c>
      <c r="E189" s="195">
        <f>E170+E177+E187</f>
        <v>-272.75351166666724</v>
      </c>
    </row>
    <row r="190" spans="2:5" x14ac:dyDescent="0.3">
      <c r="B190" s="97"/>
      <c r="C190" s="29"/>
      <c r="D190" s="95"/>
      <c r="E190" s="35"/>
    </row>
    <row r="191" spans="2:5" x14ac:dyDescent="0.3">
      <c r="B191" s="393" t="s">
        <v>164</v>
      </c>
      <c r="C191" s="389"/>
      <c r="D191" s="400">
        <f>C87</f>
        <v>4000</v>
      </c>
      <c r="E191" s="397">
        <f>D192</f>
        <v>4735.98722</v>
      </c>
    </row>
    <row r="192" spans="2:5" x14ac:dyDescent="0.3">
      <c r="B192" s="393" t="s">
        <v>165</v>
      </c>
      <c r="C192" s="389"/>
      <c r="D192" s="400">
        <f>D191+D189</f>
        <v>4735.98722</v>
      </c>
      <c r="E192" s="397">
        <f>E191+E189</f>
        <v>4463.2337083333332</v>
      </c>
    </row>
    <row r="193" spans="2:5" x14ac:dyDescent="0.3">
      <c r="B193" s="98" t="s">
        <v>166</v>
      </c>
      <c r="C193" s="30"/>
      <c r="D193" s="92">
        <f>D87-D192</f>
        <v>1.2780000000020664E-2</v>
      </c>
      <c r="E193" s="93">
        <f>E87-E192</f>
        <v>0</v>
      </c>
    </row>
  </sheetData>
  <conditionalFormatting sqref="B141 B172">
    <cfRule type="cellIs" dxfId="1" priority="1" stopIfTrue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61E4-5E62-0A49-BF8D-F3CF626338DA}">
  <dimension ref="A2:I33"/>
  <sheetViews>
    <sheetView topLeftCell="A7" zoomScale="97" workbookViewId="0">
      <selection activeCell="I36" sqref="I36"/>
    </sheetView>
  </sheetViews>
  <sheetFormatPr defaultColWidth="11.19921875" defaultRowHeight="15.6" x14ac:dyDescent="0.3"/>
  <cols>
    <col min="1" max="1" width="11.19921875" style="18"/>
    <col min="2" max="2" width="37.69921875" style="18" customWidth="1"/>
    <col min="3" max="3" width="12.19921875" style="18" bestFit="1" customWidth="1"/>
    <col min="4" max="4" width="5" style="18" customWidth="1"/>
    <col min="5" max="5" width="12.19921875" style="18" bestFit="1" customWidth="1"/>
    <col min="6" max="6" width="5" style="18" customWidth="1"/>
    <col min="7" max="7" width="12.19921875" style="18" bestFit="1" customWidth="1"/>
    <col min="8" max="8" width="6.296875" style="18" customWidth="1"/>
    <col min="9" max="9" width="73.5" style="18" customWidth="1"/>
    <col min="10" max="16384" width="11.19921875" style="18"/>
  </cols>
  <sheetData>
    <row r="2" spans="1:7" x14ac:dyDescent="0.3">
      <c r="B2" s="80"/>
      <c r="C2" s="81" t="s">
        <v>44</v>
      </c>
      <c r="D2" s="81"/>
      <c r="E2" s="81" t="s">
        <v>45</v>
      </c>
      <c r="F2" s="81"/>
      <c r="G2" s="82" t="s">
        <v>46</v>
      </c>
    </row>
    <row r="3" spans="1:7" x14ac:dyDescent="0.3">
      <c r="B3" s="48" t="s">
        <v>178</v>
      </c>
      <c r="C3" s="65">
        <v>100</v>
      </c>
      <c r="D3" s="65"/>
      <c r="E3" s="65">
        <v>100</v>
      </c>
      <c r="F3" s="65"/>
      <c r="G3" s="47">
        <v>200</v>
      </c>
    </row>
    <row r="4" spans="1:7" x14ac:dyDescent="0.3">
      <c r="B4" s="41"/>
      <c r="C4" s="61"/>
      <c r="D4" s="61"/>
      <c r="E4" s="61"/>
      <c r="F4" s="61"/>
      <c r="G4" s="43"/>
    </row>
    <row r="5" spans="1:7" x14ac:dyDescent="0.3">
      <c r="B5" s="48" t="s">
        <v>173</v>
      </c>
      <c r="C5" s="171">
        <v>0.03</v>
      </c>
      <c r="D5" s="170"/>
      <c r="E5" s="171">
        <v>0.01</v>
      </c>
      <c r="F5" s="170"/>
      <c r="G5" s="172">
        <v>0.02</v>
      </c>
    </row>
    <row r="6" spans="1:7" x14ac:dyDescent="0.3">
      <c r="B6" s="41"/>
      <c r="C6" s="61"/>
      <c r="D6" s="61"/>
      <c r="E6" s="61"/>
      <c r="F6" s="61"/>
      <c r="G6" s="43"/>
    </row>
    <row r="7" spans="1:7" x14ac:dyDescent="0.3">
      <c r="B7" s="48" t="s">
        <v>174</v>
      </c>
      <c r="C7" s="173">
        <v>3</v>
      </c>
      <c r="D7" s="173"/>
      <c r="E7" s="173">
        <v>2.5</v>
      </c>
      <c r="F7" s="173"/>
      <c r="G7" s="174">
        <v>4</v>
      </c>
    </row>
    <row r="8" spans="1:7" x14ac:dyDescent="0.3">
      <c r="B8" s="41"/>
      <c r="C8" s="61"/>
      <c r="D8" s="61"/>
      <c r="E8" s="61"/>
      <c r="F8" s="61"/>
      <c r="G8" s="43"/>
    </row>
    <row r="9" spans="1:7" x14ac:dyDescent="0.3">
      <c r="B9" s="48" t="s">
        <v>172</v>
      </c>
      <c r="C9" s="171">
        <v>0.02</v>
      </c>
      <c r="D9" s="171"/>
      <c r="E9" s="171">
        <v>0.02</v>
      </c>
      <c r="F9" s="171"/>
      <c r="G9" s="172">
        <v>0.02</v>
      </c>
    </row>
    <row r="10" spans="1:7" x14ac:dyDescent="0.3">
      <c r="B10" s="48" t="s">
        <v>175</v>
      </c>
      <c r="C10" s="171">
        <v>0.01</v>
      </c>
      <c r="D10" s="171"/>
      <c r="E10" s="171">
        <v>0.01</v>
      </c>
      <c r="F10" s="171"/>
      <c r="G10" s="172">
        <v>0.01</v>
      </c>
    </row>
    <row r="11" spans="1:7" x14ac:dyDescent="0.3">
      <c r="B11" s="52" t="s">
        <v>177</v>
      </c>
      <c r="C11" s="178">
        <v>15</v>
      </c>
      <c r="D11" s="178"/>
      <c r="E11" s="178">
        <v>12</v>
      </c>
      <c r="F11" s="178"/>
      <c r="G11" s="179">
        <v>20</v>
      </c>
    </row>
    <row r="12" spans="1:7" x14ac:dyDescent="0.3">
      <c r="A12" s="29"/>
      <c r="B12" s="60"/>
      <c r="C12" s="61"/>
      <c r="D12" s="61"/>
      <c r="E12" s="29"/>
      <c r="F12" s="29"/>
      <c r="G12" s="29"/>
    </row>
    <row r="13" spans="1:7" x14ac:dyDescent="0.3">
      <c r="A13" s="29"/>
      <c r="B13" s="83"/>
      <c r="C13" s="237" t="s">
        <v>44</v>
      </c>
      <c r="D13" s="237"/>
      <c r="E13" s="237" t="s">
        <v>45</v>
      </c>
      <c r="F13" s="237"/>
      <c r="G13" s="240" t="s">
        <v>46</v>
      </c>
    </row>
    <row r="14" spans="1:7" x14ac:dyDescent="0.3">
      <c r="B14" s="49" t="s">
        <v>42</v>
      </c>
      <c r="C14" s="65">
        <f>C3</f>
        <v>100</v>
      </c>
      <c r="D14" s="154"/>
      <c r="E14" s="65">
        <f>E3</f>
        <v>100</v>
      </c>
      <c r="F14" s="154"/>
      <c r="G14" s="47">
        <f>G3</f>
        <v>200</v>
      </c>
    </row>
    <row r="15" spans="1:7" x14ac:dyDescent="0.3">
      <c r="B15" s="41"/>
      <c r="C15" s="84"/>
      <c r="D15" s="84"/>
      <c r="E15" s="84"/>
      <c r="F15" s="84"/>
      <c r="G15" s="85"/>
    </row>
    <row r="16" spans="1:7" x14ac:dyDescent="0.3">
      <c r="B16" s="49" t="s">
        <v>47</v>
      </c>
      <c r="C16" s="154">
        <f>-8.65%*C14</f>
        <v>-8.65</v>
      </c>
      <c r="D16" s="154"/>
      <c r="E16" s="154">
        <f>-8.65%*E14</f>
        <v>-8.65</v>
      </c>
      <c r="F16" s="154"/>
      <c r="G16" s="155">
        <f>-8.65%*G14</f>
        <v>-17.3</v>
      </c>
    </row>
    <row r="17" spans="2:9" x14ac:dyDescent="0.3">
      <c r="B17" s="41"/>
      <c r="C17" s="84"/>
      <c r="D17" s="84"/>
      <c r="E17" s="84"/>
      <c r="F17" s="84"/>
      <c r="G17" s="85"/>
    </row>
    <row r="18" spans="2:9" x14ac:dyDescent="0.3">
      <c r="B18" s="49" t="s">
        <v>53</v>
      </c>
      <c r="C18" s="154">
        <f>-C5*C3</f>
        <v>-3</v>
      </c>
      <c r="D18" s="154"/>
      <c r="E18" s="154">
        <f>-E5*E3</f>
        <v>-1</v>
      </c>
      <c r="F18" s="154"/>
      <c r="G18" s="155">
        <f>-G5*G3</f>
        <v>-4</v>
      </c>
    </row>
    <row r="19" spans="2:9" x14ac:dyDescent="0.3">
      <c r="B19" s="41"/>
      <c r="C19" s="84"/>
      <c r="D19" s="84"/>
      <c r="E19" s="84"/>
      <c r="F19" s="84"/>
      <c r="G19" s="85"/>
    </row>
    <row r="20" spans="2:9" x14ac:dyDescent="0.3">
      <c r="B20" s="49" t="s">
        <v>58</v>
      </c>
      <c r="C20" s="156">
        <f>C14+C16+C18</f>
        <v>88.35</v>
      </c>
      <c r="D20" s="156"/>
      <c r="E20" s="156">
        <f>E14+E16+E18</f>
        <v>90.35</v>
      </c>
      <c r="F20" s="156"/>
      <c r="G20" s="157">
        <f>G14+G16+G18</f>
        <v>178.7</v>
      </c>
    </row>
    <row r="21" spans="2:9" x14ac:dyDescent="0.3">
      <c r="B21" s="41"/>
      <c r="C21" s="84"/>
      <c r="D21" s="84"/>
      <c r="E21" s="84"/>
      <c r="F21" s="84"/>
      <c r="G21" s="85"/>
    </row>
    <row r="22" spans="2:9" ht="31.2" x14ac:dyDescent="0.3">
      <c r="B22" s="48" t="s">
        <v>60</v>
      </c>
      <c r="C22" s="154">
        <f>-C14/C7</f>
        <v>-33.333333333333336</v>
      </c>
      <c r="D22" s="154"/>
      <c r="E22" s="154">
        <f>-E14/E7</f>
        <v>-40</v>
      </c>
      <c r="F22" s="154"/>
      <c r="G22" s="155">
        <f>-G14/G7</f>
        <v>-50</v>
      </c>
    </row>
    <row r="23" spans="2:9" x14ac:dyDescent="0.3">
      <c r="B23" s="49" t="s">
        <v>62</v>
      </c>
      <c r="C23" s="156">
        <f>C20+C22</f>
        <v>55.016666666666659</v>
      </c>
      <c r="D23" s="156"/>
      <c r="E23" s="156">
        <f>E20+E22</f>
        <v>50.349999999999994</v>
      </c>
      <c r="F23" s="156"/>
      <c r="G23" s="157">
        <f>G20+G22</f>
        <v>128.69999999999999</v>
      </c>
    </row>
    <row r="24" spans="2:9" x14ac:dyDescent="0.3">
      <c r="B24" s="49" t="s">
        <v>64</v>
      </c>
      <c r="C24" s="158">
        <f>C23/C20</f>
        <v>0.62271269571778909</v>
      </c>
      <c r="D24" s="158"/>
      <c r="E24" s="158">
        <f>E23/E20</f>
        <v>0.55727725511898174</v>
      </c>
      <c r="F24" s="158"/>
      <c r="G24" s="159">
        <f>G23/G20</f>
        <v>0.72020145495243426</v>
      </c>
    </row>
    <row r="25" spans="2:9" x14ac:dyDescent="0.3">
      <c r="B25" s="41"/>
      <c r="C25" s="61"/>
      <c r="D25" s="61"/>
      <c r="E25" s="61"/>
      <c r="F25" s="61"/>
      <c r="G25" s="43"/>
    </row>
    <row r="26" spans="2:9" x14ac:dyDescent="0.3">
      <c r="B26" s="46" t="s">
        <v>68</v>
      </c>
      <c r="C26" s="154">
        <f>SUM(C27:C30)</f>
        <v>-22.883499999999998</v>
      </c>
      <c r="D26" s="154"/>
      <c r="E26" s="154">
        <f>SUM(E27:E30)</f>
        <v>-19.903500000000001</v>
      </c>
      <c r="F26" s="154"/>
      <c r="G26" s="155">
        <f>SUM(G27:G30)</f>
        <v>-30.786999999999999</v>
      </c>
    </row>
    <row r="27" spans="2:9" x14ac:dyDescent="0.3">
      <c r="B27" s="402" t="s">
        <v>70</v>
      </c>
      <c r="C27" s="404">
        <f>-C10*C20</f>
        <v>-0.88349999999999995</v>
      </c>
      <c r="D27" s="404"/>
      <c r="E27" s="404">
        <f>-E10*E20</f>
        <v>-0.90349999999999997</v>
      </c>
      <c r="F27" s="404"/>
      <c r="G27" s="406">
        <f>-G10*G20</f>
        <v>-1.7869999999999999</v>
      </c>
    </row>
    <row r="28" spans="2:9" x14ac:dyDescent="0.3">
      <c r="B28" s="334" t="s">
        <v>176</v>
      </c>
      <c r="C28" s="335">
        <f>-C11</f>
        <v>-15</v>
      </c>
      <c r="D28" s="335"/>
      <c r="E28" s="335">
        <f>-E11</f>
        <v>-12</v>
      </c>
      <c r="F28" s="335"/>
      <c r="G28" s="336">
        <f>-G11</f>
        <v>-20</v>
      </c>
    </row>
    <row r="29" spans="2:9" x14ac:dyDescent="0.3">
      <c r="B29" s="403" t="s">
        <v>72</v>
      </c>
      <c r="C29" s="405">
        <f>-C9*C14</f>
        <v>-2</v>
      </c>
      <c r="D29" s="405"/>
      <c r="E29" s="405">
        <f>-E9*E14</f>
        <v>-2</v>
      </c>
      <c r="F29" s="405"/>
      <c r="G29" s="407">
        <f>-G9*G14</f>
        <v>-4</v>
      </c>
    </row>
    <row r="30" spans="2:9" ht="16.2" customHeight="1" x14ac:dyDescent="0.3">
      <c r="B30" s="51" t="s">
        <v>73</v>
      </c>
      <c r="C30" s="154">
        <v>-5</v>
      </c>
      <c r="D30" s="154"/>
      <c r="E30" s="154">
        <v>-5</v>
      </c>
      <c r="F30" s="154"/>
      <c r="G30" s="155">
        <v>-5</v>
      </c>
      <c r="I30" s="461" t="s">
        <v>179</v>
      </c>
    </row>
    <row r="31" spans="2:9" x14ac:dyDescent="0.3">
      <c r="B31" s="41"/>
      <c r="C31" s="84"/>
      <c r="D31" s="84"/>
      <c r="E31" s="84"/>
      <c r="F31" s="84"/>
      <c r="G31" s="85"/>
      <c r="I31" s="461"/>
    </row>
    <row r="32" spans="2:9" x14ac:dyDescent="0.3">
      <c r="B32" s="100" t="s">
        <v>180</v>
      </c>
      <c r="C32" s="101">
        <f>C23+C26</f>
        <v>32.133166666666661</v>
      </c>
      <c r="D32" s="101"/>
      <c r="E32" s="101">
        <f>E23+E26</f>
        <v>30.446499999999993</v>
      </c>
      <c r="F32" s="101"/>
      <c r="G32" s="102">
        <f>G23+G26</f>
        <v>97.912999999999982</v>
      </c>
      <c r="I32" s="461"/>
    </row>
    <row r="33" spans="2:7" x14ac:dyDescent="0.3">
      <c r="B33" s="21"/>
      <c r="C33" s="24"/>
      <c r="D33" s="24"/>
      <c r="E33" s="24"/>
      <c r="F33" s="24"/>
      <c r="G33" s="24"/>
    </row>
  </sheetData>
  <mergeCells count="1">
    <mergeCell ref="I30:I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5500-770A-A34E-88F6-73E4CAE2C80B}">
  <dimension ref="B1:AM39"/>
  <sheetViews>
    <sheetView topLeftCell="A9" zoomScale="80" workbookViewId="0">
      <selection activeCell="E4" sqref="E4"/>
    </sheetView>
  </sheetViews>
  <sheetFormatPr defaultColWidth="11.19921875" defaultRowHeight="15.6" x14ac:dyDescent="0.3"/>
  <cols>
    <col min="1" max="1" width="11.19921875" style="18"/>
    <col min="2" max="2" width="37.69921875" style="18" customWidth="1"/>
    <col min="3" max="3" width="12.19921875" style="18" bestFit="1" customWidth="1"/>
    <col min="4" max="4" width="5" style="18" customWidth="1"/>
    <col min="5" max="5" width="12.19921875" style="18" bestFit="1" customWidth="1"/>
    <col min="6" max="6" width="5" style="18" customWidth="1"/>
    <col min="7" max="7" width="12.19921875" style="18" bestFit="1" customWidth="1"/>
    <col min="8" max="8" width="6.296875" style="18" customWidth="1"/>
    <col min="9" max="9" width="24" style="18" customWidth="1"/>
    <col min="10" max="39" width="11.796875" style="19" customWidth="1"/>
    <col min="40" max="16384" width="11.19921875" style="18"/>
  </cols>
  <sheetData>
    <row r="1" spans="2:39" x14ac:dyDescent="0.3">
      <c r="B1" s="29"/>
      <c r="C1" s="29"/>
      <c r="D1" s="29"/>
      <c r="E1" s="29"/>
      <c r="F1" s="29"/>
      <c r="G1" s="29"/>
    </row>
    <row r="2" spans="2:39" x14ac:dyDescent="0.3">
      <c r="B2" s="80"/>
      <c r="C2" s="81" t="s">
        <v>44</v>
      </c>
      <c r="D2" s="81"/>
      <c r="E2" s="81" t="s">
        <v>45</v>
      </c>
      <c r="F2" s="81"/>
      <c r="G2" s="82" t="s">
        <v>46</v>
      </c>
    </row>
    <row r="3" spans="2:39" x14ac:dyDescent="0.3">
      <c r="B3" s="48" t="s">
        <v>181</v>
      </c>
      <c r="C3" s="170">
        <v>25</v>
      </c>
      <c r="D3" s="170"/>
      <c r="E3" s="170">
        <v>50</v>
      </c>
      <c r="F3" s="170"/>
      <c r="G3" s="50">
        <v>12</v>
      </c>
    </row>
    <row r="4" spans="2:39" x14ac:dyDescent="0.3">
      <c r="B4" s="48" t="s">
        <v>178</v>
      </c>
      <c r="C4" s="65">
        <v>100</v>
      </c>
      <c r="D4" s="65"/>
      <c r="E4" s="65">
        <v>130</v>
      </c>
      <c r="F4" s="65"/>
      <c r="G4" s="47">
        <v>200</v>
      </c>
      <c r="I4" s="59"/>
      <c r="J4" s="81" t="s">
        <v>183</v>
      </c>
      <c r="K4" s="81" t="s">
        <v>184</v>
      </c>
      <c r="L4" s="81" t="s">
        <v>185</v>
      </c>
      <c r="M4" s="81" t="s">
        <v>186</v>
      </c>
      <c r="N4" s="81" t="s">
        <v>187</v>
      </c>
      <c r="O4" s="81" t="s">
        <v>188</v>
      </c>
      <c r="P4" s="81" t="s">
        <v>189</v>
      </c>
      <c r="Q4" s="81" t="s">
        <v>190</v>
      </c>
      <c r="R4" s="81" t="s">
        <v>191</v>
      </c>
      <c r="S4" s="81" t="s">
        <v>192</v>
      </c>
      <c r="T4" s="81" t="s">
        <v>193</v>
      </c>
      <c r="U4" s="81" t="s">
        <v>194</v>
      </c>
      <c r="V4" s="81" t="s">
        <v>195</v>
      </c>
      <c r="W4" s="81" t="s">
        <v>196</v>
      </c>
      <c r="X4" s="81" t="s">
        <v>197</v>
      </c>
      <c r="Y4" s="81" t="s">
        <v>198</v>
      </c>
      <c r="Z4" s="81" t="s">
        <v>199</v>
      </c>
      <c r="AA4" s="81" t="s">
        <v>200</v>
      </c>
      <c r="AB4" s="81" t="s">
        <v>201</v>
      </c>
      <c r="AC4" s="81" t="s">
        <v>202</v>
      </c>
      <c r="AD4" s="81" t="s">
        <v>203</v>
      </c>
      <c r="AE4" s="81" t="s">
        <v>204</v>
      </c>
      <c r="AF4" s="81" t="s">
        <v>205</v>
      </c>
      <c r="AG4" s="81" t="s">
        <v>206</v>
      </c>
      <c r="AH4" s="81" t="s">
        <v>207</v>
      </c>
      <c r="AI4" s="81" t="s">
        <v>208</v>
      </c>
      <c r="AJ4" s="81" t="s">
        <v>209</v>
      </c>
      <c r="AK4" s="81" t="s">
        <v>210</v>
      </c>
      <c r="AL4" s="81" t="s">
        <v>211</v>
      </c>
      <c r="AM4" s="82" t="s">
        <v>212</v>
      </c>
    </row>
    <row r="5" spans="2:39" x14ac:dyDescent="0.3">
      <c r="B5" s="41"/>
      <c r="C5" s="61"/>
      <c r="D5" s="61"/>
      <c r="E5" s="61"/>
      <c r="F5" s="61"/>
      <c r="G5" s="43"/>
      <c r="I5" s="416" t="s">
        <v>44</v>
      </c>
      <c r="J5" s="417">
        <f>C35</f>
        <v>803.32916666666654</v>
      </c>
      <c r="K5" s="417">
        <f>J5+$C$35</f>
        <v>1606.6583333333331</v>
      </c>
      <c r="L5" s="417">
        <f>K5+$C$35</f>
        <v>2409.9874999999997</v>
      </c>
      <c r="M5" s="417">
        <f>L5+$C$35</f>
        <v>3213.3166666666662</v>
      </c>
      <c r="N5" s="417">
        <f>M5+$C$35</f>
        <v>4016.6458333333326</v>
      </c>
      <c r="O5" s="417">
        <f t="shared" ref="O5:AM5" si="0">N5+$C$35</f>
        <v>4819.9749999999995</v>
      </c>
      <c r="P5" s="417">
        <f t="shared" si="0"/>
        <v>5623.3041666666659</v>
      </c>
      <c r="Q5" s="417">
        <f t="shared" si="0"/>
        <v>6426.6333333333323</v>
      </c>
      <c r="R5" s="417">
        <f t="shared" si="0"/>
        <v>7229.9624999999987</v>
      </c>
      <c r="S5" s="417">
        <f t="shared" si="0"/>
        <v>8033.2916666666652</v>
      </c>
      <c r="T5" s="417">
        <f t="shared" si="0"/>
        <v>8836.6208333333325</v>
      </c>
      <c r="U5" s="417">
        <f t="shared" si="0"/>
        <v>9639.9499999999989</v>
      </c>
      <c r="V5" s="417">
        <f t="shared" si="0"/>
        <v>10443.279166666665</v>
      </c>
      <c r="W5" s="417">
        <f t="shared" si="0"/>
        <v>11246.608333333332</v>
      </c>
      <c r="X5" s="417">
        <f t="shared" si="0"/>
        <v>12049.937499999998</v>
      </c>
      <c r="Y5" s="417">
        <f t="shared" si="0"/>
        <v>12853.266666666665</v>
      </c>
      <c r="Z5" s="417">
        <f t="shared" si="0"/>
        <v>13656.595833333331</v>
      </c>
      <c r="AA5" s="417">
        <f t="shared" si="0"/>
        <v>14459.924999999997</v>
      </c>
      <c r="AB5" s="417">
        <f t="shared" si="0"/>
        <v>15263.254166666664</v>
      </c>
      <c r="AC5" s="417">
        <f t="shared" si="0"/>
        <v>16066.58333333333</v>
      </c>
      <c r="AD5" s="417">
        <f t="shared" si="0"/>
        <v>16869.912499999999</v>
      </c>
      <c r="AE5" s="417">
        <f t="shared" si="0"/>
        <v>17673.241666666665</v>
      </c>
      <c r="AF5" s="417">
        <f t="shared" si="0"/>
        <v>18476.570833333331</v>
      </c>
      <c r="AG5" s="417">
        <f t="shared" si="0"/>
        <v>19279.899999999998</v>
      </c>
      <c r="AH5" s="417">
        <f t="shared" si="0"/>
        <v>20083.229166666664</v>
      </c>
      <c r="AI5" s="417">
        <f t="shared" si="0"/>
        <v>20886.558333333331</v>
      </c>
      <c r="AJ5" s="417">
        <f t="shared" si="0"/>
        <v>21689.887499999997</v>
      </c>
      <c r="AK5" s="417">
        <f t="shared" si="0"/>
        <v>22493.216666666664</v>
      </c>
      <c r="AL5" s="417">
        <f t="shared" si="0"/>
        <v>23296.54583333333</v>
      </c>
      <c r="AM5" s="418">
        <f t="shared" si="0"/>
        <v>24099.874999999996</v>
      </c>
    </row>
    <row r="6" spans="2:39" x14ac:dyDescent="0.3">
      <c r="B6" s="48" t="s">
        <v>173</v>
      </c>
      <c r="C6" s="171">
        <v>0.03</v>
      </c>
      <c r="D6" s="170"/>
      <c r="E6" s="171">
        <v>0.01</v>
      </c>
      <c r="F6" s="170"/>
      <c r="G6" s="172">
        <v>0.02</v>
      </c>
      <c r="I6" s="385" t="s">
        <v>45</v>
      </c>
      <c r="J6" s="411">
        <f>E35</f>
        <v>2234.0225</v>
      </c>
      <c r="K6" s="411">
        <f>J6+$E$35</f>
        <v>4468.0450000000001</v>
      </c>
      <c r="L6" s="411">
        <f t="shared" ref="L6:AM6" si="1">K6+$E$35</f>
        <v>6702.0675000000001</v>
      </c>
      <c r="M6" s="411">
        <f t="shared" si="1"/>
        <v>8936.09</v>
      </c>
      <c r="N6" s="411">
        <f t="shared" si="1"/>
        <v>11170.112499999999</v>
      </c>
      <c r="O6" s="411">
        <f t="shared" si="1"/>
        <v>13404.134999999998</v>
      </c>
      <c r="P6" s="411">
        <f t="shared" si="1"/>
        <v>15638.157499999998</v>
      </c>
      <c r="Q6" s="411">
        <f t="shared" si="1"/>
        <v>17872.179999999997</v>
      </c>
      <c r="R6" s="411">
        <f t="shared" si="1"/>
        <v>20106.202499999996</v>
      </c>
      <c r="S6" s="411">
        <f t="shared" si="1"/>
        <v>22340.224999999995</v>
      </c>
      <c r="T6" s="411">
        <f t="shared" si="1"/>
        <v>24574.247499999994</v>
      </c>
      <c r="U6" s="411">
        <f t="shared" si="1"/>
        <v>26808.269999999993</v>
      </c>
      <c r="V6" s="411">
        <f t="shared" si="1"/>
        <v>29042.292499999992</v>
      </c>
      <c r="W6" s="411">
        <f t="shared" si="1"/>
        <v>31276.314999999991</v>
      </c>
      <c r="X6" s="411">
        <f t="shared" si="1"/>
        <v>33510.337499999994</v>
      </c>
      <c r="Y6" s="411">
        <f t="shared" si="1"/>
        <v>35744.359999999993</v>
      </c>
      <c r="Z6" s="411">
        <f t="shared" si="1"/>
        <v>37978.382499999992</v>
      </c>
      <c r="AA6" s="411">
        <f t="shared" si="1"/>
        <v>40212.404999999992</v>
      </c>
      <c r="AB6" s="411">
        <f t="shared" si="1"/>
        <v>42446.427499999991</v>
      </c>
      <c r="AC6" s="411">
        <f t="shared" si="1"/>
        <v>44680.44999999999</v>
      </c>
      <c r="AD6" s="411">
        <f t="shared" si="1"/>
        <v>46914.472499999989</v>
      </c>
      <c r="AE6" s="411">
        <f t="shared" si="1"/>
        <v>49148.494999999988</v>
      </c>
      <c r="AF6" s="411">
        <f t="shared" si="1"/>
        <v>51382.517499999987</v>
      </c>
      <c r="AG6" s="411">
        <f t="shared" si="1"/>
        <v>53616.539999999986</v>
      </c>
      <c r="AH6" s="411">
        <f t="shared" si="1"/>
        <v>55850.562499999985</v>
      </c>
      <c r="AI6" s="411">
        <f t="shared" si="1"/>
        <v>58084.584999999985</v>
      </c>
      <c r="AJ6" s="411">
        <f t="shared" si="1"/>
        <v>60318.607499999984</v>
      </c>
      <c r="AK6" s="411">
        <f t="shared" si="1"/>
        <v>62552.629999999983</v>
      </c>
      <c r="AL6" s="411">
        <f t="shared" si="1"/>
        <v>64786.652499999982</v>
      </c>
      <c r="AM6" s="412">
        <f t="shared" si="1"/>
        <v>67020.674999999988</v>
      </c>
    </row>
    <row r="7" spans="2:39" x14ac:dyDescent="0.3">
      <c r="B7" s="41"/>
      <c r="C7" s="61"/>
      <c r="D7" s="61"/>
      <c r="E7" s="61"/>
      <c r="F7" s="61"/>
      <c r="G7" s="43"/>
      <c r="I7" s="408" t="s">
        <v>46</v>
      </c>
      <c r="J7" s="409">
        <f>G35</f>
        <v>1174.9559999999997</v>
      </c>
      <c r="K7" s="409">
        <f>J7+$G$35</f>
        <v>2349.9119999999994</v>
      </c>
      <c r="L7" s="409">
        <f t="shared" ref="L7:AM7" si="2">K7+$G$35</f>
        <v>3524.867999999999</v>
      </c>
      <c r="M7" s="409">
        <f t="shared" si="2"/>
        <v>4699.8239999999987</v>
      </c>
      <c r="N7" s="409">
        <f t="shared" si="2"/>
        <v>5874.7799999999988</v>
      </c>
      <c r="O7" s="409">
        <f t="shared" si="2"/>
        <v>7049.735999999999</v>
      </c>
      <c r="P7" s="409">
        <f t="shared" si="2"/>
        <v>8224.6919999999991</v>
      </c>
      <c r="Q7" s="409">
        <f t="shared" si="2"/>
        <v>9399.6479999999992</v>
      </c>
      <c r="R7" s="409">
        <f t="shared" si="2"/>
        <v>10574.603999999999</v>
      </c>
      <c r="S7" s="409">
        <f t="shared" si="2"/>
        <v>11749.56</v>
      </c>
      <c r="T7" s="409">
        <f t="shared" si="2"/>
        <v>12924.516</v>
      </c>
      <c r="U7" s="409">
        <f t="shared" si="2"/>
        <v>14099.472</v>
      </c>
      <c r="V7" s="409">
        <f t="shared" si="2"/>
        <v>15274.428</v>
      </c>
      <c r="W7" s="409">
        <f t="shared" si="2"/>
        <v>16449.383999999998</v>
      </c>
      <c r="X7" s="409">
        <f t="shared" si="2"/>
        <v>17624.339999999997</v>
      </c>
      <c r="Y7" s="409">
        <f t="shared" si="2"/>
        <v>18799.295999999995</v>
      </c>
      <c r="Z7" s="409">
        <f t="shared" si="2"/>
        <v>19974.251999999993</v>
      </c>
      <c r="AA7" s="409">
        <f t="shared" si="2"/>
        <v>21149.207999999991</v>
      </c>
      <c r="AB7" s="409">
        <f t="shared" si="2"/>
        <v>22324.16399999999</v>
      </c>
      <c r="AC7" s="409">
        <f t="shared" si="2"/>
        <v>23499.119999999988</v>
      </c>
      <c r="AD7" s="409">
        <f t="shared" si="2"/>
        <v>24674.075999999986</v>
      </c>
      <c r="AE7" s="409">
        <f t="shared" si="2"/>
        <v>25849.031999999985</v>
      </c>
      <c r="AF7" s="409">
        <f t="shared" si="2"/>
        <v>27023.987999999983</v>
      </c>
      <c r="AG7" s="409">
        <f t="shared" si="2"/>
        <v>28198.943999999981</v>
      </c>
      <c r="AH7" s="409">
        <f t="shared" si="2"/>
        <v>29373.89999999998</v>
      </c>
      <c r="AI7" s="409">
        <f t="shared" si="2"/>
        <v>30548.855999999978</v>
      </c>
      <c r="AJ7" s="409">
        <f t="shared" si="2"/>
        <v>31723.811999999976</v>
      </c>
      <c r="AK7" s="409">
        <f t="shared" si="2"/>
        <v>32898.767999999975</v>
      </c>
      <c r="AL7" s="409">
        <f t="shared" si="2"/>
        <v>34073.723999999973</v>
      </c>
      <c r="AM7" s="410">
        <f t="shared" si="2"/>
        <v>35248.679999999971</v>
      </c>
    </row>
    <row r="8" spans="2:39" x14ac:dyDescent="0.3">
      <c r="B8" s="48" t="s">
        <v>174</v>
      </c>
      <c r="C8" s="173">
        <v>3</v>
      </c>
      <c r="D8" s="173"/>
      <c r="E8" s="173">
        <v>2.5</v>
      </c>
      <c r="F8" s="173"/>
      <c r="G8" s="174">
        <v>4</v>
      </c>
      <c r="I8" s="36" t="s">
        <v>213</v>
      </c>
      <c r="J8" s="104">
        <v>30000</v>
      </c>
      <c r="K8" s="104">
        <f>J8</f>
        <v>30000</v>
      </c>
      <c r="L8" s="104">
        <f>K8</f>
        <v>30000</v>
      </c>
      <c r="M8" s="104">
        <f t="shared" ref="M8:AM8" si="3">L8</f>
        <v>30000</v>
      </c>
      <c r="N8" s="104">
        <f t="shared" si="3"/>
        <v>30000</v>
      </c>
      <c r="O8" s="104">
        <f t="shared" si="3"/>
        <v>30000</v>
      </c>
      <c r="P8" s="104">
        <f t="shared" si="3"/>
        <v>30000</v>
      </c>
      <c r="Q8" s="104">
        <f t="shared" si="3"/>
        <v>30000</v>
      </c>
      <c r="R8" s="104">
        <f t="shared" si="3"/>
        <v>30000</v>
      </c>
      <c r="S8" s="104">
        <f t="shared" si="3"/>
        <v>30000</v>
      </c>
      <c r="T8" s="104">
        <f t="shared" si="3"/>
        <v>30000</v>
      </c>
      <c r="U8" s="104">
        <f t="shared" si="3"/>
        <v>30000</v>
      </c>
      <c r="V8" s="104">
        <f t="shared" si="3"/>
        <v>30000</v>
      </c>
      <c r="W8" s="104">
        <f t="shared" si="3"/>
        <v>30000</v>
      </c>
      <c r="X8" s="104">
        <f t="shared" si="3"/>
        <v>30000</v>
      </c>
      <c r="Y8" s="104">
        <f t="shared" si="3"/>
        <v>30000</v>
      </c>
      <c r="Z8" s="104">
        <f t="shared" si="3"/>
        <v>30000</v>
      </c>
      <c r="AA8" s="104">
        <f t="shared" si="3"/>
        <v>30000</v>
      </c>
      <c r="AB8" s="104">
        <f t="shared" si="3"/>
        <v>30000</v>
      </c>
      <c r="AC8" s="104">
        <f t="shared" si="3"/>
        <v>30000</v>
      </c>
      <c r="AD8" s="104">
        <f t="shared" si="3"/>
        <v>30000</v>
      </c>
      <c r="AE8" s="104">
        <f t="shared" si="3"/>
        <v>30000</v>
      </c>
      <c r="AF8" s="104">
        <f t="shared" si="3"/>
        <v>30000</v>
      </c>
      <c r="AG8" s="104">
        <f t="shared" si="3"/>
        <v>30000</v>
      </c>
      <c r="AH8" s="104">
        <f t="shared" si="3"/>
        <v>30000</v>
      </c>
      <c r="AI8" s="104">
        <f t="shared" si="3"/>
        <v>30000</v>
      </c>
      <c r="AJ8" s="104">
        <f t="shared" si="3"/>
        <v>30000</v>
      </c>
      <c r="AK8" s="104">
        <f t="shared" si="3"/>
        <v>30000</v>
      </c>
      <c r="AL8" s="104">
        <f t="shared" si="3"/>
        <v>30000</v>
      </c>
      <c r="AM8" s="105">
        <f t="shared" si="3"/>
        <v>30000</v>
      </c>
    </row>
    <row r="9" spans="2:39" x14ac:dyDescent="0.3">
      <c r="B9" s="41"/>
      <c r="C9" s="61"/>
      <c r="D9" s="61"/>
      <c r="E9" s="61"/>
      <c r="F9" s="61"/>
      <c r="G9" s="43"/>
      <c r="I9" s="17"/>
    </row>
    <row r="10" spans="2:39" x14ac:dyDescent="0.3">
      <c r="B10" s="48" t="s">
        <v>172</v>
      </c>
      <c r="C10" s="171">
        <v>0.02</v>
      </c>
      <c r="D10" s="171"/>
      <c r="E10" s="171">
        <v>0.02</v>
      </c>
      <c r="F10" s="171"/>
      <c r="G10" s="172">
        <v>0.02</v>
      </c>
      <c r="I10" s="419" t="s">
        <v>214</v>
      </c>
      <c r="J10" s="424">
        <f>C3</f>
        <v>25</v>
      </c>
      <c r="K10" s="424">
        <f>J10+$C$3</f>
        <v>50</v>
      </c>
      <c r="L10" s="424">
        <f t="shared" ref="L10:AM10" si="4">K10+$C$3</f>
        <v>75</v>
      </c>
      <c r="M10" s="424">
        <f t="shared" si="4"/>
        <v>100</v>
      </c>
      <c r="N10" s="424">
        <f t="shared" si="4"/>
        <v>125</v>
      </c>
      <c r="O10" s="424">
        <f t="shared" si="4"/>
        <v>150</v>
      </c>
      <c r="P10" s="424">
        <f t="shared" si="4"/>
        <v>175</v>
      </c>
      <c r="Q10" s="424">
        <f t="shared" si="4"/>
        <v>200</v>
      </c>
      <c r="R10" s="424">
        <f t="shared" si="4"/>
        <v>225</v>
      </c>
      <c r="S10" s="424">
        <f t="shared" si="4"/>
        <v>250</v>
      </c>
      <c r="T10" s="424">
        <f t="shared" si="4"/>
        <v>275</v>
      </c>
      <c r="U10" s="424">
        <f t="shared" si="4"/>
        <v>300</v>
      </c>
      <c r="V10" s="424">
        <f t="shared" si="4"/>
        <v>325</v>
      </c>
      <c r="W10" s="424">
        <f t="shared" si="4"/>
        <v>350</v>
      </c>
      <c r="X10" s="424">
        <f t="shared" si="4"/>
        <v>375</v>
      </c>
      <c r="Y10" s="424">
        <f t="shared" si="4"/>
        <v>400</v>
      </c>
      <c r="Z10" s="424">
        <f t="shared" si="4"/>
        <v>425</v>
      </c>
      <c r="AA10" s="424">
        <f t="shared" si="4"/>
        <v>450</v>
      </c>
      <c r="AB10" s="424">
        <f t="shared" si="4"/>
        <v>475</v>
      </c>
      <c r="AC10" s="424">
        <f t="shared" si="4"/>
        <v>500</v>
      </c>
      <c r="AD10" s="424">
        <f t="shared" si="4"/>
        <v>525</v>
      </c>
      <c r="AE10" s="424">
        <f t="shared" si="4"/>
        <v>550</v>
      </c>
      <c r="AF10" s="424">
        <f t="shared" si="4"/>
        <v>575</v>
      </c>
      <c r="AG10" s="424">
        <f t="shared" si="4"/>
        <v>600</v>
      </c>
      <c r="AH10" s="424">
        <f t="shared" si="4"/>
        <v>625</v>
      </c>
      <c r="AI10" s="424">
        <f t="shared" si="4"/>
        <v>650</v>
      </c>
      <c r="AJ10" s="424">
        <f t="shared" si="4"/>
        <v>675</v>
      </c>
      <c r="AK10" s="424">
        <f t="shared" si="4"/>
        <v>700</v>
      </c>
      <c r="AL10" s="424">
        <f t="shared" si="4"/>
        <v>725</v>
      </c>
      <c r="AM10" s="425">
        <f t="shared" si="4"/>
        <v>750</v>
      </c>
    </row>
    <row r="11" spans="2:39" x14ac:dyDescent="0.3">
      <c r="B11" s="48" t="s">
        <v>175</v>
      </c>
      <c r="C11" s="171">
        <v>0.01</v>
      </c>
      <c r="D11" s="171"/>
      <c r="E11" s="171">
        <v>0.01</v>
      </c>
      <c r="F11" s="171"/>
      <c r="G11" s="172">
        <v>0.01</v>
      </c>
      <c r="I11" s="385" t="s">
        <v>215</v>
      </c>
      <c r="J11" s="426">
        <f>E3</f>
        <v>50</v>
      </c>
      <c r="K11" s="426">
        <f>J11+$E$3</f>
        <v>100</v>
      </c>
      <c r="L11" s="426">
        <f t="shared" ref="L11:AM11" si="5">K11+$E$3</f>
        <v>150</v>
      </c>
      <c r="M11" s="426">
        <f t="shared" si="5"/>
        <v>200</v>
      </c>
      <c r="N11" s="426">
        <f t="shared" si="5"/>
        <v>250</v>
      </c>
      <c r="O11" s="426">
        <f t="shared" si="5"/>
        <v>300</v>
      </c>
      <c r="P11" s="426">
        <f t="shared" si="5"/>
        <v>350</v>
      </c>
      <c r="Q11" s="426">
        <f t="shared" si="5"/>
        <v>400</v>
      </c>
      <c r="R11" s="426">
        <f t="shared" si="5"/>
        <v>450</v>
      </c>
      <c r="S11" s="426">
        <f t="shared" si="5"/>
        <v>500</v>
      </c>
      <c r="T11" s="426">
        <f t="shared" si="5"/>
        <v>550</v>
      </c>
      <c r="U11" s="426">
        <f t="shared" si="5"/>
        <v>600</v>
      </c>
      <c r="V11" s="426">
        <f t="shared" si="5"/>
        <v>650</v>
      </c>
      <c r="W11" s="426">
        <f t="shared" si="5"/>
        <v>700</v>
      </c>
      <c r="X11" s="426">
        <f t="shared" si="5"/>
        <v>750</v>
      </c>
      <c r="Y11" s="426">
        <f t="shared" si="5"/>
        <v>800</v>
      </c>
      <c r="Z11" s="426">
        <f t="shared" si="5"/>
        <v>850</v>
      </c>
      <c r="AA11" s="426">
        <f t="shared" si="5"/>
        <v>900</v>
      </c>
      <c r="AB11" s="426">
        <f t="shared" si="5"/>
        <v>950</v>
      </c>
      <c r="AC11" s="426">
        <f t="shared" si="5"/>
        <v>1000</v>
      </c>
      <c r="AD11" s="426">
        <f t="shared" si="5"/>
        <v>1050</v>
      </c>
      <c r="AE11" s="426">
        <f t="shared" si="5"/>
        <v>1100</v>
      </c>
      <c r="AF11" s="426">
        <f t="shared" si="5"/>
        <v>1150</v>
      </c>
      <c r="AG11" s="426">
        <f t="shared" si="5"/>
        <v>1200</v>
      </c>
      <c r="AH11" s="426">
        <f t="shared" si="5"/>
        <v>1250</v>
      </c>
      <c r="AI11" s="426">
        <f t="shared" si="5"/>
        <v>1300</v>
      </c>
      <c r="AJ11" s="426">
        <f t="shared" si="5"/>
        <v>1350</v>
      </c>
      <c r="AK11" s="426">
        <f t="shared" si="5"/>
        <v>1400</v>
      </c>
      <c r="AL11" s="426">
        <f t="shared" si="5"/>
        <v>1450</v>
      </c>
      <c r="AM11" s="427">
        <f t="shared" si="5"/>
        <v>1500</v>
      </c>
    </row>
    <row r="12" spans="2:39" x14ac:dyDescent="0.3">
      <c r="B12" s="52" t="s">
        <v>177</v>
      </c>
      <c r="C12" s="178">
        <v>15</v>
      </c>
      <c r="D12" s="178"/>
      <c r="E12" s="178">
        <v>12</v>
      </c>
      <c r="F12" s="178"/>
      <c r="G12" s="179">
        <v>20</v>
      </c>
      <c r="I12" s="36" t="s">
        <v>216</v>
      </c>
      <c r="J12" s="428">
        <f>G3</f>
        <v>12</v>
      </c>
      <c r="K12" s="428">
        <f>J12+$G$3</f>
        <v>24</v>
      </c>
      <c r="L12" s="428">
        <f t="shared" ref="L12:AM12" si="6">K12+$G$3</f>
        <v>36</v>
      </c>
      <c r="M12" s="428">
        <f t="shared" si="6"/>
        <v>48</v>
      </c>
      <c r="N12" s="428">
        <f t="shared" si="6"/>
        <v>60</v>
      </c>
      <c r="O12" s="428">
        <f t="shared" si="6"/>
        <v>72</v>
      </c>
      <c r="P12" s="428">
        <f t="shared" si="6"/>
        <v>84</v>
      </c>
      <c r="Q12" s="428">
        <f t="shared" si="6"/>
        <v>96</v>
      </c>
      <c r="R12" s="428">
        <f t="shared" si="6"/>
        <v>108</v>
      </c>
      <c r="S12" s="428">
        <f t="shared" si="6"/>
        <v>120</v>
      </c>
      <c r="T12" s="428">
        <f t="shared" si="6"/>
        <v>132</v>
      </c>
      <c r="U12" s="428">
        <f t="shared" si="6"/>
        <v>144</v>
      </c>
      <c r="V12" s="428">
        <f t="shared" si="6"/>
        <v>156</v>
      </c>
      <c r="W12" s="428">
        <f t="shared" si="6"/>
        <v>168</v>
      </c>
      <c r="X12" s="428">
        <f t="shared" si="6"/>
        <v>180</v>
      </c>
      <c r="Y12" s="428">
        <f t="shared" si="6"/>
        <v>192</v>
      </c>
      <c r="Z12" s="428">
        <f t="shared" si="6"/>
        <v>204</v>
      </c>
      <c r="AA12" s="428">
        <f t="shared" si="6"/>
        <v>216</v>
      </c>
      <c r="AB12" s="428">
        <f t="shared" si="6"/>
        <v>228</v>
      </c>
      <c r="AC12" s="428">
        <f t="shared" si="6"/>
        <v>240</v>
      </c>
      <c r="AD12" s="428">
        <f t="shared" si="6"/>
        <v>252</v>
      </c>
      <c r="AE12" s="428">
        <f t="shared" si="6"/>
        <v>264</v>
      </c>
      <c r="AF12" s="428">
        <f t="shared" si="6"/>
        <v>276</v>
      </c>
      <c r="AG12" s="428">
        <f t="shared" si="6"/>
        <v>288</v>
      </c>
      <c r="AH12" s="428">
        <f t="shared" si="6"/>
        <v>300</v>
      </c>
      <c r="AI12" s="428">
        <f t="shared" si="6"/>
        <v>312</v>
      </c>
      <c r="AJ12" s="428">
        <f t="shared" si="6"/>
        <v>324</v>
      </c>
      <c r="AK12" s="428">
        <f t="shared" si="6"/>
        <v>336</v>
      </c>
      <c r="AL12" s="428">
        <f t="shared" si="6"/>
        <v>348</v>
      </c>
      <c r="AM12" s="429">
        <f t="shared" si="6"/>
        <v>360</v>
      </c>
    </row>
    <row r="13" spans="2:39" x14ac:dyDescent="0.3">
      <c r="C13" s="61"/>
      <c r="D13" s="61"/>
      <c r="E13" s="29"/>
      <c r="F13" s="29"/>
      <c r="G13" s="29"/>
      <c r="I13" s="29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</row>
    <row r="14" spans="2:39" x14ac:dyDescent="0.3">
      <c r="B14" s="80"/>
      <c r="C14" s="81" t="s">
        <v>122</v>
      </c>
      <c r="D14" s="81"/>
      <c r="E14" s="81" t="s">
        <v>123</v>
      </c>
      <c r="F14" s="81"/>
      <c r="G14" s="103" t="s">
        <v>124</v>
      </c>
    </row>
    <row r="15" spans="2:39" x14ac:dyDescent="0.3">
      <c r="B15" s="49" t="s">
        <v>42</v>
      </c>
      <c r="C15" s="65">
        <f>C4</f>
        <v>100</v>
      </c>
      <c r="D15" s="154"/>
      <c r="E15" s="65">
        <f>E4</f>
        <v>130</v>
      </c>
      <c r="F15" s="154"/>
      <c r="G15" s="47">
        <f>G4</f>
        <v>200</v>
      </c>
    </row>
    <row r="16" spans="2:39" x14ac:dyDescent="0.3">
      <c r="B16" s="41"/>
      <c r="C16" s="84"/>
      <c r="D16" s="84"/>
      <c r="E16" s="84"/>
      <c r="F16" s="84"/>
      <c r="G16" s="85"/>
    </row>
    <row r="17" spans="2:9" x14ac:dyDescent="0.3">
      <c r="B17" s="49" t="s">
        <v>47</v>
      </c>
      <c r="C17" s="154">
        <f>-8.65%*C15</f>
        <v>-8.65</v>
      </c>
      <c r="D17" s="154"/>
      <c r="E17" s="154">
        <f>-8.65%*E15</f>
        <v>-11.245000000000001</v>
      </c>
      <c r="F17" s="154"/>
      <c r="G17" s="155">
        <f>-8.65%*G15</f>
        <v>-17.3</v>
      </c>
    </row>
    <row r="18" spans="2:9" x14ac:dyDescent="0.3">
      <c r="B18" s="41"/>
      <c r="C18" s="84"/>
      <c r="D18" s="84"/>
      <c r="E18" s="84"/>
      <c r="F18" s="84"/>
      <c r="G18" s="85"/>
    </row>
    <row r="19" spans="2:9" x14ac:dyDescent="0.3">
      <c r="B19" s="49" t="s">
        <v>53</v>
      </c>
      <c r="C19" s="154">
        <f>-C6*C4</f>
        <v>-3</v>
      </c>
      <c r="D19" s="154"/>
      <c r="E19" s="154">
        <f>-E6*E4</f>
        <v>-1.3</v>
      </c>
      <c r="F19" s="154"/>
      <c r="G19" s="155">
        <f>-G6*G4</f>
        <v>-4</v>
      </c>
    </row>
    <row r="20" spans="2:9" x14ac:dyDescent="0.3">
      <c r="B20" s="41"/>
      <c r="C20" s="84"/>
      <c r="D20" s="84"/>
      <c r="E20" s="84"/>
      <c r="F20" s="84"/>
      <c r="G20" s="85"/>
    </row>
    <row r="21" spans="2:9" x14ac:dyDescent="0.3">
      <c r="B21" s="49" t="s">
        <v>58</v>
      </c>
      <c r="C21" s="156">
        <f>C15+C17+C19</f>
        <v>88.35</v>
      </c>
      <c r="D21" s="156"/>
      <c r="E21" s="156">
        <f>E15+E17+E19</f>
        <v>117.455</v>
      </c>
      <c r="F21" s="156"/>
      <c r="G21" s="157">
        <f>G15+G17+G19</f>
        <v>178.7</v>
      </c>
    </row>
    <row r="22" spans="2:9" x14ac:dyDescent="0.3">
      <c r="B22" s="41"/>
      <c r="C22" s="84"/>
      <c r="D22" s="84"/>
      <c r="E22" s="84"/>
      <c r="F22" s="84"/>
      <c r="G22" s="85"/>
    </row>
    <row r="23" spans="2:9" ht="31.2" x14ac:dyDescent="0.3">
      <c r="B23" s="48" t="s">
        <v>60</v>
      </c>
      <c r="C23" s="154">
        <f>-C15/C8</f>
        <v>-33.333333333333336</v>
      </c>
      <c r="D23" s="154"/>
      <c r="E23" s="154">
        <f>-E15/E8</f>
        <v>-52</v>
      </c>
      <c r="F23" s="154"/>
      <c r="G23" s="155">
        <f>-G15/G8</f>
        <v>-50</v>
      </c>
    </row>
    <row r="24" spans="2:9" x14ac:dyDescent="0.3">
      <c r="B24" s="49" t="s">
        <v>62</v>
      </c>
      <c r="C24" s="156">
        <f>C21+C23</f>
        <v>55.016666666666659</v>
      </c>
      <c r="D24" s="156"/>
      <c r="E24" s="156">
        <f>E21+E23</f>
        <v>65.454999999999998</v>
      </c>
      <c r="F24" s="156"/>
      <c r="G24" s="157">
        <f>G21+G23</f>
        <v>128.69999999999999</v>
      </c>
    </row>
    <row r="25" spans="2:9" x14ac:dyDescent="0.3">
      <c r="B25" s="49" t="s">
        <v>64</v>
      </c>
      <c r="C25" s="158">
        <f>C24/C21</f>
        <v>0.62271269571778909</v>
      </c>
      <c r="D25" s="158"/>
      <c r="E25" s="158">
        <f>E24/E21</f>
        <v>0.55727725511898174</v>
      </c>
      <c r="F25" s="158"/>
      <c r="G25" s="159">
        <f>G24/G21</f>
        <v>0.72020145495243426</v>
      </c>
    </row>
    <row r="26" spans="2:9" x14ac:dyDescent="0.3">
      <c r="B26" s="41"/>
      <c r="C26" s="61"/>
      <c r="D26" s="61"/>
      <c r="E26" s="61"/>
      <c r="F26" s="61"/>
      <c r="G26" s="43"/>
    </row>
    <row r="27" spans="2:9" x14ac:dyDescent="0.3">
      <c r="B27" s="46" t="s">
        <v>68</v>
      </c>
      <c r="C27" s="154">
        <f>SUM(C28:C31)</f>
        <v>-22.883499999999998</v>
      </c>
      <c r="D27" s="154"/>
      <c r="E27" s="154">
        <f>SUM(E28:E31)</f>
        <v>-20.774549999999998</v>
      </c>
      <c r="F27" s="154"/>
      <c r="G27" s="155">
        <f>SUM(G28:G31)</f>
        <v>-30.786999999999999</v>
      </c>
    </row>
    <row r="28" spans="2:9" x14ac:dyDescent="0.3">
      <c r="B28" s="334" t="s">
        <v>70</v>
      </c>
      <c r="C28" s="335">
        <f>-C11*C21</f>
        <v>-0.88349999999999995</v>
      </c>
      <c r="D28" s="335"/>
      <c r="E28" s="335">
        <f>-E11*E21</f>
        <v>-1.17455</v>
      </c>
      <c r="F28" s="335"/>
      <c r="G28" s="336">
        <f>-G11*G21</f>
        <v>-1.7869999999999999</v>
      </c>
    </row>
    <row r="29" spans="2:9" x14ac:dyDescent="0.3">
      <c r="B29" s="334" t="s">
        <v>176</v>
      </c>
      <c r="C29" s="335">
        <f>-C12</f>
        <v>-15</v>
      </c>
      <c r="D29" s="335"/>
      <c r="E29" s="335">
        <f>-E12</f>
        <v>-12</v>
      </c>
      <c r="F29" s="335"/>
      <c r="G29" s="336">
        <f>-G12</f>
        <v>-20</v>
      </c>
    </row>
    <row r="30" spans="2:9" x14ac:dyDescent="0.3">
      <c r="B30" s="334" t="s">
        <v>72</v>
      </c>
      <c r="C30" s="335">
        <f>-C10*C15</f>
        <v>-2</v>
      </c>
      <c r="D30" s="335"/>
      <c r="E30" s="335">
        <f>-E10*E15</f>
        <v>-2.6</v>
      </c>
      <c r="F30" s="335"/>
      <c r="G30" s="336">
        <f>-G10*G15</f>
        <v>-4</v>
      </c>
    </row>
    <row r="31" spans="2:9" x14ac:dyDescent="0.3">
      <c r="B31" s="334" t="s">
        <v>73</v>
      </c>
      <c r="C31" s="335">
        <v>-5</v>
      </c>
      <c r="D31" s="335"/>
      <c r="E31" s="335">
        <v>-5</v>
      </c>
      <c r="F31" s="335"/>
      <c r="G31" s="336">
        <v>-5</v>
      </c>
      <c r="I31" s="20"/>
    </row>
    <row r="32" spans="2:9" x14ac:dyDescent="0.3">
      <c r="B32" s="41"/>
      <c r="C32" s="84"/>
      <c r="D32" s="84"/>
      <c r="E32" s="84"/>
      <c r="F32" s="84"/>
      <c r="G32" s="85"/>
    </row>
    <row r="33" spans="2:7" x14ac:dyDescent="0.3">
      <c r="B33" s="54" t="s">
        <v>180</v>
      </c>
      <c r="C33" s="160">
        <f>C24+C27</f>
        <v>32.133166666666661</v>
      </c>
      <c r="D33" s="160"/>
      <c r="E33" s="160">
        <f>E24+E27</f>
        <v>44.68045</v>
      </c>
      <c r="F33" s="160"/>
      <c r="G33" s="161">
        <f>G24+G27</f>
        <v>97.912999999999982</v>
      </c>
    </row>
    <row r="34" spans="2:7" x14ac:dyDescent="0.3">
      <c r="B34" s="42"/>
      <c r="C34" s="86"/>
      <c r="D34" s="86"/>
      <c r="E34" s="86"/>
      <c r="F34" s="86"/>
      <c r="G34" s="87"/>
    </row>
    <row r="35" spans="2:7" x14ac:dyDescent="0.3">
      <c r="B35" s="68" t="s">
        <v>182</v>
      </c>
      <c r="C35" s="162">
        <f>C33*C3</f>
        <v>803.32916666666654</v>
      </c>
      <c r="D35" s="163"/>
      <c r="E35" s="162">
        <f>E33*E3</f>
        <v>2234.0225</v>
      </c>
      <c r="F35" s="163"/>
      <c r="G35" s="164">
        <f>G33*G3</f>
        <v>1174.9559999999997</v>
      </c>
    </row>
    <row r="36" spans="2:7" x14ac:dyDescent="0.3">
      <c r="B36" s="33"/>
      <c r="C36" s="29"/>
      <c r="D36" s="29"/>
      <c r="E36" s="29"/>
      <c r="F36" s="29"/>
      <c r="G36" s="35"/>
    </row>
    <row r="37" spans="2:7" x14ac:dyDescent="0.3">
      <c r="B37" s="72" t="s">
        <v>217</v>
      </c>
      <c r="C37" s="165">
        <f>ROUNDUP($J$8/C33,0)</f>
        <v>934</v>
      </c>
      <c r="D37" s="165"/>
      <c r="E37" s="165">
        <f>ROUNDUP($J$8/E33,0)</f>
        <v>672</v>
      </c>
      <c r="F37" s="165"/>
      <c r="G37" s="73">
        <f>ROUNDUP($J$8/G33,0)</f>
        <v>307</v>
      </c>
    </row>
    <row r="38" spans="2:7" x14ac:dyDescent="0.3">
      <c r="B38" s="33"/>
      <c r="C38" s="29"/>
      <c r="D38" s="29"/>
      <c r="E38" s="29"/>
      <c r="F38" s="29"/>
      <c r="G38" s="35"/>
    </row>
    <row r="39" spans="2:7" x14ac:dyDescent="0.3">
      <c r="B39" s="175" t="s">
        <v>218</v>
      </c>
      <c r="C39" s="176">
        <f>ROUNDUP(C37/C3,0)</f>
        <v>38</v>
      </c>
      <c r="D39" s="176"/>
      <c r="E39" s="176">
        <f>ROUNDUP(E37/E3,0)</f>
        <v>14</v>
      </c>
      <c r="F39" s="176"/>
      <c r="G39" s="177">
        <f>ROUNDUP(G37/G3,0)</f>
        <v>26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0FCA-055B-3642-BA74-0A17D63C243C}">
  <dimension ref="B2:AM54"/>
  <sheetViews>
    <sheetView showGridLines="0" topLeftCell="A25" zoomScale="90" zoomScaleNormal="90" workbookViewId="0">
      <selection activeCell="G33" sqref="G33"/>
    </sheetView>
  </sheetViews>
  <sheetFormatPr defaultColWidth="11.19921875" defaultRowHeight="15.6" x14ac:dyDescent="0.3"/>
  <cols>
    <col min="2" max="2" width="37.69921875" customWidth="1"/>
    <col min="3" max="3" width="17" bestFit="1" customWidth="1"/>
    <col min="4" max="4" width="5" customWidth="1"/>
    <col min="5" max="5" width="17" customWidth="1"/>
    <col min="6" max="6" width="5" customWidth="1"/>
    <col min="7" max="7" width="12.19921875" bestFit="1" customWidth="1"/>
    <col min="8" max="8" width="6.296875" customWidth="1"/>
    <col min="9" max="9" width="30" customWidth="1"/>
    <col min="10" max="39" width="11.796875" style="2" customWidth="1"/>
  </cols>
  <sheetData>
    <row r="2" spans="2:39" x14ac:dyDescent="0.3">
      <c r="B2" s="110"/>
      <c r="C2" s="81" t="s">
        <v>219</v>
      </c>
      <c r="D2" s="81"/>
      <c r="E2" s="82" t="s">
        <v>220</v>
      </c>
      <c r="F2" s="2"/>
      <c r="G2" s="2"/>
    </row>
    <row r="3" spans="2:39" x14ac:dyDescent="0.3">
      <c r="B3" s="48" t="s">
        <v>181</v>
      </c>
      <c r="C3" s="170">
        <v>50</v>
      </c>
      <c r="D3" s="170"/>
      <c r="E3" s="50">
        <v>60</v>
      </c>
      <c r="F3" s="2"/>
      <c r="G3" s="2"/>
    </row>
    <row r="4" spans="2:39" ht="16.2" thickBot="1" x14ac:dyDescent="0.35">
      <c r="B4" s="114"/>
      <c r="C4" s="15"/>
      <c r="D4" s="15"/>
      <c r="E4" s="115"/>
      <c r="F4" s="4"/>
      <c r="G4" s="4"/>
      <c r="I4" s="59"/>
      <c r="J4" s="81" t="s">
        <v>183</v>
      </c>
      <c r="K4" s="81" t="s">
        <v>184</v>
      </c>
      <c r="L4" s="81" t="s">
        <v>185</v>
      </c>
      <c r="M4" s="81" t="s">
        <v>186</v>
      </c>
      <c r="N4" s="81" t="s">
        <v>187</v>
      </c>
      <c r="O4" s="81" t="s">
        <v>188</v>
      </c>
      <c r="P4" s="81" t="s">
        <v>189</v>
      </c>
      <c r="Q4" s="81" t="s">
        <v>190</v>
      </c>
      <c r="R4" s="81" t="s">
        <v>191</v>
      </c>
      <c r="S4" s="81" t="s">
        <v>192</v>
      </c>
      <c r="T4" s="81" t="s">
        <v>193</v>
      </c>
      <c r="U4" s="81" t="s">
        <v>194</v>
      </c>
      <c r="V4" s="81" t="s">
        <v>195</v>
      </c>
      <c r="W4" s="81" t="s">
        <v>196</v>
      </c>
      <c r="X4" s="81" t="s">
        <v>197</v>
      </c>
      <c r="Y4" s="81" t="s">
        <v>198</v>
      </c>
      <c r="Z4" s="81" t="s">
        <v>199</v>
      </c>
      <c r="AA4" s="81" t="s">
        <v>200</v>
      </c>
      <c r="AB4" s="81" t="s">
        <v>201</v>
      </c>
      <c r="AC4" s="81" t="s">
        <v>202</v>
      </c>
      <c r="AD4" s="81" t="s">
        <v>203</v>
      </c>
      <c r="AE4" s="81" t="s">
        <v>204</v>
      </c>
      <c r="AF4" s="81" t="s">
        <v>205</v>
      </c>
      <c r="AG4" s="81" t="s">
        <v>206</v>
      </c>
      <c r="AH4" s="81" t="s">
        <v>207</v>
      </c>
      <c r="AI4" s="81" t="s">
        <v>208</v>
      </c>
      <c r="AJ4" s="81" t="s">
        <v>209</v>
      </c>
      <c r="AK4" s="81" t="s">
        <v>210</v>
      </c>
      <c r="AL4" s="81" t="s">
        <v>211</v>
      </c>
      <c r="AM4" s="82" t="s">
        <v>212</v>
      </c>
    </row>
    <row r="5" spans="2:39" x14ac:dyDescent="0.3">
      <c r="B5" s="116" t="s">
        <v>221</v>
      </c>
      <c r="C5" s="14"/>
      <c r="D5" s="14"/>
      <c r="E5" s="117">
        <v>0.1</v>
      </c>
      <c r="F5" s="2"/>
      <c r="G5" s="2"/>
      <c r="I5" s="385" t="s">
        <v>219</v>
      </c>
      <c r="J5" s="411">
        <f>C41</f>
        <v>1339.9916666666663</v>
      </c>
      <c r="K5" s="411">
        <f t="shared" ref="K5:AM5" si="0">J5+$C$41</f>
        <v>2679.9833333333327</v>
      </c>
      <c r="L5" s="411">
        <f t="shared" si="0"/>
        <v>4019.974999999999</v>
      </c>
      <c r="M5" s="411">
        <f t="shared" si="0"/>
        <v>5359.9666666666653</v>
      </c>
      <c r="N5" s="411">
        <f t="shared" si="0"/>
        <v>6699.9583333333321</v>
      </c>
      <c r="O5" s="411">
        <f t="shared" si="0"/>
        <v>8039.9499999999989</v>
      </c>
      <c r="P5" s="411">
        <f t="shared" si="0"/>
        <v>9379.9416666666657</v>
      </c>
      <c r="Q5" s="411">
        <f t="shared" si="0"/>
        <v>10719.933333333332</v>
      </c>
      <c r="R5" s="411">
        <f t="shared" si="0"/>
        <v>12059.924999999999</v>
      </c>
      <c r="S5" s="411">
        <f t="shared" si="0"/>
        <v>13399.916666666666</v>
      </c>
      <c r="T5" s="411">
        <f t="shared" si="0"/>
        <v>14739.908333333333</v>
      </c>
      <c r="U5" s="411">
        <f t="shared" si="0"/>
        <v>16079.9</v>
      </c>
      <c r="V5" s="411">
        <f t="shared" si="0"/>
        <v>17419.891666666666</v>
      </c>
      <c r="W5" s="411">
        <f t="shared" si="0"/>
        <v>18759.883333333331</v>
      </c>
      <c r="X5" s="411">
        <f t="shared" si="0"/>
        <v>20099.874999999996</v>
      </c>
      <c r="Y5" s="411">
        <f t="shared" si="0"/>
        <v>21439.866666666661</v>
      </c>
      <c r="Z5" s="411">
        <f t="shared" si="0"/>
        <v>22779.858333333326</v>
      </c>
      <c r="AA5" s="411">
        <f t="shared" si="0"/>
        <v>24119.849999999991</v>
      </c>
      <c r="AB5" s="411">
        <f t="shared" si="0"/>
        <v>25459.841666666656</v>
      </c>
      <c r="AC5" s="411">
        <f t="shared" si="0"/>
        <v>26799.833333333321</v>
      </c>
      <c r="AD5" s="411">
        <f t="shared" si="0"/>
        <v>28139.824999999986</v>
      </c>
      <c r="AE5" s="411">
        <f t="shared" si="0"/>
        <v>29479.816666666651</v>
      </c>
      <c r="AF5" s="411">
        <f t="shared" si="0"/>
        <v>30819.808333333316</v>
      </c>
      <c r="AG5" s="411">
        <f t="shared" si="0"/>
        <v>32159.799999999981</v>
      </c>
      <c r="AH5" s="411">
        <f t="shared" si="0"/>
        <v>33499.79166666665</v>
      </c>
      <c r="AI5" s="411">
        <f t="shared" si="0"/>
        <v>34839.783333333318</v>
      </c>
      <c r="AJ5" s="411">
        <f t="shared" si="0"/>
        <v>36179.774999999987</v>
      </c>
      <c r="AK5" s="411">
        <f t="shared" si="0"/>
        <v>37519.766666666656</v>
      </c>
      <c r="AL5" s="411">
        <f t="shared" si="0"/>
        <v>38859.758333333324</v>
      </c>
      <c r="AM5" s="412">
        <f t="shared" si="0"/>
        <v>40199.749999999993</v>
      </c>
    </row>
    <row r="6" spans="2:39" x14ac:dyDescent="0.3">
      <c r="B6" s="114"/>
      <c r="C6" s="15"/>
      <c r="D6" s="15"/>
      <c r="E6" s="115"/>
      <c r="F6" s="2"/>
      <c r="G6" s="6"/>
      <c r="I6" s="36" t="s">
        <v>220</v>
      </c>
      <c r="J6" s="108">
        <f>E41</f>
        <v>1148.5243333333331</v>
      </c>
      <c r="K6" s="108">
        <f t="shared" ref="K6:AM6" si="1">J6+$E$41</f>
        <v>2297.0486666666661</v>
      </c>
      <c r="L6" s="108">
        <f t="shared" si="1"/>
        <v>3445.5729999999994</v>
      </c>
      <c r="M6" s="108">
        <f t="shared" si="1"/>
        <v>4594.0973333333322</v>
      </c>
      <c r="N6" s="108">
        <f t="shared" si="1"/>
        <v>5742.6216666666651</v>
      </c>
      <c r="O6" s="108">
        <f t="shared" si="1"/>
        <v>6891.1459999999979</v>
      </c>
      <c r="P6" s="108">
        <f t="shared" si="1"/>
        <v>8039.6703333333307</v>
      </c>
      <c r="Q6" s="108">
        <f t="shared" si="1"/>
        <v>9188.1946666666645</v>
      </c>
      <c r="R6" s="108">
        <f t="shared" si="1"/>
        <v>10336.718999999997</v>
      </c>
      <c r="S6" s="108">
        <f t="shared" si="1"/>
        <v>11485.24333333333</v>
      </c>
      <c r="T6" s="108">
        <f t="shared" si="1"/>
        <v>12633.767666666663</v>
      </c>
      <c r="U6" s="108">
        <f t="shared" si="1"/>
        <v>13782.291999999996</v>
      </c>
      <c r="V6" s="108">
        <f t="shared" si="1"/>
        <v>14930.816333333329</v>
      </c>
      <c r="W6" s="108">
        <f t="shared" si="1"/>
        <v>16079.340666666661</v>
      </c>
      <c r="X6" s="108">
        <f t="shared" si="1"/>
        <v>17227.864999999994</v>
      </c>
      <c r="Y6" s="108">
        <f t="shared" si="1"/>
        <v>18376.389333333329</v>
      </c>
      <c r="Z6" s="108">
        <f t="shared" si="1"/>
        <v>19524.913666666664</v>
      </c>
      <c r="AA6" s="108">
        <f t="shared" si="1"/>
        <v>20673.437999999998</v>
      </c>
      <c r="AB6" s="108">
        <f t="shared" si="1"/>
        <v>21821.962333333333</v>
      </c>
      <c r="AC6" s="108">
        <f t="shared" si="1"/>
        <v>22970.486666666668</v>
      </c>
      <c r="AD6" s="108">
        <f t="shared" si="1"/>
        <v>24119.011000000002</v>
      </c>
      <c r="AE6" s="108">
        <f t="shared" si="1"/>
        <v>25267.535333333337</v>
      </c>
      <c r="AF6" s="108">
        <f t="shared" si="1"/>
        <v>26416.059666666672</v>
      </c>
      <c r="AG6" s="108">
        <f t="shared" si="1"/>
        <v>27564.584000000006</v>
      </c>
      <c r="AH6" s="108">
        <f t="shared" si="1"/>
        <v>28713.108333333341</v>
      </c>
      <c r="AI6" s="108">
        <f t="shared" si="1"/>
        <v>29861.632666666676</v>
      </c>
      <c r="AJ6" s="108">
        <f t="shared" si="1"/>
        <v>31010.15700000001</v>
      </c>
      <c r="AK6" s="108">
        <f t="shared" si="1"/>
        <v>32158.681333333345</v>
      </c>
      <c r="AL6" s="108">
        <f t="shared" si="1"/>
        <v>33307.205666666676</v>
      </c>
      <c r="AM6" s="109">
        <f t="shared" si="1"/>
        <v>34455.73000000001</v>
      </c>
    </row>
    <row r="7" spans="2:39" ht="31.8" thickBot="1" x14ac:dyDescent="0.35">
      <c r="B7" s="118" t="s">
        <v>222</v>
      </c>
      <c r="C7" s="16"/>
      <c r="D7" s="16"/>
      <c r="E7" s="119">
        <f>ROUNDUP(C41/E39,0)/$C$3-1</f>
        <v>0.41999999999999993</v>
      </c>
    </row>
    <row r="8" spans="2:39" x14ac:dyDescent="0.3">
      <c r="B8" s="120"/>
      <c r="C8" s="15"/>
      <c r="D8" s="15"/>
      <c r="E8" s="121"/>
      <c r="I8" s="209" t="s">
        <v>213</v>
      </c>
      <c r="J8" s="210">
        <f>30000-C48</f>
        <v>26000</v>
      </c>
      <c r="K8" s="210">
        <f>J8</f>
        <v>26000</v>
      </c>
      <c r="L8" s="210">
        <f>K8</f>
        <v>26000</v>
      </c>
      <c r="M8" s="210">
        <f t="shared" ref="M8:AM8" si="2">L8</f>
        <v>26000</v>
      </c>
      <c r="N8" s="210">
        <f t="shared" si="2"/>
        <v>26000</v>
      </c>
      <c r="O8" s="210">
        <f t="shared" si="2"/>
        <v>26000</v>
      </c>
      <c r="P8" s="210">
        <f t="shared" si="2"/>
        <v>26000</v>
      </c>
      <c r="Q8" s="210">
        <f t="shared" si="2"/>
        <v>26000</v>
      </c>
      <c r="R8" s="210">
        <f t="shared" si="2"/>
        <v>26000</v>
      </c>
      <c r="S8" s="210">
        <f t="shared" si="2"/>
        <v>26000</v>
      </c>
      <c r="T8" s="210">
        <f t="shared" si="2"/>
        <v>26000</v>
      </c>
      <c r="U8" s="210">
        <f t="shared" si="2"/>
        <v>26000</v>
      </c>
      <c r="V8" s="210">
        <f t="shared" si="2"/>
        <v>26000</v>
      </c>
      <c r="W8" s="210">
        <f t="shared" si="2"/>
        <v>26000</v>
      </c>
      <c r="X8" s="210">
        <f t="shared" si="2"/>
        <v>26000</v>
      </c>
      <c r="Y8" s="210">
        <f t="shared" si="2"/>
        <v>26000</v>
      </c>
      <c r="Z8" s="210">
        <f t="shared" si="2"/>
        <v>26000</v>
      </c>
      <c r="AA8" s="210">
        <f t="shared" si="2"/>
        <v>26000</v>
      </c>
      <c r="AB8" s="210">
        <f t="shared" si="2"/>
        <v>26000</v>
      </c>
      <c r="AC8" s="210">
        <f t="shared" si="2"/>
        <v>26000</v>
      </c>
      <c r="AD8" s="210">
        <f t="shared" si="2"/>
        <v>26000</v>
      </c>
      <c r="AE8" s="210">
        <f t="shared" si="2"/>
        <v>26000</v>
      </c>
      <c r="AF8" s="210">
        <f t="shared" si="2"/>
        <v>26000</v>
      </c>
      <c r="AG8" s="210">
        <f t="shared" si="2"/>
        <v>26000</v>
      </c>
      <c r="AH8" s="210">
        <f t="shared" si="2"/>
        <v>26000</v>
      </c>
      <c r="AI8" s="210">
        <f t="shared" si="2"/>
        <v>26000</v>
      </c>
      <c r="AJ8" s="210">
        <f t="shared" si="2"/>
        <v>26000</v>
      </c>
      <c r="AK8" s="210">
        <f t="shared" si="2"/>
        <v>26000</v>
      </c>
      <c r="AL8" s="210">
        <f t="shared" si="2"/>
        <v>26000</v>
      </c>
      <c r="AM8" s="211">
        <f t="shared" si="2"/>
        <v>26000</v>
      </c>
    </row>
    <row r="9" spans="2:39" x14ac:dyDescent="0.3">
      <c r="B9" s="142" t="s">
        <v>178</v>
      </c>
      <c r="C9" s="144">
        <v>100</v>
      </c>
      <c r="D9" s="144"/>
      <c r="E9" s="145">
        <f>C9*(1-E5)</f>
        <v>90</v>
      </c>
      <c r="F9" s="2"/>
      <c r="G9" s="2"/>
      <c r="I9" s="34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7"/>
    </row>
    <row r="10" spans="2:39" x14ac:dyDescent="0.3">
      <c r="B10" s="111"/>
      <c r="C10" s="112"/>
      <c r="D10" s="112"/>
      <c r="E10" s="113"/>
      <c r="F10" s="11"/>
      <c r="G10" s="11"/>
      <c r="I10" s="413" t="s">
        <v>224</v>
      </c>
      <c r="J10" s="411">
        <f>C3</f>
        <v>50</v>
      </c>
      <c r="K10" s="411">
        <f>J10+$C$3</f>
        <v>100</v>
      </c>
      <c r="L10" s="411">
        <f t="shared" ref="L10:AM10" si="3">K10+$C$3</f>
        <v>150</v>
      </c>
      <c r="M10" s="411">
        <f t="shared" si="3"/>
        <v>200</v>
      </c>
      <c r="N10" s="411">
        <f t="shared" si="3"/>
        <v>250</v>
      </c>
      <c r="O10" s="411">
        <f t="shared" si="3"/>
        <v>300</v>
      </c>
      <c r="P10" s="411">
        <f t="shared" si="3"/>
        <v>350</v>
      </c>
      <c r="Q10" s="411">
        <f t="shared" si="3"/>
        <v>400</v>
      </c>
      <c r="R10" s="411">
        <f t="shared" si="3"/>
        <v>450</v>
      </c>
      <c r="S10" s="411">
        <f t="shared" si="3"/>
        <v>500</v>
      </c>
      <c r="T10" s="411">
        <f t="shared" si="3"/>
        <v>550</v>
      </c>
      <c r="U10" s="411">
        <f t="shared" si="3"/>
        <v>600</v>
      </c>
      <c r="V10" s="411">
        <f t="shared" si="3"/>
        <v>650</v>
      </c>
      <c r="W10" s="411">
        <f t="shared" si="3"/>
        <v>700</v>
      </c>
      <c r="X10" s="411">
        <f t="shared" si="3"/>
        <v>750</v>
      </c>
      <c r="Y10" s="411">
        <f t="shared" si="3"/>
        <v>800</v>
      </c>
      <c r="Z10" s="411">
        <f t="shared" si="3"/>
        <v>850</v>
      </c>
      <c r="AA10" s="411">
        <f t="shared" si="3"/>
        <v>900</v>
      </c>
      <c r="AB10" s="411">
        <f t="shared" si="3"/>
        <v>950</v>
      </c>
      <c r="AC10" s="411">
        <f t="shared" si="3"/>
        <v>1000</v>
      </c>
      <c r="AD10" s="411">
        <f t="shared" si="3"/>
        <v>1050</v>
      </c>
      <c r="AE10" s="411">
        <f t="shared" si="3"/>
        <v>1100</v>
      </c>
      <c r="AF10" s="411">
        <f t="shared" si="3"/>
        <v>1150</v>
      </c>
      <c r="AG10" s="411">
        <f t="shared" si="3"/>
        <v>1200</v>
      </c>
      <c r="AH10" s="411">
        <f t="shared" si="3"/>
        <v>1250</v>
      </c>
      <c r="AI10" s="411">
        <f t="shared" si="3"/>
        <v>1300</v>
      </c>
      <c r="AJ10" s="411">
        <f t="shared" si="3"/>
        <v>1350</v>
      </c>
      <c r="AK10" s="411">
        <f t="shared" si="3"/>
        <v>1400</v>
      </c>
      <c r="AL10" s="411">
        <f t="shared" si="3"/>
        <v>1450</v>
      </c>
      <c r="AM10" s="411">
        <f t="shared" si="3"/>
        <v>1500</v>
      </c>
    </row>
    <row r="11" spans="2:39" x14ac:dyDescent="0.3">
      <c r="B11" s="142" t="s">
        <v>173</v>
      </c>
      <c r="C11" s="146">
        <v>0.03</v>
      </c>
      <c r="D11" s="147"/>
      <c r="E11" s="148">
        <v>0.03</v>
      </c>
      <c r="F11" s="2"/>
      <c r="G11" s="2"/>
      <c r="I11" s="414" t="s">
        <v>225</v>
      </c>
      <c r="J11" s="108">
        <f>E3</f>
        <v>60</v>
      </c>
      <c r="K11" s="108">
        <f>J11+$E$3</f>
        <v>120</v>
      </c>
      <c r="L11" s="108">
        <f t="shared" ref="L11:AM11" si="4">K11+$E$3</f>
        <v>180</v>
      </c>
      <c r="M11" s="108">
        <f t="shared" si="4"/>
        <v>240</v>
      </c>
      <c r="N11" s="108">
        <f t="shared" si="4"/>
        <v>300</v>
      </c>
      <c r="O11" s="108">
        <f t="shared" si="4"/>
        <v>360</v>
      </c>
      <c r="P11" s="108">
        <f t="shared" si="4"/>
        <v>420</v>
      </c>
      <c r="Q11" s="108">
        <f t="shared" si="4"/>
        <v>480</v>
      </c>
      <c r="R11" s="108">
        <f t="shared" si="4"/>
        <v>540</v>
      </c>
      <c r="S11" s="108">
        <f t="shared" si="4"/>
        <v>600</v>
      </c>
      <c r="T11" s="108">
        <f t="shared" si="4"/>
        <v>660</v>
      </c>
      <c r="U11" s="108">
        <f t="shared" si="4"/>
        <v>720</v>
      </c>
      <c r="V11" s="108">
        <f t="shared" si="4"/>
        <v>780</v>
      </c>
      <c r="W11" s="108">
        <f t="shared" si="4"/>
        <v>840</v>
      </c>
      <c r="X11" s="108">
        <f t="shared" si="4"/>
        <v>900</v>
      </c>
      <c r="Y11" s="108">
        <f t="shared" si="4"/>
        <v>960</v>
      </c>
      <c r="Z11" s="108">
        <f t="shared" si="4"/>
        <v>1020</v>
      </c>
      <c r="AA11" s="108">
        <f t="shared" si="4"/>
        <v>1080</v>
      </c>
      <c r="AB11" s="108">
        <f t="shared" si="4"/>
        <v>1140</v>
      </c>
      <c r="AC11" s="108">
        <f t="shared" si="4"/>
        <v>1200</v>
      </c>
      <c r="AD11" s="108">
        <f t="shared" si="4"/>
        <v>1260</v>
      </c>
      <c r="AE11" s="108">
        <f t="shared" si="4"/>
        <v>1320</v>
      </c>
      <c r="AF11" s="108">
        <f t="shared" si="4"/>
        <v>1380</v>
      </c>
      <c r="AG11" s="108">
        <f t="shared" si="4"/>
        <v>1440</v>
      </c>
      <c r="AH11" s="108">
        <f t="shared" si="4"/>
        <v>1500</v>
      </c>
      <c r="AI11" s="108">
        <f t="shared" si="4"/>
        <v>1560</v>
      </c>
      <c r="AJ11" s="108">
        <f t="shared" si="4"/>
        <v>1620</v>
      </c>
      <c r="AK11" s="108">
        <f t="shared" si="4"/>
        <v>1680</v>
      </c>
      <c r="AL11" s="108">
        <f t="shared" si="4"/>
        <v>1740</v>
      </c>
      <c r="AM11" s="108">
        <f t="shared" si="4"/>
        <v>1800</v>
      </c>
    </row>
    <row r="12" spans="2:39" x14ac:dyDescent="0.3">
      <c r="B12" s="111"/>
      <c r="C12" s="112"/>
      <c r="D12" s="112"/>
      <c r="E12" s="113"/>
      <c r="F12" s="6"/>
      <c r="G12" s="6"/>
      <c r="I12" s="28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</row>
    <row r="13" spans="2:39" x14ac:dyDescent="0.3">
      <c r="B13" s="142" t="s">
        <v>223</v>
      </c>
      <c r="C13" s="149">
        <v>3</v>
      </c>
      <c r="D13" s="149"/>
      <c r="E13" s="150">
        <f>ABS(E9/E28)</f>
        <v>2.6999999999999997</v>
      </c>
      <c r="F13" s="6"/>
      <c r="G13" s="6"/>
    </row>
    <row r="14" spans="2:39" x14ac:dyDescent="0.3">
      <c r="B14" s="111"/>
      <c r="C14" s="112"/>
      <c r="D14" s="112"/>
      <c r="E14" s="113"/>
      <c r="F14" s="4"/>
      <c r="G14" s="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2:39" x14ac:dyDescent="0.3">
      <c r="B15" s="142" t="s">
        <v>172</v>
      </c>
      <c r="C15" s="146">
        <v>0.02</v>
      </c>
      <c r="D15" s="146"/>
      <c r="E15" s="148">
        <v>0.02</v>
      </c>
    </row>
    <row r="16" spans="2:39" x14ac:dyDescent="0.3">
      <c r="B16" s="142" t="s">
        <v>175</v>
      </c>
      <c r="C16" s="146">
        <v>0.01</v>
      </c>
      <c r="D16" s="146"/>
      <c r="E16" s="148">
        <v>0.01</v>
      </c>
      <c r="F16" s="2"/>
      <c r="G16" s="2"/>
    </row>
    <row r="17" spans="2:9" x14ac:dyDescent="0.3">
      <c r="B17" s="151" t="s">
        <v>177</v>
      </c>
      <c r="C17" s="152">
        <v>15</v>
      </c>
      <c r="D17" s="152"/>
      <c r="E17" s="153">
        <v>15</v>
      </c>
      <c r="F17" s="7"/>
      <c r="G17" s="4"/>
    </row>
    <row r="18" spans="2:9" x14ac:dyDescent="0.3">
      <c r="B18" s="3"/>
      <c r="C18" s="2"/>
      <c r="D18" s="2"/>
      <c r="F18" s="7"/>
      <c r="G18" s="7"/>
    </row>
    <row r="19" spans="2:9" s="2" customFormat="1" x14ac:dyDescent="0.3">
      <c r="B19" s="122"/>
      <c r="C19" s="81" t="s">
        <v>219</v>
      </c>
      <c r="D19" s="81"/>
      <c r="E19" s="82" t="s">
        <v>220</v>
      </c>
      <c r="F19" s="7"/>
      <c r="G19" s="7"/>
      <c r="H19"/>
      <c r="I19"/>
    </row>
    <row r="20" spans="2:9" s="2" customFormat="1" x14ac:dyDescent="0.3">
      <c r="B20" s="137" t="s">
        <v>42</v>
      </c>
      <c r="C20" s="144">
        <f>C9</f>
        <v>100</v>
      </c>
      <c r="D20" s="138"/>
      <c r="E20" s="145">
        <f>E9</f>
        <v>90</v>
      </c>
      <c r="F20" s="7"/>
      <c r="G20" s="7"/>
      <c r="H20"/>
      <c r="I20"/>
    </row>
    <row r="21" spans="2:9" s="2" customFormat="1" x14ac:dyDescent="0.3">
      <c r="B21" s="111"/>
      <c r="C21" s="124"/>
      <c r="D21" s="124"/>
      <c r="E21" s="125"/>
      <c r="F21" s="7"/>
      <c r="G21" s="7"/>
      <c r="H21"/>
      <c r="I21"/>
    </row>
    <row r="22" spans="2:9" s="2" customFormat="1" x14ac:dyDescent="0.3">
      <c r="B22" s="137" t="s">
        <v>47</v>
      </c>
      <c r="C22" s="138">
        <f>-8.65%*C20</f>
        <v>-8.65</v>
      </c>
      <c r="D22" s="138"/>
      <c r="E22" s="139">
        <f>-8.65%*E20</f>
        <v>-7.785000000000001</v>
      </c>
      <c r="F22" s="7"/>
      <c r="G22" s="7"/>
      <c r="H22"/>
      <c r="I22"/>
    </row>
    <row r="23" spans="2:9" s="2" customFormat="1" x14ac:dyDescent="0.3">
      <c r="B23" s="111"/>
      <c r="C23" s="124"/>
      <c r="D23" s="124"/>
      <c r="E23" s="125"/>
      <c r="F23" s="8"/>
      <c r="G23" s="8"/>
      <c r="H23"/>
      <c r="I23"/>
    </row>
    <row r="24" spans="2:9" s="2" customFormat="1" x14ac:dyDescent="0.3">
      <c r="B24" s="137" t="s">
        <v>53</v>
      </c>
      <c r="C24" s="138">
        <f>-C11*C9</f>
        <v>-3</v>
      </c>
      <c r="D24" s="138"/>
      <c r="E24" s="139">
        <f>-E11*E9</f>
        <v>-2.6999999999999997</v>
      </c>
      <c r="F24" s="7"/>
      <c r="G24" s="7"/>
      <c r="H24"/>
      <c r="I24"/>
    </row>
    <row r="25" spans="2:9" s="2" customFormat="1" x14ac:dyDescent="0.3">
      <c r="B25" s="111"/>
      <c r="C25" s="124"/>
      <c r="D25" s="124"/>
      <c r="E25" s="125"/>
      <c r="F25" s="7"/>
      <c r="G25" s="7"/>
      <c r="H25"/>
      <c r="I25"/>
    </row>
    <row r="26" spans="2:9" s="2" customFormat="1" x14ac:dyDescent="0.3">
      <c r="B26" s="137" t="s">
        <v>58</v>
      </c>
      <c r="C26" s="140">
        <f>C20+C22+C24</f>
        <v>88.35</v>
      </c>
      <c r="D26" s="140"/>
      <c r="E26" s="141">
        <f>E20+E22+E24</f>
        <v>79.515000000000001</v>
      </c>
      <c r="F26" s="8"/>
      <c r="G26" s="8"/>
      <c r="H26"/>
      <c r="I26"/>
    </row>
    <row r="27" spans="2:9" s="2" customFormat="1" x14ac:dyDescent="0.3">
      <c r="B27" s="111"/>
      <c r="C27" s="124"/>
      <c r="D27" s="124"/>
      <c r="E27" s="125"/>
      <c r="F27" s="9"/>
      <c r="G27" s="9"/>
      <c r="H27"/>
      <c r="I27"/>
    </row>
    <row r="28" spans="2:9" s="2" customFormat="1" ht="31.2" x14ac:dyDescent="0.3">
      <c r="B28" s="48" t="s">
        <v>60</v>
      </c>
      <c r="C28" s="154">
        <f>-C20/C13</f>
        <v>-33.333333333333336</v>
      </c>
      <c r="D28" s="154"/>
      <c r="E28" s="155">
        <f>C28</f>
        <v>-33.333333333333336</v>
      </c>
      <c r="H28"/>
      <c r="I28"/>
    </row>
    <row r="29" spans="2:9" s="2" customFormat="1" x14ac:dyDescent="0.3">
      <c r="B29" s="49" t="s">
        <v>62</v>
      </c>
      <c r="C29" s="156">
        <f>C26+C28</f>
        <v>55.016666666666659</v>
      </c>
      <c r="D29" s="156"/>
      <c r="E29" s="157">
        <f>E26+E28</f>
        <v>46.181666666666665</v>
      </c>
      <c r="F29" s="7"/>
      <c r="G29" s="7"/>
      <c r="H29"/>
      <c r="I29"/>
    </row>
    <row r="30" spans="2:9" s="2" customFormat="1" x14ac:dyDescent="0.3">
      <c r="B30" s="49" t="s">
        <v>64</v>
      </c>
      <c r="C30" s="158">
        <f>C29/C26</f>
        <v>0.62271269571778909</v>
      </c>
      <c r="D30" s="158"/>
      <c r="E30" s="159">
        <f>E29/E26</f>
        <v>0.58079188413087679</v>
      </c>
      <c r="F30" s="7"/>
      <c r="G30" s="7"/>
      <c r="H30"/>
      <c r="I30"/>
    </row>
    <row r="31" spans="2:9" s="2" customFormat="1" x14ac:dyDescent="0.3">
      <c r="B31" s="111"/>
      <c r="C31" s="112"/>
      <c r="D31" s="112"/>
      <c r="E31" s="113"/>
      <c r="F31" s="7"/>
      <c r="G31" s="7"/>
      <c r="H31"/>
      <c r="I31"/>
    </row>
    <row r="32" spans="2:9" s="2" customFormat="1" x14ac:dyDescent="0.3">
      <c r="B32" s="143" t="s">
        <v>68</v>
      </c>
      <c r="C32" s="138">
        <f>SUM(C33:C37)</f>
        <v>-28.21683333333333</v>
      </c>
      <c r="D32" s="138"/>
      <c r="E32" s="139">
        <f>SUM(E33:E37)</f>
        <v>-27.039594444444447</v>
      </c>
      <c r="F32" s="7"/>
      <c r="G32" s="7"/>
      <c r="H32"/>
      <c r="I32"/>
    </row>
    <row r="33" spans="2:9" s="2" customFormat="1" x14ac:dyDescent="0.3">
      <c r="B33" s="334" t="s">
        <v>70</v>
      </c>
      <c r="C33" s="335">
        <f>-C16*C26</f>
        <v>-0.88349999999999995</v>
      </c>
      <c r="D33" s="335"/>
      <c r="E33" s="336">
        <f>-E16*E26</f>
        <v>-0.79515000000000002</v>
      </c>
      <c r="F33" s="7"/>
      <c r="G33" s="7"/>
      <c r="H33"/>
      <c r="I33" s="3"/>
    </row>
    <row r="34" spans="2:9" s="2" customFormat="1" x14ac:dyDescent="0.3">
      <c r="B34" s="334" t="s">
        <v>176</v>
      </c>
      <c r="C34" s="335">
        <f>-C17</f>
        <v>-15</v>
      </c>
      <c r="D34" s="335"/>
      <c r="E34" s="336">
        <f>-E17</f>
        <v>-15</v>
      </c>
      <c r="F34" s="7"/>
      <c r="G34" s="7"/>
      <c r="H34"/>
      <c r="I34"/>
    </row>
    <row r="35" spans="2:9" x14ac:dyDescent="0.3">
      <c r="B35" s="334" t="s">
        <v>72</v>
      </c>
      <c r="C35" s="335">
        <f>-C15*C20</f>
        <v>-2</v>
      </c>
      <c r="D35" s="335"/>
      <c r="E35" s="336">
        <f>-E15*E20</f>
        <v>-1.8</v>
      </c>
      <c r="F35" s="12"/>
      <c r="G35" s="12"/>
    </row>
    <row r="36" spans="2:9" x14ac:dyDescent="0.3">
      <c r="B36" s="334" t="s">
        <v>73</v>
      </c>
      <c r="C36" s="335">
        <v>-5</v>
      </c>
      <c r="D36" s="335"/>
      <c r="E36" s="336">
        <v>-5</v>
      </c>
      <c r="F36" s="10"/>
      <c r="G36" s="10"/>
    </row>
    <row r="37" spans="2:9" x14ac:dyDescent="0.3">
      <c r="B37" s="334" t="s">
        <v>226</v>
      </c>
      <c r="C37" s="335">
        <f>-C54</f>
        <v>-5.333333333333333</v>
      </c>
      <c r="D37" s="335"/>
      <c r="E37" s="336">
        <f>-E54</f>
        <v>-4.4444444444444446</v>
      </c>
      <c r="F37" s="10"/>
      <c r="G37" s="10"/>
    </row>
    <row r="38" spans="2:9" x14ac:dyDescent="0.3">
      <c r="B38" s="111"/>
      <c r="C38" s="124"/>
      <c r="D38" s="124"/>
      <c r="E38" s="125"/>
      <c r="G38" s="5"/>
    </row>
    <row r="39" spans="2:9" x14ac:dyDescent="0.3">
      <c r="B39" s="54" t="s">
        <v>180</v>
      </c>
      <c r="C39" s="160">
        <f>C29+C32</f>
        <v>26.799833333333329</v>
      </c>
      <c r="D39" s="160"/>
      <c r="E39" s="161">
        <f>E29+E32</f>
        <v>19.142072222222218</v>
      </c>
    </row>
    <row r="40" spans="2:9" x14ac:dyDescent="0.3">
      <c r="B40" s="123"/>
      <c r="C40" s="126">
        <f>C39/C26</f>
        <v>0.30333710620637611</v>
      </c>
      <c r="D40" s="126"/>
      <c r="E40" s="127">
        <f>E39/E26</f>
        <v>0.2407353609032537</v>
      </c>
      <c r="F40" s="1"/>
      <c r="G40" s="1"/>
    </row>
    <row r="41" spans="2:9" x14ac:dyDescent="0.3">
      <c r="B41" s="68" t="s">
        <v>182</v>
      </c>
      <c r="C41" s="162">
        <f>C39*C3</f>
        <v>1339.9916666666663</v>
      </c>
      <c r="D41" s="163"/>
      <c r="E41" s="164">
        <f>E39*E3</f>
        <v>1148.5243333333331</v>
      </c>
    </row>
    <row r="42" spans="2:9" x14ac:dyDescent="0.3">
      <c r="B42" s="114"/>
      <c r="C42" s="15"/>
      <c r="D42" s="15"/>
      <c r="E42" s="115"/>
      <c r="F42" s="1"/>
      <c r="G42" s="1"/>
    </row>
    <row r="43" spans="2:9" x14ac:dyDescent="0.3">
      <c r="B43" s="72" t="s">
        <v>217</v>
      </c>
      <c r="C43" s="165">
        <f>ROUNDUP($J$8/C39,0)</f>
        <v>971</v>
      </c>
      <c r="D43" s="165"/>
      <c r="E43" s="73">
        <f>ROUNDUP($J$8/E39,0)</f>
        <v>1359</v>
      </c>
    </row>
    <row r="44" spans="2:9" x14ac:dyDescent="0.3">
      <c r="B44" s="114"/>
      <c r="C44" s="15"/>
      <c r="D44" s="15"/>
      <c r="E44" s="115"/>
    </row>
    <row r="45" spans="2:9" x14ac:dyDescent="0.3">
      <c r="B45" s="72" t="s">
        <v>218</v>
      </c>
      <c r="C45" s="165">
        <f>ROUNDUP(C43/C3,0)</f>
        <v>20</v>
      </c>
      <c r="D45" s="165"/>
      <c r="E45" s="73">
        <f>ROUNDUP(E43/E3,0)</f>
        <v>23</v>
      </c>
    </row>
    <row r="46" spans="2:9" x14ac:dyDescent="0.3">
      <c r="B46" s="114"/>
      <c r="C46" s="15"/>
      <c r="D46" s="15"/>
      <c r="E46" s="115"/>
    </row>
    <row r="47" spans="2:9" x14ac:dyDescent="0.3">
      <c r="B47" s="114"/>
      <c r="C47" s="15"/>
      <c r="D47" s="15"/>
      <c r="E47" s="115"/>
    </row>
    <row r="48" spans="2:9" x14ac:dyDescent="0.3">
      <c r="B48" s="68" t="s">
        <v>227</v>
      </c>
      <c r="C48" s="162">
        <v>4000</v>
      </c>
      <c r="D48" s="162"/>
      <c r="E48" s="164">
        <f>C48</f>
        <v>4000</v>
      </c>
    </row>
    <row r="49" spans="2:5" x14ac:dyDescent="0.3">
      <c r="B49" s="114"/>
      <c r="C49" s="128"/>
      <c r="D49" s="128"/>
      <c r="E49" s="129"/>
    </row>
    <row r="50" spans="2:5" x14ac:dyDescent="0.3">
      <c r="B50" s="68" t="s">
        <v>228</v>
      </c>
      <c r="C50" s="162">
        <f>IF(C48=0,0,8000)</f>
        <v>8000</v>
      </c>
      <c r="D50" s="162"/>
      <c r="E50" s="164">
        <f>IF(E48=0,0,8000)</f>
        <v>8000</v>
      </c>
    </row>
    <row r="51" spans="2:5" x14ac:dyDescent="0.3">
      <c r="B51" s="114"/>
      <c r="C51" s="15"/>
      <c r="D51" s="15"/>
      <c r="E51" s="115"/>
    </row>
    <row r="52" spans="2:5" x14ac:dyDescent="0.3">
      <c r="B52" s="68" t="s">
        <v>230</v>
      </c>
      <c r="C52" s="166">
        <f>C3*30</f>
        <v>1500</v>
      </c>
      <c r="D52" s="166"/>
      <c r="E52" s="167">
        <f>E3*30</f>
        <v>1800</v>
      </c>
    </row>
    <row r="53" spans="2:5" x14ac:dyDescent="0.3">
      <c r="B53" s="114"/>
      <c r="C53" s="15"/>
      <c r="D53" s="15"/>
      <c r="E53" s="115"/>
    </row>
    <row r="54" spans="2:5" x14ac:dyDescent="0.3">
      <c r="B54" s="71" t="s">
        <v>229</v>
      </c>
      <c r="C54" s="168">
        <f>C50/C52</f>
        <v>5.333333333333333</v>
      </c>
      <c r="D54" s="168"/>
      <c r="E54" s="169">
        <f>E50/E52</f>
        <v>4.4444444444444446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E31F-15B1-A74E-BF3C-02087EF945F7}">
  <dimension ref="B2:F180"/>
  <sheetViews>
    <sheetView workbookViewId="0">
      <selection activeCell="G32" sqref="G32"/>
    </sheetView>
  </sheetViews>
  <sheetFormatPr defaultColWidth="11.19921875" defaultRowHeight="15.6" x14ac:dyDescent="0.3"/>
  <cols>
    <col min="1" max="1" width="11.19921875" style="18"/>
    <col min="2" max="2" width="33.69921875" style="20" customWidth="1"/>
    <col min="3" max="3" width="16.69921875" style="19" customWidth="1"/>
    <col min="4" max="5" width="16.69921875" style="18" customWidth="1"/>
    <col min="6" max="16384" width="11.19921875" style="18"/>
  </cols>
  <sheetData>
    <row r="2" spans="2:5" x14ac:dyDescent="0.3">
      <c r="C2" s="130"/>
      <c r="D2" s="130"/>
      <c r="E2" s="130"/>
    </row>
    <row r="5" spans="2:5" s="19" customFormat="1" ht="16.95" customHeight="1" x14ac:dyDescent="0.3">
      <c r="B5" s="83"/>
      <c r="C5" s="81" t="s">
        <v>122</v>
      </c>
      <c r="D5" s="81" t="s">
        <v>123</v>
      </c>
      <c r="E5" s="82" t="s">
        <v>124</v>
      </c>
    </row>
    <row r="6" spans="2:5" x14ac:dyDescent="0.3">
      <c r="B6" s="49" t="s">
        <v>42</v>
      </c>
      <c r="C6" s="154">
        <v>0</v>
      </c>
      <c r="D6" s="154">
        <v>3000</v>
      </c>
      <c r="E6" s="155">
        <v>5700</v>
      </c>
    </row>
    <row r="7" spans="2:5" hidden="1" x14ac:dyDescent="0.3">
      <c r="B7" s="38" t="s">
        <v>44</v>
      </c>
      <c r="C7" s="84"/>
      <c r="D7" s="84"/>
      <c r="E7" s="85"/>
    </row>
    <row r="8" spans="2:5" hidden="1" x14ac:dyDescent="0.3">
      <c r="B8" s="38" t="s">
        <v>45</v>
      </c>
      <c r="C8" s="84"/>
      <c r="D8" s="84"/>
      <c r="E8" s="85"/>
    </row>
    <row r="9" spans="2:5" hidden="1" x14ac:dyDescent="0.3">
      <c r="B9" s="38" t="s">
        <v>46</v>
      </c>
      <c r="C9" s="84"/>
      <c r="D9" s="84"/>
      <c r="E9" s="85"/>
    </row>
    <row r="10" spans="2:5" x14ac:dyDescent="0.3">
      <c r="B10" s="41"/>
      <c r="C10" s="84"/>
      <c r="D10" s="84"/>
      <c r="E10" s="85"/>
    </row>
    <row r="11" spans="2:5" x14ac:dyDescent="0.3">
      <c r="B11" s="49" t="s">
        <v>47</v>
      </c>
      <c r="C11" s="154">
        <f>-8.65%*C6</f>
        <v>0</v>
      </c>
      <c r="D11" s="154">
        <f>-8.65%*D6</f>
        <v>-259.5</v>
      </c>
      <c r="E11" s="155">
        <f>-8.65%*E6</f>
        <v>-493.05000000000007</v>
      </c>
    </row>
    <row r="12" spans="2:5" hidden="1" x14ac:dyDescent="0.3">
      <c r="B12" s="38" t="s">
        <v>49</v>
      </c>
      <c r="C12" s="84"/>
      <c r="D12" s="84"/>
      <c r="E12" s="85"/>
    </row>
    <row r="13" spans="2:5" hidden="1" x14ac:dyDescent="0.3">
      <c r="B13" s="38" t="s">
        <v>50</v>
      </c>
      <c r="C13" s="84"/>
      <c r="D13" s="84"/>
      <c r="E13" s="85"/>
    </row>
    <row r="14" spans="2:5" hidden="1" x14ac:dyDescent="0.3">
      <c r="B14" s="38" t="s">
        <v>51</v>
      </c>
      <c r="C14" s="84"/>
      <c r="D14" s="84"/>
      <c r="E14" s="85"/>
    </row>
    <row r="15" spans="2:5" hidden="1" x14ac:dyDescent="0.3">
      <c r="B15" s="38" t="s">
        <v>52</v>
      </c>
      <c r="C15" s="84"/>
      <c r="D15" s="84"/>
      <c r="E15" s="85"/>
    </row>
    <row r="16" spans="2:5" x14ac:dyDescent="0.3">
      <c r="B16" s="41"/>
      <c r="C16" s="84"/>
      <c r="D16" s="84"/>
      <c r="E16" s="85"/>
    </row>
    <row r="17" spans="2:5" x14ac:dyDescent="0.3">
      <c r="B17" s="49" t="s">
        <v>53</v>
      </c>
      <c r="C17" s="154">
        <v>0</v>
      </c>
      <c r="D17" s="154">
        <v>0</v>
      </c>
      <c r="E17" s="155">
        <v>0</v>
      </c>
    </row>
    <row r="18" spans="2:5" hidden="1" x14ac:dyDescent="0.3">
      <c r="B18" s="38" t="s">
        <v>55</v>
      </c>
      <c r="C18" s="84"/>
      <c r="D18" s="84"/>
      <c r="E18" s="85"/>
    </row>
    <row r="19" spans="2:5" hidden="1" x14ac:dyDescent="0.3">
      <c r="B19" s="38" t="s">
        <v>56</v>
      </c>
      <c r="C19" s="84"/>
      <c r="D19" s="84"/>
      <c r="E19" s="85"/>
    </row>
    <row r="20" spans="2:5" hidden="1" x14ac:dyDescent="0.3">
      <c r="B20" s="38" t="s">
        <v>57</v>
      </c>
      <c r="C20" s="84"/>
      <c r="D20" s="84"/>
      <c r="E20" s="85"/>
    </row>
    <row r="21" spans="2:5" x14ac:dyDescent="0.3">
      <c r="B21" s="41"/>
      <c r="C21" s="84"/>
      <c r="D21" s="84"/>
      <c r="E21" s="85"/>
    </row>
    <row r="22" spans="2:5" x14ac:dyDescent="0.3">
      <c r="B22" s="49" t="s">
        <v>58</v>
      </c>
      <c r="C22" s="156">
        <f>C6+C11+C17</f>
        <v>0</v>
      </c>
      <c r="D22" s="156">
        <f>D6+D11+D17</f>
        <v>2740.5</v>
      </c>
      <c r="E22" s="157">
        <f>E6+E11+E17</f>
        <v>5206.95</v>
      </c>
    </row>
    <row r="23" spans="2:5" x14ac:dyDescent="0.3">
      <c r="B23" s="41"/>
      <c r="C23" s="84"/>
      <c r="D23" s="84"/>
      <c r="E23" s="85"/>
    </row>
    <row r="24" spans="2:5" ht="31.2" x14ac:dyDescent="0.3">
      <c r="B24" s="48" t="s">
        <v>60</v>
      </c>
      <c r="C24" s="154">
        <v>0</v>
      </c>
      <c r="D24" s="154">
        <f>-D6/3</f>
        <v>-1000</v>
      </c>
      <c r="E24" s="157">
        <f>-E6/3</f>
        <v>-1900</v>
      </c>
    </row>
    <row r="25" spans="2:5" hidden="1" x14ac:dyDescent="0.3">
      <c r="B25" s="38" t="s">
        <v>44</v>
      </c>
      <c r="C25" s="84"/>
      <c r="D25" s="84"/>
      <c r="E25" s="85"/>
    </row>
    <row r="26" spans="2:5" hidden="1" x14ac:dyDescent="0.3">
      <c r="B26" s="38" t="s">
        <v>45</v>
      </c>
      <c r="C26" s="84"/>
      <c r="D26" s="84"/>
      <c r="E26" s="85"/>
    </row>
    <row r="27" spans="2:5" hidden="1" x14ac:dyDescent="0.3">
      <c r="B27" s="38" t="s">
        <v>46</v>
      </c>
      <c r="C27" s="84"/>
      <c r="D27" s="84"/>
      <c r="E27" s="85"/>
    </row>
    <row r="28" spans="2:5" x14ac:dyDescent="0.3">
      <c r="B28" s="41"/>
      <c r="C28" s="84"/>
      <c r="D28" s="84"/>
      <c r="E28" s="85"/>
    </row>
    <row r="29" spans="2:5" x14ac:dyDescent="0.3">
      <c r="B29" s="49" t="s">
        <v>62</v>
      </c>
      <c r="C29" s="156">
        <f>C22+C24</f>
        <v>0</v>
      </c>
      <c r="D29" s="156">
        <f>D22+D24</f>
        <v>1740.5</v>
      </c>
      <c r="E29" s="157">
        <f>E22+E24</f>
        <v>3306.95</v>
      </c>
    </row>
    <row r="30" spans="2:5" x14ac:dyDescent="0.3">
      <c r="B30" s="49" t="s">
        <v>64</v>
      </c>
      <c r="C30" s="158" t="e">
        <f>C29/C22</f>
        <v>#DIV/0!</v>
      </c>
      <c r="D30" s="158">
        <f>D29/D22</f>
        <v>0.6351030833789455</v>
      </c>
      <c r="E30" s="159">
        <f>E29/E22</f>
        <v>0.63510308337894539</v>
      </c>
    </row>
    <row r="31" spans="2:5" x14ac:dyDescent="0.3">
      <c r="B31" s="41"/>
      <c r="C31" s="61"/>
      <c r="D31" s="61"/>
      <c r="E31" s="43"/>
    </row>
    <row r="32" spans="2:5" x14ac:dyDescent="0.3">
      <c r="B32" s="48" t="s">
        <v>66</v>
      </c>
      <c r="C32" s="154">
        <f>C33+C42</f>
        <v>0</v>
      </c>
      <c r="D32" s="154">
        <f>D33+D42</f>
        <v>0</v>
      </c>
      <c r="E32" s="155">
        <f>E33+E42</f>
        <v>0</v>
      </c>
    </row>
    <row r="33" spans="2:5" x14ac:dyDescent="0.3">
      <c r="B33" s="341" t="s">
        <v>68</v>
      </c>
      <c r="C33" s="335">
        <v>0</v>
      </c>
      <c r="D33" s="335">
        <f>SUM(D34:D37)</f>
        <v>0</v>
      </c>
      <c r="E33" s="336">
        <f>SUM(E34:E37)</f>
        <v>0</v>
      </c>
    </row>
    <row r="34" spans="2:5" x14ac:dyDescent="0.3">
      <c r="B34" s="334" t="s">
        <v>70</v>
      </c>
      <c r="C34" s="335">
        <v>0</v>
      </c>
      <c r="D34" s="335">
        <v>0</v>
      </c>
      <c r="E34" s="336">
        <v>0</v>
      </c>
    </row>
    <row r="35" spans="2:5" x14ac:dyDescent="0.3">
      <c r="B35" s="334" t="s">
        <v>176</v>
      </c>
      <c r="C35" s="335">
        <v>0</v>
      </c>
      <c r="D35" s="335">
        <v>0</v>
      </c>
      <c r="E35" s="336">
        <v>0</v>
      </c>
    </row>
    <row r="36" spans="2:5" x14ac:dyDescent="0.3">
      <c r="B36" s="334" t="s">
        <v>72</v>
      </c>
      <c r="C36" s="335">
        <v>0</v>
      </c>
      <c r="D36" s="335">
        <v>0</v>
      </c>
      <c r="E36" s="336">
        <v>0</v>
      </c>
    </row>
    <row r="37" spans="2:5" x14ac:dyDescent="0.3">
      <c r="B37" s="334" t="s">
        <v>73</v>
      </c>
      <c r="C37" s="335">
        <v>0</v>
      </c>
      <c r="D37" s="335">
        <v>0</v>
      </c>
      <c r="E37" s="336">
        <v>0</v>
      </c>
    </row>
    <row r="38" spans="2:5" x14ac:dyDescent="0.3">
      <c r="B38" s="41"/>
      <c r="C38" s="84"/>
      <c r="D38" s="84"/>
      <c r="E38" s="85"/>
    </row>
    <row r="39" spans="2:5" x14ac:dyDescent="0.3">
      <c r="B39" s="49" t="s">
        <v>76</v>
      </c>
      <c r="C39" s="156">
        <f>C29+C33</f>
        <v>0</v>
      </c>
      <c r="D39" s="156">
        <f>D29+D33</f>
        <v>1740.5</v>
      </c>
      <c r="E39" s="157">
        <f>E29+E33</f>
        <v>3306.95</v>
      </c>
    </row>
    <row r="40" spans="2:5" x14ac:dyDescent="0.3">
      <c r="B40" s="49" t="s">
        <v>78</v>
      </c>
      <c r="C40" s="182" t="e">
        <f>C39/C22</f>
        <v>#DIV/0!</v>
      </c>
      <c r="D40" s="182">
        <f>D39/D22</f>
        <v>0.6351030833789455</v>
      </c>
      <c r="E40" s="183">
        <f>E39/E22</f>
        <v>0.63510308337894539</v>
      </c>
    </row>
    <row r="41" spans="2:5" x14ac:dyDescent="0.3">
      <c r="B41" s="41"/>
      <c r="C41" s="61"/>
      <c r="D41" s="61"/>
      <c r="E41" s="43"/>
    </row>
    <row r="42" spans="2:5" x14ac:dyDescent="0.3">
      <c r="B42" s="46" t="s">
        <v>80</v>
      </c>
      <c r="C42" s="154">
        <f>SUM(C43:C48)</f>
        <v>0</v>
      </c>
      <c r="D42" s="154">
        <f>SUM(D43:D48)</f>
        <v>0</v>
      </c>
      <c r="E42" s="155">
        <f>SUM(E43:E48)</f>
        <v>0</v>
      </c>
    </row>
    <row r="43" spans="2:5" x14ac:dyDescent="0.3">
      <c r="B43" s="334" t="s">
        <v>82</v>
      </c>
      <c r="C43" s="335">
        <v>0</v>
      </c>
      <c r="D43" s="335">
        <v>0</v>
      </c>
      <c r="E43" s="336">
        <v>0</v>
      </c>
    </row>
    <row r="44" spans="2:5" x14ac:dyDescent="0.3">
      <c r="B44" s="334" t="s">
        <v>83</v>
      </c>
      <c r="C44" s="335">
        <v>0</v>
      </c>
      <c r="D44" s="335">
        <v>0</v>
      </c>
      <c r="E44" s="336">
        <v>0</v>
      </c>
    </row>
    <row r="45" spans="2:5" x14ac:dyDescent="0.3">
      <c r="B45" s="334" t="s">
        <v>84</v>
      </c>
      <c r="C45" s="335">
        <v>0</v>
      </c>
      <c r="D45" s="335">
        <v>0</v>
      </c>
      <c r="E45" s="336">
        <v>0</v>
      </c>
    </row>
    <row r="46" spans="2:5" x14ac:dyDescent="0.3">
      <c r="B46" s="334" t="s">
        <v>85</v>
      </c>
      <c r="C46" s="335">
        <v>0</v>
      </c>
      <c r="D46" s="335">
        <v>0</v>
      </c>
      <c r="E46" s="336">
        <v>0</v>
      </c>
    </row>
    <row r="47" spans="2:5" x14ac:dyDescent="0.3">
      <c r="B47" s="334" t="s">
        <v>86</v>
      </c>
      <c r="C47" s="335">
        <v>0</v>
      </c>
      <c r="D47" s="335">
        <v>0</v>
      </c>
      <c r="E47" s="336">
        <v>0</v>
      </c>
    </row>
    <row r="48" spans="2:5" x14ac:dyDescent="0.3">
      <c r="B48" s="334" t="s">
        <v>87</v>
      </c>
      <c r="C48" s="335">
        <v>0</v>
      </c>
      <c r="D48" s="335">
        <v>0</v>
      </c>
      <c r="E48" s="336">
        <v>0</v>
      </c>
    </row>
    <row r="49" spans="2:5" x14ac:dyDescent="0.3">
      <c r="B49" s="41"/>
      <c r="C49" s="84"/>
      <c r="D49" s="84"/>
      <c r="E49" s="85"/>
    </row>
    <row r="50" spans="2:5" x14ac:dyDescent="0.3">
      <c r="B50" s="48" t="s">
        <v>88</v>
      </c>
      <c r="C50" s="184">
        <f>C39+C42</f>
        <v>0</v>
      </c>
      <c r="D50" s="184">
        <f>D39+D42</f>
        <v>1740.5</v>
      </c>
      <c r="E50" s="185">
        <f>E39+E42</f>
        <v>3306.95</v>
      </c>
    </row>
    <row r="51" spans="2:5" x14ac:dyDescent="0.3">
      <c r="B51" s="48" t="s">
        <v>90</v>
      </c>
      <c r="C51" s="182" t="e">
        <f>C50/C22</f>
        <v>#DIV/0!</v>
      </c>
      <c r="D51" s="182">
        <f>D50/D22</f>
        <v>0.6351030833789455</v>
      </c>
      <c r="E51" s="183">
        <f>E50/E22</f>
        <v>0.63510308337894539</v>
      </c>
    </row>
    <row r="52" spans="2:5" x14ac:dyDescent="0.3">
      <c r="B52" s="41"/>
      <c r="C52" s="62"/>
      <c r="D52" s="62"/>
      <c r="E52" s="45"/>
    </row>
    <row r="53" spans="2:5" x14ac:dyDescent="0.3">
      <c r="B53" s="48" t="s">
        <v>92</v>
      </c>
      <c r="C53" s="154">
        <v>0</v>
      </c>
      <c r="D53" s="154">
        <v>0</v>
      </c>
      <c r="E53" s="155">
        <v>0</v>
      </c>
    </row>
    <row r="54" spans="2:5" hidden="1" x14ac:dyDescent="0.3">
      <c r="B54" s="38" t="s">
        <v>94</v>
      </c>
      <c r="C54" s="84"/>
      <c r="D54" s="84"/>
      <c r="E54" s="85"/>
    </row>
    <row r="55" spans="2:5" hidden="1" x14ac:dyDescent="0.3">
      <c r="B55" s="38" t="s">
        <v>95</v>
      </c>
      <c r="C55" s="84"/>
      <c r="D55" s="84"/>
      <c r="E55" s="85"/>
    </row>
    <row r="56" spans="2:5" x14ac:dyDescent="0.3">
      <c r="B56" s="41"/>
      <c r="C56" s="84"/>
      <c r="D56" s="84"/>
      <c r="E56" s="85"/>
    </row>
    <row r="57" spans="2:5" x14ac:dyDescent="0.3">
      <c r="B57" s="48" t="s">
        <v>96</v>
      </c>
      <c r="C57" s="154">
        <v>0</v>
      </c>
      <c r="D57" s="154">
        <v>0</v>
      </c>
      <c r="E57" s="155">
        <v>0</v>
      </c>
    </row>
    <row r="58" spans="2:5" hidden="1" x14ac:dyDescent="0.3">
      <c r="B58" s="38" t="s">
        <v>98</v>
      </c>
      <c r="C58" s="84"/>
      <c r="D58" s="84"/>
      <c r="E58" s="85"/>
    </row>
    <row r="59" spans="2:5" hidden="1" x14ac:dyDescent="0.3">
      <c r="B59" s="38" t="s">
        <v>99</v>
      </c>
      <c r="C59" s="84"/>
      <c r="D59" s="84"/>
      <c r="E59" s="85"/>
    </row>
    <row r="60" spans="2:5" x14ac:dyDescent="0.3">
      <c r="B60" s="41"/>
      <c r="C60" s="84"/>
      <c r="D60" s="84"/>
      <c r="E60" s="85"/>
    </row>
    <row r="61" spans="2:5" x14ac:dyDescent="0.3">
      <c r="B61" s="48" t="s">
        <v>100</v>
      </c>
      <c r="C61" s="156">
        <f>C50+C53+C57</f>
        <v>0</v>
      </c>
      <c r="D61" s="156">
        <f>D50+D53+D57</f>
        <v>1740.5</v>
      </c>
      <c r="E61" s="157">
        <f>E50+E53+E57</f>
        <v>3306.95</v>
      </c>
    </row>
    <row r="62" spans="2:5" x14ac:dyDescent="0.3">
      <c r="B62" s="41"/>
      <c r="C62" s="84"/>
      <c r="D62" s="84"/>
      <c r="E62" s="85"/>
    </row>
    <row r="63" spans="2:5" x14ac:dyDescent="0.3">
      <c r="B63" s="48" t="s">
        <v>102</v>
      </c>
      <c r="C63" s="156">
        <f>-27%*C61</f>
        <v>0</v>
      </c>
      <c r="D63" s="156">
        <f>-27%*D61</f>
        <v>-469.93500000000006</v>
      </c>
      <c r="E63" s="157">
        <f>-27%*E61</f>
        <v>-892.87649999999996</v>
      </c>
    </row>
    <row r="64" spans="2:5" hidden="1" x14ac:dyDescent="0.3">
      <c r="B64" s="38" t="s">
        <v>104</v>
      </c>
      <c r="C64" s="84"/>
      <c r="D64" s="84"/>
      <c r="E64" s="85"/>
    </row>
    <row r="65" spans="2:5" hidden="1" x14ac:dyDescent="0.3">
      <c r="B65" s="38" t="s">
        <v>105</v>
      </c>
      <c r="C65" s="84"/>
      <c r="D65" s="84"/>
      <c r="E65" s="85"/>
    </row>
    <row r="66" spans="2:5" x14ac:dyDescent="0.3">
      <c r="B66" s="41"/>
      <c r="C66" s="84"/>
      <c r="D66" s="84"/>
      <c r="E66" s="85"/>
    </row>
    <row r="67" spans="2:5" x14ac:dyDescent="0.3">
      <c r="B67" s="53" t="s">
        <v>106</v>
      </c>
      <c r="C67" s="160">
        <f>C61+C63</f>
        <v>0</v>
      </c>
      <c r="D67" s="160">
        <f>D61+D63</f>
        <v>1270.5650000000001</v>
      </c>
      <c r="E67" s="161">
        <f>E61+E63</f>
        <v>2414.0735</v>
      </c>
    </row>
    <row r="68" spans="2:5" x14ac:dyDescent="0.3">
      <c r="B68" s="53" t="s">
        <v>108</v>
      </c>
      <c r="C68" s="212" t="e">
        <f>C67/C22</f>
        <v>#DIV/0!</v>
      </c>
      <c r="D68" s="212">
        <f>D67/D22</f>
        <v>0.4636252508666302</v>
      </c>
      <c r="E68" s="213">
        <f>E67/E22</f>
        <v>0.4636252508666302</v>
      </c>
    </row>
    <row r="69" spans="2:5" x14ac:dyDescent="0.3">
      <c r="B69" s="41"/>
      <c r="C69" s="61"/>
      <c r="D69" s="29"/>
      <c r="E69" s="35"/>
    </row>
    <row r="70" spans="2:5" x14ac:dyDescent="0.3">
      <c r="B70" s="131"/>
      <c r="C70" s="99" t="s">
        <v>122</v>
      </c>
      <c r="D70" s="99" t="s">
        <v>123</v>
      </c>
      <c r="E70" s="103" t="s">
        <v>124</v>
      </c>
    </row>
    <row r="71" spans="2:5" x14ac:dyDescent="0.3">
      <c r="B71" s="72" t="s">
        <v>16</v>
      </c>
      <c r="C71" s="188">
        <f>C73+C77+C84</f>
        <v>3000</v>
      </c>
      <c r="D71" s="188">
        <f>D73+D77+D84</f>
        <v>5170.5650000000005</v>
      </c>
      <c r="E71" s="189">
        <f>E73+E77+E84</f>
        <v>9294.6385000000009</v>
      </c>
    </row>
    <row r="72" spans="2:5" x14ac:dyDescent="0.3">
      <c r="B72" s="33"/>
      <c r="C72" s="89"/>
      <c r="D72" s="29"/>
      <c r="E72" s="35"/>
    </row>
    <row r="73" spans="2:5" x14ac:dyDescent="0.3">
      <c r="B73" s="68" t="s">
        <v>17</v>
      </c>
      <c r="C73" s="190">
        <f>C74+C75</f>
        <v>2000</v>
      </c>
      <c r="D73" s="190">
        <f>D74+D75</f>
        <v>270.56499999999994</v>
      </c>
      <c r="E73" s="69">
        <f>E179</f>
        <v>-15.361499999999978</v>
      </c>
    </row>
    <row r="74" spans="2:5" x14ac:dyDescent="0.3">
      <c r="B74" s="334" t="s">
        <v>9</v>
      </c>
      <c r="C74" s="335">
        <v>2000</v>
      </c>
      <c r="D74" s="335">
        <f>C74-C95+D63+D11</f>
        <v>270.56499999999994</v>
      </c>
      <c r="E74" s="336">
        <f>D74-D95+E63+E11+D80</f>
        <v>-15.361499999999978</v>
      </c>
    </row>
    <row r="75" spans="2:5" x14ac:dyDescent="0.3">
      <c r="B75" s="334" t="s">
        <v>18</v>
      </c>
      <c r="C75" s="335">
        <v>0</v>
      </c>
      <c r="D75" s="335"/>
      <c r="E75" s="336"/>
    </row>
    <row r="76" spans="2:5" x14ac:dyDescent="0.3">
      <c r="B76" s="33"/>
      <c r="C76" s="89"/>
      <c r="D76" s="89"/>
      <c r="E76" s="35"/>
    </row>
    <row r="77" spans="2:5" x14ac:dyDescent="0.3">
      <c r="B77" s="68" t="s">
        <v>19</v>
      </c>
      <c r="C77" s="190">
        <f>SUM(C78:C82)</f>
        <v>0</v>
      </c>
      <c r="D77" s="190">
        <f>SUM(D78:D82)</f>
        <v>3000</v>
      </c>
      <c r="E77" s="69">
        <f>SUM(E78:E82)</f>
        <v>5700</v>
      </c>
    </row>
    <row r="78" spans="2:5" x14ac:dyDescent="0.3">
      <c r="B78" s="334" t="s">
        <v>20</v>
      </c>
      <c r="C78" s="335">
        <v>0</v>
      </c>
      <c r="D78" s="335">
        <v>0</v>
      </c>
      <c r="E78" s="336">
        <f>D78/D$6*E$6</f>
        <v>0</v>
      </c>
    </row>
    <row r="79" spans="2:5" x14ac:dyDescent="0.3">
      <c r="B79" s="334" t="s">
        <v>21</v>
      </c>
      <c r="C79" s="335">
        <v>0</v>
      </c>
      <c r="D79" s="335">
        <v>0</v>
      </c>
      <c r="E79" s="336">
        <f>D79/D$6*E$6</f>
        <v>0</v>
      </c>
    </row>
    <row r="80" spans="2:5" x14ac:dyDescent="0.3">
      <c r="B80" s="334" t="s">
        <v>12</v>
      </c>
      <c r="C80" s="335">
        <v>0</v>
      </c>
      <c r="D80" s="335">
        <v>3000</v>
      </c>
      <c r="E80" s="336">
        <f>D80/D$6*E$6</f>
        <v>5700</v>
      </c>
    </row>
    <row r="81" spans="2:5" x14ac:dyDescent="0.3">
      <c r="B81" s="334" t="s">
        <v>22</v>
      </c>
      <c r="C81" s="335">
        <v>0</v>
      </c>
      <c r="D81" s="335">
        <v>0</v>
      </c>
      <c r="E81" s="336">
        <f>D81/D$6*E$6</f>
        <v>0</v>
      </c>
    </row>
    <row r="82" spans="2:5" x14ac:dyDescent="0.3">
      <c r="B82" s="334" t="s">
        <v>23</v>
      </c>
      <c r="C82" s="335">
        <v>0</v>
      </c>
      <c r="D82" s="335">
        <v>0</v>
      </c>
      <c r="E82" s="336">
        <f>D82/D$6*E$6</f>
        <v>0</v>
      </c>
    </row>
    <row r="83" spans="2:5" x14ac:dyDescent="0.3">
      <c r="B83" s="33"/>
      <c r="C83" s="89"/>
      <c r="D83" s="29"/>
      <c r="E83" s="35"/>
    </row>
    <row r="84" spans="2:5" x14ac:dyDescent="0.3">
      <c r="B84" s="68" t="s">
        <v>24</v>
      </c>
      <c r="C84" s="190">
        <f>C85</f>
        <v>1000</v>
      </c>
      <c r="D84" s="190">
        <f>D85</f>
        <v>1900</v>
      </c>
      <c r="E84" s="69">
        <f>E85</f>
        <v>3610</v>
      </c>
    </row>
    <row r="85" spans="2:5" x14ac:dyDescent="0.3">
      <c r="B85" s="334" t="s">
        <v>25</v>
      </c>
      <c r="C85" s="335">
        <f>D6/3</f>
        <v>1000</v>
      </c>
      <c r="D85" s="335">
        <f>E6/3</f>
        <v>1900</v>
      </c>
      <c r="E85" s="336">
        <f>D85/D$6*E$6</f>
        <v>3610</v>
      </c>
    </row>
    <row r="86" spans="2:5" x14ac:dyDescent="0.3">
      <c r="B86" s="33"/>
      <c r="C86" s="89"/>
      <c r="D86" s="29"/>
      <c r="E86" s="35"/>
    </row>
    <row r="87" spans="2:5" x14ac:dyDescent="0.3">
      <c r="B87" s="72" t="s">
        <v>26</v>
      </c>
      <c r="C87" s="188">
        <f>C89</f>
        <v>0</v>
      </c>
      <c r="D87" s="188">
        <f>D89</f>
        <v>0</v>
      </c>
      <c r="E87" s="189">
        <f>E89</f>
        <v>0</v>
      </c>
    </row>
    <row r="88" spans="2:5" x14ac:dyDescent="0.3">
      <c r="B88" s="33"/>
      <c r="C88" s="89"/>
      <c r="D88" s="29"/>
      <c r="E88" s="35"/>
    </row>
    <row r="89" spans="2:5" x14ac:dyDescent="0.3">
      <c r="B89" s="334" t="s">
        <v>27</v>
      </c>
      <c r="C89" s="335">
        <v>0</v>
      </c>
      <c r="D89" s="335">
        <v>0</v>
      </c>
      <c r="E89" s="336">
        <f>D89</f>
        <v>0</v>
      </c>
    </row>
    <row r="90" spans="2:5" x14ac:dyDescent="0.3">
      <c r="B90" s="33"/>
      <c r="C90" s="89"/>
      <c r="D90" s="29"/>
      <c r="E90" s="35"/>
    </row>
    <row r="91" spans="2:5" x14ac:dyDescent="0.3">
      <c r="B91" s="72" t="s">
        <v>28</v>
      </c>
      <c r="C91" s="188">
        <f>C71+C87</f>
        <v>3000</v>
      </c>
      <c r="D91" s="188">
        <f>D71+D87</f>
        <v>5170.5650000000005</v>
      </c>
      <c r="E91" s="189">
        <f>E71+E87</f>
        <v>9294.6385000000009</v>
      </c>
    </row>
    <row r="92" spans="2:5" x14ac:dyDescent="0.3">
      <c r="B92" s="33"/>
      <c r="C92" s="29"/>
      <c r="D92" s="29"/>
      <c r="E92" s="35"/>
    </row>
    <row r="93" spans="2:5" x14ac:dyDescent="0.3">
      <c r="B93" s="53" t="s">
        <v>29</v>
      </c>
      <c r="C93" s="191">
        <f>SUM(C95:C99)</f>
        <v>1000</v>
      </c>
      <c r="D93" s="191">
        <f>SUM(D95:D99)</f>
        <v>1900</v>
      </c>
      <c r="E93" s="192">
        <f>SUM(E95:E99)</f>
        <v>3610</v>
      </c>
    </row>
    <row r="94" spans="2:5" x14ac:dyDescent="0.3">
      <c r="B94" s="41"/>
      <c r="C94" s="91"/>
      <c r="D94" s="29"/>
      <c r="E94" s="35"/>
    </row>
    <row r="95" spans="2:5" x14ac:dyDescent="0.3">
      <c r="B95" s="333" t="s">
        <v>30</v>
      </c>
      <c r="C95" s="335">
        <v>1000</v>
      </c>
      <c r="D95" s="335">
        <f>D85</f>
        <v>1900</v>
      </c>
      <c r="E95" s="336">
        <f>D95/D$24*E$24</f>
        <v>3610</v>
      </c>
    </row>
    <row r="96" spans="2:5" x14ac:dyDescent="0.3">
      <c r="B96" s="333" t="s">
        <v>31</v>
      </c>
      <c r="C96" s="335">
        <v>0</v>
      </c>
      <c r="D96" s="335">
        <v>0</v>
      </c>
      <c r="E96" s="336">
        <f>D96/D$24*E$24</f>
        <v>0</v>
      </c>
    </row>
    <row r="97" spans="2:6" x14ac:dyDescent="0.3">
      <c r="B97" s="333" t="s">
        <v>32</v>
      </c>
      <c r="C97" s="335">
        <v>0</v>
      </c>
      <c r="D97" s="335">
        <v>0</v>
      </c>
      <c r="E97" s="336">
        <f>D97</f>
        <v>0</v>
      </c>
    </row>
    <row r="98" spans="2:6" x14ac:dyDescent="0.3">
      <c r="B98" s="333" t="s">
        <v>33</v>
      </c>
      <c r="C98" s="335">
        <v>0</v>
      </c>
      <c r="D98" s="335">
        <v>0</v>
      </c>
      <c r="E98" s="336">
        <f>D98/D$6*E$6</f>
        <v>0</v>
      </c>
    </row>
    <row r="99" spans="2:6" ht="31.2" x14ac:dyDescent="0.3">
      <c r="B99" s="333" t="s">
        <v>40</v>
      </c>
      <c r="C99" s="335">
        <v>0</v>
      </c>
      <c r="D99" s="335">
        <v>0</v>
      </c>
      <c r="E99" s="336">
        <v>0</v>
      </c>
    </row>
    <row r="100" spans="2:6" x14ac:dyDescent="0.3">
      <c r="B100" s="41"/>
      <c r="C100" s="91"/>
      <c r="D100" s="29"/>
      <c r="E100" s="35"/>
    </row>
    <row r="101" spans="2:6" x14ac:dyDescent="0.3">
      <c r="B101" s="53" t="s">
        <v>34</v>
      </c>
      <c r="C101" s="191">
        <f>C103</f>
        <v>0</v>
      </c>
      <c r="D101" s="191">
        <f>D103</f>
        <v>0</v>
      </c>
      <c r="E101" s="192">
        <f>E103</f>
        <v>0</v>
      </c>
    </row>
    <row r="102" spans="2:6" x14ac:dyDescent="0.3">
      <c r="B102" s="41"/>
      <c r="C102" s="91"/>
      <c r="D102" s="29"/>
      <c r="E102" s="35"/>
    </row>
    <row r="103" spans="2:6" ht="31.2" x14ac:dyDescent="0.3">
      <c r="B103" s="333" t="s">
        <v>41</v>
      </c>
      <c r="C103" s="335">
        <v>0</v>
      </c>
      <c r="D103" s="335">
        <v>0</v>
      </c>
      <c r="E103" s="336">
        <v>0</v>
      </c>
    </row>
    <row r="104" spans="2:6" x14ac:dyDescent="0.3">
      <c r="B104" s="41"/>
      <c r="C104" s="91"/>
      <c r="D104" s="29"/>
      <c r="E104" s="35"/>
    </row>
    <row r="105" spans="2:6" x14ac:dyDescent="0.3">
      <c r="B105" s="41"/>
      <c r="C105" s="29"/>
      <c r="D105" s="29"/>
      <c r="E105" s="35"/>
    </row>
    <row r="106" spans="2:6" x14ac:dyDescent="0.3">
      <c r="B106" s="53" t="s">
        <v>36</v>
      </c>
      <c r="C106" s="191">
        <f>C107+C108+C109+C110</f>
        <v>2000</v>
      </c>
      <c r="D106" s="191">
        <f>D107+D108+D109+D110</f>
        <v>3270.5650000000001</v>
      </c>
      <c r="E106" s="192">
        <f>E107+E108+E109+E110</f>
        <v>5684.6385</v>
      </c>
      <c r="F106" s="25"/>
    </row>
    <row r="107" spans="2:6" x14ac:dyDescent="0.3">
      <c r="B107" s="333" t="s">
        <v>39</v>
      </c>
      <c r="C107" s="335">
        <v>2000</v>
      </c>
      <c r="D107" s="335">
        <f>C107</f>
        <v>2000</v>
      </c>
      <c r="E107" s="336">
        <f>D107</f>
        <v>2000</v>
      </c>
    </row>
    <row r="108" spans="2:6" x14ac:dyDescent="0.3">
      <c r="B108" s="333" t="s">
        <v>37</v>
      </c>
      <c r="C108" s="335">
        <v>0</v>
      </c>
      <c r="D108" s="335">
        <f>C108+C109+C110</f>
        <v>0</v>
      </c>
      <c r="E108" s="336">
        <f>D108+D109+D110</f>
        <v>1270.5650000000001</v>
      </c>
    </row>
    <row r="109" spans="2:6" x14ac:dyDescent="0.3">
      <c r="B109" s="333" t="s">
        <v>38</v>
      </c>
      <c r="C109" s="335">
        <f>C67</f>
        <v>0</v>
      </c>
      <c r="D109" s="335">
        <f>D67</f>
        <v>1270.5650000000001</v>
      </c>
      <c r="E109" s="336">
        <f>E67</f>
        <v>2414.0735</v>
      </c>
    </row>
    <row r="110" spans="2:6" x14ac:dyDescent="0.3">
      <c r="B110" s="333" t="s">
        <v>111</v>
      </c>
      <c r="C110" s="335">
        <v>0</v>
      </c>
      <c r="D110" s="335">
        <v>0</v>
      </c>
      <c r="E110" s="336">
        <v>0</v>
      </c>
    </row>
    <row r="111" spans="2:6" x14ac:dyDescent="0.3">
      <c r="B111" s="41"/>
      <c r="C111" s="29"/>
      <c r="D111" s="29"/>
      <c r="E111" s="35"/>
    </row>
    <row r="112" spans="2:6" x14ac:dyDescent="0.3">
      <c r="B112" s="41"/>
      <c r="C112" s="91"/>
      <c r="D112" s="29"/>
      <c r="E112" s="35"/>
    </row>
    <row r="113" spans="2:5" x14ac:dyDescent="0.3">
      <c r="B113" s="53" t="s">
        <v>110</v>
      </c>
      <c r="C113" s="191">
        <f>C93+C101+C106</f>
        <v>3000</v>
      </c>
      <c r="D113" s="191">
        <f>D93+D101+D106</f>
        <v>5170.5650000000005</v>
      </c>
      <c r="E113" s="192">
        <f>E93+E101+E106</f>
        <v>9294.6385000000009</v>
      </c>
    </row>
    <row r="114" spans="2:5" x14ac:dyDescent="0.3">
      <c r="B114" s="33"/>
      <c r="C114" s="91">
        <f>C113-C91</f>
        <v>0</v>
      </c>
      <c r="D114" s="91">
        <f>D113-D91</f>
        <v>0</v>
      </c>
      <c r="E114" s="90">
        <f>E113-E91</f>
        <v>0</v>
      </c>
    </row>
    <row r="115" spans="2:5" x14ac:dyDescent="0.3">
      <c r="B115" s="33"/>
      <c r="C115" s="91"/>
      <c r="D115" s="91"/>
      <c r="E115" s="90"/>
    </row>
    <row r="116" spans="2:5" x14ac:dyDescent="0.3">
      <c r="B116" s="72" t="s">
        <v>231</v>
      </c>
      <c r="C116" s="191">
        <f>C117+C118-C119</f>
        <v>0</v>
      </c>
      <c r="D116" s="191">
        <f>D117+D118-D119</f>
        <v>3000</v>
      </c>
      <c r="E116" s="192">
        <f>E117+E118-E119</f>
        <v>5700</v>
      </c>
    </row>
    <row r="117" spans="2:5" x14ac:dyDescent="0.3">
      <c r="B117" s="333" t="s">
        <v>24</v>
      </c>
      <c r="C117" s="335">
        <f>C84</f>
        <v>1000</v>
      </c>
      <c r="D117" s="335">
        <f>D84</f>
        <v>1900</v>
      </c>
      <c r="E117" s="336">
        <f>E84</f>
        <v>3610</v>
      </c>
    </row>
    <row r="118" spans="2:5" x14ac:dyDescent="0.3">
      <c r="B118" s="333" t="s">
        <v>12</v>
      </c>
      <c r="C118" s="335">
        <f>C77</f>
        <v>0</v>
      </c>
      <c r="D118" s="335">
        <f>D77</f>
        <v>3000</v>
      </c>
      <c r="E118" s="336">
        <f>E77</f>
        <v>5700</v>
      </c>
    </row>
    <row r="119" spans="2:5" x14ac:dyDescent="0.3">
      <c r="B119" s="333" t="s">
        <v>15</v>
      </c>
      <c r="C119" s="335">
        <f>SUM(C95:C98)</f>
        <v>1000</v>
      </c>
      <c r="D119" s="335">
        <f>SUM(D95:D98)</f>
        <v>1900</v>
      </c>
      <c r="E119" s="336">
        <f>SUM(E95:E98)</f>
        <v>3610</v>
      </c>
    </row>
    <row r="120" spans="2:5" x14ac:dyDescent="0.3">
      <c r="B120" s="41"/>
      <c r="C120" s="61"/>
      <c r="D120" s="29"/>
      <c r="E120" s="35"/>
    </row>
    <row r="121" spans="2:5" x14ac:dyDescent="0.3">
      <c r="B121" s="333" t="s">
        <v>24</v>
      </c>
      <c r="C121" s="430">
        <f t="shared" ref="C121:E123" si="0">IF(C$6&gt;0,C117/C$6*30,0)</f>
        <v>0</v>
      </c>
      <c r="D121" s="431">
        <f t="shared" si="0"/>
        <v>19</v>
      </c>
      <c r="E121" s="432">
        <f t="shared" si="0"/>
        <v>19</v>
      </c>
    </row>
    <row r="122" spans="2:5" x14ac:dyDescent="0.3">
      <c r="B122" s="333" t="s">
        <v>12</v>
      </c>
      <c r="C122" s="430">
        <f t="shared" si="0"/>
        <v>0</v>
      </c>
      <c r="D122" s="431">
        <f t="shared" si="0"/>
        <v>30</v>
      </c>
      <c r="E122" s="432">
        <f t="shared" si="0"/>
        <v>30</v>
      </c>
    </row>
    <row r="123" spans="2:5" x14ac:dyDescent="0.3">
      <c r="B123" s="333" t="s">
        <v>15</v>
      </c>
      <c r="C123" s="430">
        <f t="shared" si="0"/>
        <v>0</v>
      </c>
      <c r="D123" s="431">
        <f t="shared" si="0"/>
        <v>19</v>
      </c>
      <c r="E123" s="432">
        <f t="shared" si="0"/>
        <v>19</v>
      </c>
    </row>
    <row r="124" spans="2:5" x14ac:dyDescent="0.3">
      <c r="B124" s="53" t="s">
        <v>233</v>
      </c>
      <c r="C124" s="433">
        <f>C121+C122-C123</f>
        <v>0</v>
      </c>
      <c r="D124" s="433">
        <f>D121+D122-D123</f>
        <v>30</v>
      </c>
      <c r="E124" s="434">
        <f>E121+E122-E123</f>
        <v>30</v>
      </c>
    </row>
    <row r="125" spans="2:5" x14ac:dyDescent="0.3">
      <c r="B125" s="41"/>
      <c r="C125" s="61"/>
      <c r="D125" s="29"/>
      <c r="E125" s="35"/>
    </row>
    <row r="126" spans="2:5" x14ac:dyDescent="0.3">
      <c r="B126" s="134" t="s">
        <v>232</v>
      </c>
      <c r="C126" s="135">
        <f>0</f>
        <v>0</v>
      </c>
      <c r="D126" s="135">
        <f>D116-C116</f>
        <v>3000</v>
      </c>
      <c r="E126" s="136">
        <f>E116-D116</f>
        <v>2700</v>
      </c>
    </row>
    <row r="127" spans="2:5" x14ac:dyDescent="0.3">
      <c r="B127" s="18"/>
      <c r="C127" s="23"/>
      <c r="D127" s="23"/>
      <c r="E127" s="23"/>
    </row>
    <row r="128" spans="2:5" x14ac:dyDescent="0.3">
      <c r="B128" s="94" t="s">
        <v>127</v>
      </c>
      <c r="C128" s="39"/>
      <c r="D128" s="39"/>
      <c r="E128" s="40"/>
    </row>
    <row r="129" spans="2:5" x14ac:dyDescent="0.3">
      <c r="B129" s="193" t="s">
        <v>128</v>
      </c>
      <c r="C129" s="163"/>
      <c r="D129" s="194">
        <f>D67</f>
        <v>1270.5650000000001</v>
      </c>
      <c r="E129" s="195">
        <f>E67</f>
        <v>2414.0735</v>
      </c>
    </row>
    <row r="130" spans="2:5" x14ac:dyDescent="0.3">
      <c r="B130" s="97"/>
      <c r="C130" s="29"/>
      <c r="D130" s="95"/>
      <c r="E130" s="35"/>
    </row>
    <row r="131" spans="2:5" ht="26.4" x14ac:dyDescent="0.3">
      <c r="B131" s="196" t="s">
        <v>129</v>
      </c>
      <c r="C131" s="163"/>
      <c r="D131" s="194"/>
      <c r="E131" s="70"/>
    </row>
    <row r="132" spans="2:5" ht="26.4" x14ac:dyDescent="0.3">
      <c r="B132" s="197" t="s">
        <v>130</v>
      </c>
      <c r="C132" s="163"/>
      <c r="D132" s="194"/>
      <c r="E132" s="70"/>
    </row>
    <row r="133" spans="2:5" x14ac:dyDescent="0.3">
      <c r="B133" s="393" t="s">
        <v>131</v>
      </c>
      <c r="C133" s="389"/>
      <c r="D133" s="400">
        <f>C77-D77</f>
        <v>-3000</v>
      </c>
      <c r="E133" s="397">
        <f>D77-E77</f>
        <v>-2700</v>
      </c>
    </row>
    <row r="134" spans="2:5" x14ac:dyDescent="0.3">
      <c r="B134" s="393" t="s">
        <v>132</v>
      </c>
      <c r="C134" s="389"/>
      <c r="D134" s="400">
        <f>C84-D84</f>
        <v>-900</v>
      </c>
      <c r="E134" s="397">
        <f>D84-E84</f>
        <v>-1710</v>
      </c>
    </row>
    <row r="135" spans="2:5" x14ac:dyDescent="0.3">
      <c r="B135" s="393" t="s">
        <v>133</v>
      </c>
      <c r="C135" s="389"/>
      <c r="D135" s="400">
        <v>0</v>
      </c>
      <c r="E135" s="397">
        <v>0</v>
      </c>
    </row>
    <row r="136" spans="2:5" x14ac:dyDescent="0.3">
      <c r="B136" s="393" t="s">
        <v>134</v>
      </c>
      <c r="C136" s="389"/>
      <c r="D136" s="400">
        <v>0</v>
      </c>
      <c r="E136" s="397">
        <v>0</v>
      </c>
    </row>
    <row r="137" spans="2:5" x14ac:dyDescent="0.3">
      <c r="B137" s="393" t="s">
        <v>135</v>
      </c>
      <c r="C137" s="389"/>
      <c r="D137" s="400">
        <v>0</v>
      </c>
      <c r="E137" s="397">
        <v>0</v>
      </c>
    </row>
    <row r="138" spans="2:5" x14ac:dyDescent="0.3">
      <c r="B138" s="393" t="s">
        <v>136</v>
      </c>
      <c r="C138" s="389"/>
      <c r="D138" s="400">
        <v>0</v>
      </c>
      <c r="E138" s="397">
        <v>0</v>
      </c>
    </row>
    <row r="139" spans="2:5" x14ac:dyDescent="0.3">
      <c r="B139" s="393" t="s">
        <v>137</v>
      </c>
      <c r="C139" s="389"/>
      <c r="D139" s="400">
        <v>0</v>
      </c>
      <c r="E139" s="397">
        <v>0</v>
      </c>
    </row>
    <row r="140" spans="2:5" ht="26.4" x14ac:dyDescent="0.3">
      <c r="B140" s="198" t="s">
        <v>138</v>
      </c>
      <c r="C140" s="163"/>
      <c r="D140" s="194">
        <f>SUM(D133:D139)</f>
        <v>-3900</v>
      </c>
      <c r="E140" s="195">
        <f>SUM(E133:E139)</f>
        <v>-4410</v>
      </c>
    </row>
    <row r="141" spans="2:5" x14ac:dyDescent="0.3">
      <c r="B141" s="97"/>
      <c r="C141" s="29"/>
      <c r="D141" s="95"/>
      <c r="E141" s="35"/>
    </row>
    <row r="142" spans="2:5" x14ac:dyDescent="0.3">
      <c r="B142" s="97"/>
      <c r="C142" s="29"/>
      <c r="D142" s="95"/>
      <c r="E142" s="35"/>
    </row>
    <row r="143" spans="2:5" ht="26.4" x14ac:dyDescent="0.3">
      <c r="B143" s="196" t="s">
        <v>129</v>
      </c>
      <c r="C143" s="163"/>
      <c r="D143" s="194"/>
      <c r="E143" s="70"/>
    </row>
    <row r="144" spans="2:5" ht="26.4" x14ac:dyDescent="0.3">
      <c r="B144" s="197" t="s">
        <v>139</v>
      </c>
      <c r="C144" s="163"/>
      <c r="D144" s="194"/>
      <c r="E144" s="70"/>
    </row>
    <row r="145" spans="2:5" x14ac:dyDescent="0.3">
      <c r="B145" s="393" t="s">
        <v>140</v>
      </c>
      <c r="C145" s="389"/>
      <c r="D145" s="400">
        <f>D95-C95</f>
        <v>900</v>
      </c>
      <c r="E145" s="397">
        <f>E95-D95</f>
        <v>1710</v>
      </c>
    </row>
    <row r="146" spans="2:5" x14ac:dyDescent="0.3">
      <c r="B146" s="393" t="s">
        <v>141</v>
      </c>
      <c r="C146" s="389"/>
      <c r="D146" s="400">
        <f>D96-C96</f>
        <v>0</v>
      </c>
      <c r="E146" s="397">
        <f>E96-D96</f>
        <v>0</v>
      </c>
    </row>
    <row r="147" spans="2:5" x14ac:dyDescent="0.3">
      <c r="B147" s="393" t="s">
        <v>142</v>
      </c>
      <c r="C147" s="389"/>
      <c r="D147" s="400">
        <v>0</v>
      </c>
      <c r="E147" s="397">
        <v>0</v>
      </c>
    </row>
    <row r="148" spans="2:5" x14ac:dyDescent="0.3">
      <c r="B148" s="393" t="s">
        <v>143</v>
      </c>
      <c r="C148" s="389"/>
      <c r="D148" s="400">
        <f>D98-C98</f>
        <v>0</v>
      </c>
      <c r="E148" s="397">
        <f>E98-D98</f>
        <v>0</v>
      </c>
    </row>
    <row r="149" spans="2:5" x14ac:dyDescent="0.3">
      <c r="B149" s="393" t="s">
        <v>144</v>
      </c>
      <c r="C149" s="389"/>
      <c r="D149" s="400">
        <v>0</v>
      </c>
      <c r="E149" s="397">
        <v>0</v>
      </c>
    </row>
    <row r="150" spans="2:5" x14ac:dyDescent="0.3">
      <c r="B150" s="393" t="s">
        <v>145</v>
      </c>
      <c r="C150" s="389"/>
      <c r="D150" s="400">
        <v>0</v>
      </c>
      <c r="E150" s="397">
        <v>0</v>
      </c>
    </row>
    <row r="151" spans="2:5" ht="26.4" x14ac:dyDescent="0.3">
      <c r="B151" s="198" t="s">
        <v>146</v>
      </c>
      <c r="C151" s="163"/>
      <c r="D151" s="194">
        <f>SUM(D145:D150)</f>
        <v>900</v>
      </c>
      <c r="E151" s="195">
        <f>SUM(E145:E150)</f>
        <v>1710</v>
      </c>
    </row>
    <row r="152" spans="2:5" x14ac:dyDescent="0.3">
      <c r="B152" s="97"/>
      <c r="C152" s="29"/>
      <c r="D152" s="95"/>
      <c r="E152" s="96"/>
    </row>
    <row r="153" spans="2:5" ht="26.4" x14ac:dyDescent="0.3">
      <c r="B153" s="199" t="s">
        <v>147</v>
      </c>
      <c r="C153" s="163"/>
      <c r="D153" s="194">
        <f>D140+D151+D129</f>
        <v>-1729.4349999999999</v>
      </c>
      <c r="E153" s="195">
        <f>E140+E151+E129</f>
        <v>-285.92650000000003</v>
      </c>
    </row>
    <row r="154" spans="2:5" x14ac:dyDescent="0.3">
      <c r="B154" s="97"/>
      <c r="C154" s="29"/>
      <c r="D154" s="95"/>
      <c r="E154" s="35"/>
    </row>
    <row r="155" spans="2:5" ht="26.4" x14ac:dyDescent="0.3">
      <c r="B155" s="393" t="s">
        <v>167</v>
      </c>
      <c r="C155" s="389"/>
      <c r="D155" s="400">
        <v>0</v>
      </c>
      <c r="E155" s="397">
        <v>0</v>
      </c>
    </row>
    <row r="156" spans="2:5" x14ac:dyDescent="0.3">
      <c r="B156" s="97"/>
      <c r="C156" s="29"/>
      <c r="D156" s="95"/>
      <c r="E156" s="35"/>
    </row>
    <row r="157" spans="2:5" ht="27" x14ac:dyDescent="0.3">
      <c r="B157" s="200" t="s">
        <v>148</v>
      </c>
      <c r="C157" s="163"/>
      <c r="D157" s="194">
        <f>D153+D155</f>
        <v>-1729.4349999999999</v>
      </c>
      <c r="E157" s="195">
        <f>E153+E155</f>
        <v>-285.92650000000003</v>
      </c>
    </row>
    <row r="158" spans="2:5" x14ac:dyDescent="0.3">
      <c r="B158" s="97"/>
      <c r="C158" s="29"/>
      <c r="D158" s="95"/>
      <c r="E158" s="35"/>
    </row>
    <row r="159" spans="2:5" x14ac:dyDescent="0.3">
      <c r="B159" s="94" t="s">
        <v>127</v>
      </c>
      <c r="C159" s="201"/>
      <c r="D159" s="202"/>
      <c r="E159" s="203"/>
    </row>
    <row r="160" spans="2:5" ht="26.4" x14ac:dyDescent="0.3">
      <c r="B160" s="196" t="s">
        <v>149</v>
      </c>
      <c r="C160" s="163"/>
      <c r="D160" s="194"/>
      <c r="E160" s="70"/>
    </row>
    <row r="161" spans="2:5" x14ac:dyDescent="0.3">
      <c r="B161" s="393" t="s">
        <v>150</v>
      </c>
      <c r="C161" s="389"/>
      <c r="D161" s="400">
        <f>D89-C89</f>
        <v>0</v>
      </c>
      <c r="E161" s="397">
        <f>E89-D89</f>
        <v>0</v>
      </c>
    </row>
    <row r="162" spans="2:5" x14ac:dyDescent="0.3">
      <c r="B162" s="393" t="s">
        <v>151</v>
      </c>
      <c r="C162" s="389"/>
      <c r="D162" s="400">
        <v>0</v>
      </c>
      <c r="E162" s="397">
        <v>0</v>
      </c>
    </row>
    <row r="163" spans="2:5" x14ac:dyDescent="0.3">
      <c r="B163" s="393" t="s">
        <v>152</v>
      </c>
      <c r="C163" s="389"/>
      <c r="D163" s="400">
        <v>0</v>
      </c>
      <c r="E163" s="397">
        <v>0</v>
      </c>
    </row>
    <row r="164" spans="2:5" ht="26.4" x14ac:dyDescent="0.3">
      <c r="B164" s="198" t="s">
        <v>153</v>
      </c>
      <c r="C164" s="163"/>
      <c r="D164" s="194">
        <f>SUM(D161:D163)</f>
        <v>0</v>
      </c>
      <c r="E164" s="195">
        <f>SUM(E161:E163)</f>
        <v>0</v>
      </c>
    </row>
    <row r="165" spans="2:5" x14ac:dyDescent="0.3">
      <c r="B165" s="97"/>
      <c r="C165" s="29"/>
      <c r="D165" s="95"/>
      <c r="E165" s="35"/>
    </row>
    <row r="166" spans="2:5" ht="26.4" x14ac:dyDescent="0.3">
      <c r="B166" s="199" t="s">
        <v>154</v>
      </c>
      <c r="C166" s="163"/>
      <c r="D166" s="194"/>
      <c r="E166" s="70"/>
    </row>
    <row r="167" spans="2:5" x14ac:dyDescent="0.3">
      <c r="B167" s="415" t="s">
        <v>155</v>
      </c>
      <c r="C167" s="389"/>
      <c r="D167" s="400"/>
      <c r="E167" s="397"/>
    </row>
    <row r="168" spans="2:5" x14ac:dyDescent="0.3">
      <c r="B168" s="393" t="s">
        <v>156</v>
      </c>
      <c r="C168" s="389"/>
      <c r="D168" s="400">
        <f>D110</f>
        <v>0</v>
      </c>
      <c r="E168" s="397">
        <f>E110</f>
        <v>0</v>
      </c>
    </row>
    <row r="169" spans="2:5" x14ac:dyDescent="0.3">
      <c r="B169" s="393" t="s">
        <v>157</v>
      </c>
      <c r="C169" s="389"/>
      <c r="D169" s="400">
        <v>0</v>
      </c>
      <c r="E169" s="397">
        <v>0</v>
      </c>
    </row>
    <row r="170" spans="2:5" x14ac:dyDescent="0.3">
      <c r="B170" s="393" t="s">
        <v>158</v>
      </c>
      <c r="C170" s="389"/>
      <c r="D170" s="400">
        <v>0</v>
      </c>
      <c r="E170" s="397">
        <v>0</v>
      </c>
    </row>
    <row r="171" spans="2:5" x14ac:dyDescent="0.3">
      <c r="B171" s="393" t="s">
        <v>159</v>
      </c>
      <c r="C171" s="389"/>
      <c r="D171" s="400">
        <f>D99-C99+D103-C103</f>
        <v>0</v>
      </c>
      <c r="E171" s="397">
        <f>E99-D99+E103-D103</f>
        <v>0</v>
      </c>
    </row>
    <row r="172" spans="2:5" x14ac:dyDescent="0.3">
      <c r="B172" s="393" t="s">
        <v>160</v>
      </c>
      <c r="C172" s="389"/>
      <c r="D172" s="400">
        <v>0</v>
      </c>
      <c r="E172" s="397">
        <v>0</v>
      </c>
    </row>
    <row r="173" spans="2:5" x14ac:dyDescent="0.3">
      <c r="B173" s="393" t="s">
        <v>161</v>
      </c>
      <c r="C173" s="389"/>
      <c r="D173" s="400">
        <v>0</v>
      </c>
      <c r="E173" s="397">
        <v>0</v>
      </c>
    </row>
    <row r="174" spans="2:5" ht="26.4" x14ac:dyDescent="0.3">
      <c r="B174" s="198" t="s">
        <v>162</v>
      </c>
      <c r="C174" s="163"/>
      <c r="D174" s="194">
        <f>SUM(D168:D173)</f>
        <v>0</v>
      </c>
      <c r="E174" s="195">
        <f>SUM(E168:E173)</f>
        <v>0</v>
      </c>
    </row>
    <row r="175" spans="2:5" x14ac:dyDescent="0.3">
      <c r="B175" s="97"/>
      <c r="C175" s="29"/>
      <c r="D175" s="95"/>
      <c r="E175" s="35"/>
    </row>
    <row r="176" spans="2:5" ht="27" x14ac:dyDescent="0.3">
      <c r="B176" s="200" t="s">
        <v>163</v>
      </c>
      <c r="C176" s="163"/>
      <c r="D176" s="194">
        <f>D157+D164+D174</f>
        <v>-1729.4349999999999</v>
      </c>
      <c r="E176" s="195">
        <f>E157+E164+E174</f>
        <v>-285.92650000000003</v>
      </c>
    </row>
    <row r="177" spans="2:5" x14ac:dyDescent="0.3">
      <c r="B177" s="97"/>
      <c r="C177" s="29"/>
      <c r="D177" s="95"/>
      <c r="E177" s="35"/>
    </row>
    <row r="178" spans="2:5" x14ac:dyDescent="0.3">
      <c r="B178" s="393" t="s">
        <v>164</v>
      </c>
      <c r="C178" s="389"/>
      <c r="D178" s="400">
        <f>C73</f>
        <v>2000</v>
      </c>
      <c r="E178" s="397">
        <f>D179</f>
        <v>270.56500000000005</v>
      </c>
    </row>
    <row r="179" spans="2:5" x14ac:dyDescent="0.3">
      <c r="B179" s="393" t="s">
        <v>165</v>
      </c>
      <c r="C179" s="389"/>
      <c r="D179" s="400">
        <f>D178+D176</f>
        <v>270.56500000000005</v>
      </c>
      <c r="E179" s="397">
        <f>E178+E176</f>
        <v>-15.361499999999978</v>
      </c>
    </row>
    <row r="180" spans="2:5" x14ac:dyDescent="0.3">
      <c r="B180" s="98" t="s">
        <v>166</v>
      </c>
      <c r="C180" s="30"/>
      <c r="D180" s="92">
        <f>D73-D179</f>
        <v>0</v>
      </c>
      <c r="E180" s="93">
        <f>E73-E179</f>
        <v>0</v>
      </c>
    </row>
  </sheetData>
  <conditionalFormatting sqref="B128 B159">
    <cfRule type="cellIs" dxfId="0" priority="1" stopIfTrue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17DB-0C04-42F0-B737-DC802ABDBE14}">
  <dimension ref="B2:S50"/>
  <sheetViews>
    <sheetView showGridLines="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F30" sqref="F30"/>
    </sheetView>
  </sheetViews>
  <sheetFormatPr defaultColWidth="11.19921875" defaultRowHeight="15.6" x14ac:dyDescent="0.3"/>
  <cols>
    <col min="2" max="2" width="33.69921875" style="3" customWidth="1"/>
    <col min="3" max="3" width="16.69921875" customWidth="1"/>
    <col min="4" max="4" width="15" style="2" customWidth="1"/>
    <col min="5" max="5" width="12.5" customWidth="1"/>
    <col min="6" max="6" width="5.796875" customWidth="1"/>
    <col min="7" max="7" width="16.69921875" customWidth="1"/>
    <col min="8" max="8" width="15" style="2" customWidth="1"/>
    <col min="9" max="9" width="12.5" customWidth="1"/>
    <col min="10" max="10" width="5.796875" customWidth="1"/>
    <col min="11" max="11" width="18.296875" customWidth="1"/>
    <col min="12" max="12" width="15.296875" style="2" customWidth="1"/>
    <col min="13" max="13" width="14.19921875" customWidth="1"/>
    <col min="14" max="14" width="6" customWidth="1"/>
    <col min="15" max="15" width="20.796875" customWidth="1"/>
    <col min="16" max="16" width="14" customWidth="1"/>
    <col min="17" max="17" width="5.5" customWidth="1"/>
    <col min="18" max="18" width="23.69921875" customWidth="1"/>
    <col min="19" max="19" width="10.796875" customWidth="1"/>
  </cols>
  <sheetData>
    <row r="2" spans="2:19" x14ac:dyDescent="0.3">
      <c r="C2" s="229" t="s">
        <v>250</v>
      </c>
      <c r="D2" s="229" t="s">
        <v>249</v>
      </c>
      <c r="E2" s="229" t="s">
        <v>242</v>
      </c>
      <c r="F2" s="230"/>
      <c r="G2" s="229" t="s">
        <v>248</v>
      </c>
      <c r="H2" s="229" t="s">
        <v>247</v>
      </c>
      <c r="I2" s="229" t="s">
        <v>242</v>
      </c>
      <c r="J2" s="230"/>
      <c r="K2" s="229" t="s">
        <v>246</v>
      </c>
      <c r="L2" s="229" t="s">
        <v>245</v>
      </c>
      <c r="M2" s="229" t="s">
        <v>242</v>
      </c>
      <c r="N2" s="229"/>
      <c r="O2" s="229" t="s">
        <v>244</v>
      </c>
      <c r="P2" s="229" t="s">
        <v>242</v>
      </c>
      <c r="Q2" s="230"/>
      <c r="R2" s="229" t="s">
        <v>243</v>
      </c>
      <c r="S2" s="229" t="s">
        <v>242</v>
      </c>
    </row>
    <row r="4" spans="2:19" ht="16.95" customHeight="1" x14ac:dyDescent="0.3">
      <c r="B4" s="231" t="s">
        <v>170</v>
      </c>
      <c r="C4" s="225">
        <v>1200</v>
      </c>
      <c r="D4" s="2">
        <v>1300</v>
      </c>
      <c r="E4" s="219">
        <f>D4/C4-1</f>
        <v>8.3333333333333259E-2</v>
      </c>
      <c r="G4" s="462" t="s">
        <v>241</v>
      </c>
      <c r="H4" s="462"/>
      <c r="I4" s="462"/>
      <c r="K4" s="462" t="s">
        <v>240</v>
      </c>
      <c r="L4" s="462"/>
      <c r="M4" s="462"/>
      <c r="O4" s="463" t="s">
        <v>239</v>
      </c>
      <c r="P4" s="463"/>
      <c r="R4" s="463" t="s">
        <v>238</v>
      </c>
      <c r="S4" s="463"/>
    </row>
    <row r="5" spans="2:19" x14ac:dyDescent="0.3">
      <c r="B5" s="231" t="s">
        <v>169</v>
      </c>
      <c r="C5" s="6">
        <v>0.05</v>
      </c>
      <c r="D5" s="224">
        <f>D6/D4</f>
        <v>4.4615384615384612E-2</v>
      </c>
      <c r="E5" s="219">
        <f>D5/C5-1</f>
        <v>-0.10769230769230775</v>
      </c>
      <c r="G5" s="462"/>
      <c r="H5" s="462"/>
      <c r="I5" s="462"/>
      <c r="K5" s="462"/>
      <c r="L5" s="462"/>
      <c r="M5" s="462"/>
      <c r="O5" s="463"/>
      <c r="P5" s="463"/>
      <c r="R5" s="463"/>
      <c r="S5" s="463"/>
    </row>
    <row r="6" spans="2:19" x14ac:dyDescent="0.3">
      <c r="B6" s="231" t="s">
        <v>171</v>
      </c>
      <c r="C6" s="2">
        <v>60</v>
      </c>
      <c r="D6" s="2">
        <v>58</v>
      </c>
      <c r="E6" s="219">
        <f>D6/C6-1</f>
        <v>-3.3333333333333326E-2</v>
      </c>
      <c r="G6" s="462"/>
      <c r="H6" s="462"/>
      <c r="I6" s="462"/>
      <c r="K6" s="462"/>
      <c r="L6" s="462"/>
      <c r="M6" s="462"/>
      <c r="O6" s="463"/>
      <c r="P6" s="463"/>
      <c r="R6" s="463"/>
      <c r="S6" s="463"/>
    </row>
    <row r="7" spans="2:19" x14ac:dyDescent="0.3">
      <c r="C7" s="2"/>
      <c r="G7" s="462"/>
      <c r="H7" s="462"/>
      <c r="I7" s="462"/>
      <c r="K7" s="462"/>
      <c r="L7" s="462"/>
      <c r="M7" s="462"/>
      <c r="O7" s="463"/>
      <c r="P7" s="463"/>
      <c r="R7" s="463"/>
      <c r="S7" s="463"/>
    </row>
    <row r="8" spans="2:19" x14ac:dyDescent="0.3">
      <c r="B8" s="231" t="s">
        <v>168</v>
      </c>
      <c r="C8" s="4">
        <v>60</v>
      </c>
      <c r="D8" s="4">
        <v>65</v>
      </c>
      <c r="E8" s="219">
        <f>D8/C8-1</f>
        <v>8.3333333333333259E-2</v>
      </c>
      <c r="G8" s="462"/>
      <c r="H8" s="462"/>
      <c r="I8" s="462"/>
      <c r="K8" s="462"/>
      <c r="L8" s="462"/>
      <c r="M8" s="462"/>
      <c r="O8" s="463"/>
      <c r="P8" s="463"/>
      <c r="R8" s="463"/>
      <c r="S8" s="463"/>
    </row>
    <row r="9" spans="2:19" x14ac:dyDescent="0.3">
      <c r="C9" s="2"/>
      <c r="G9" s="2"/>
      <c r="K9" s="2"/>
    </row>
    <row r="10" spans="2:19" x14ac:dyDescent="0.3">
      <c r="B10" s="231" t="s">
        <v>173</v>
      </c>
      <c r="C10" s="2">
        <v>2</v>
      </c>
      <c r="D10" s="2">
        <v>0</v>
      </c>
      <c r="E10" s="219">
        <f>D10/C10-1</f>
        <v>-1</v>
      </c>
      <c r="G10" s="2"/>
      <c r="K10" s="2"/>
    </row>
    <row r="11" spans="2:19" x14ac:dyDescent="0.3">
      <c r="C11" s="2"/>
      <c r="G11" s="2"/>
      <c r="K11" s="2"/>
    </row>
    <row r="12" spans="2:19" x14ac:dyDescent="0.3">
      <c r="B12" s="231" t="s">
        <v>174</v>
      </c>
      <c r="C12" s="11">
        <v>3</v>
      </c>
      <c r="D12" s="2">
        <v>2.8</v>
      </c>
      <c r="E12" s="219">
        <f>D12/C12-1</f>
        <v>-6.6666666666666763E-2</v>
      </c>
      <c r="G12" s="11"/>
      <c r="K12" s="11"/>
    </row>
    <row r="13" spans="2:19" x14ac:dyDescent="0.3">
      <c r="C13" s="2"/>
      <c r="G13" s="2"/>
      <c r="K13" s="2"/>
    </row>
    <row r="14" spans="2:19" x14ac:dyDescent="0.3">
      <c r="B14" s="231" t="s">
        <v>172</v>
      </c>
      <c r="C14" s="6">
        <v>0.02</v>
      </c>
      <c r="D14" s="6">
        <v>0.02</v>
      </c>
      <c r="E14" s="219">
        <f>D14/C14-1</f>
        <v>0</v>
      </c>
      <c r="G14" s="6"/>
      <c r="K14" s="6"/>
    </row>
    <row r="15" spans="2:19" x14ac:dyDescent="0.3">
      <c r="B15" s="231" t="s">
        <v>175</v>
      </c>
      <c r="C15" s="6">
        <v>0.01</v>
      </c>
      <c r="D15" s="6">
        <v>0.01</v>
      </c>
      <c r="E15" s="219">
        <f>D15/C15-1</f>
        <v>0</v>
      </c>
      <c r="G15" s="6"/>
      <c r="K15" s="6"/>
    </row>
    <row r="16" spans="2:19" x14ac:dyDescent="0.3">
      <c r="B16" s="231" t="s">
        <v>177</v>
      </c>
      <c r="C16" s="4">
        <v>10</v>
      </c>
      <c r="D16" s="4">
        <v>8</v>
      </c>
      <c r="E16" s="219">
        <f>D16/C16-1</f>
        <v>-0.19999999999999996</v>
      </c>
      <c r="G16" s="2"/>
      <c r="K16" s="2"/>
    </row>
    <row r="17" spans="2:11" x14ac:dyDescent="0.3">
      <c r="B17" s="231" t="s">
        <v>73</v>
      </c>
      <c r="C17" s="4">
        <v>450</v>
      </c>
      <c r="D17" s="2">
        <v>400</v>
      </c>
      <c r="E17" s="219">
        <f>D17/C17-1</f>
        <v>-0.11111111111111116</v>
      </c>
      <c r="G17" s="4"/>
      <c r="K17" s="4"/>
    </row>
    <row r="18" spans="2:11" x14ac:dyDescent="0.3">
      <c r="B18" s="231" t="s">
        <v>237</v>
      </c>
      <c r="C18" s="4">
        <v>7.5</v>
      </c>
      <c r="D18" s="4">
        <f>D17/D6</f>
        <v>6.8965517241379306</v>
      </c>
      <c r="E18" s="219">
        <f>D18/C18-1</f>
        <v>-8.0459770114942541E-2</v>
      </c>
      <c r="G18" s="4"/>
      <c r="K18" s="4"/>
    </row>
    <row r="20" spans="2:11" s="2" customFormat="1" ht="16.95" customHeight="1" x14ac:dyDescent="0.3">
      <c r="B20" s="223"/>
    </row>
    <row r="21" spans="2:11" x14ac:dyDescent="0.3">
      <c r="B21" s="232" t="s">
        <v>42</v>
      </c>
      <c r="C21" s="7">
        <v>3600</v>
      </c>
      <c r="D21" s="7">
        <f>D8*D6</f>
        <v>3770</v>
      </c>
      <c r="E21" s="219">
        <f>D21/C21-1</f>
        <v>4.7222222222222276E-2</v>
      </c>
      <c r="G21" s="7"/>
      <c r="K21" s="7"/>
    </row>
    <row r="22" spans="2:11" x14ac:dyDescent="0.3">
      <c r="C22" s="7"/>
      <c r="D22" s="7"/>
      <c r="G22" s="7"/>
      <c r="K22" s="7"/>
    </row>
    <row r="23" spans="2:11" x14ac:dyDescent="0.3">
      <c r="B23" s="232" t="s">
        <v>58</v>
      </c>
      <c r="C23" s="8">
        <v>3168.6</v>
      </c>
      <c r="D23" s="8">
        <v>3300</v>
      </c>
      <c r="E23" s="219">
        <f>D23/C23-1</f>
        <v>4.1469418670706304E-2</v>
      </c>
      <c r="G23" s="8"/>
      <c r="K23" s="8"/>
    </row>
    <row r="24" spans="2:11" x14ac:dyDescent="0.3">
      <c r="C24" s="7"/>
      <c r="D24" s="7"/>
      <c r="G24" s="7"/>
      <c r="K24" s="7"/>
    </row>
    <row r="25" spans="2:11" ht="31.2" x14ac:dyDescent="0.3">
      <c r="B25" s="231" t="s">
        <v>60</v>
      </c>
      <c r="C25" s="7">
        <v>-1200</v>
      </c>
      <c r="D25" s="7">
        <f>-D21/D12</f>
        <v>-1346.4285714285716</v>
      </c>
      <c r="E25" s="219">
        <f>D25/C25-1</f>
        <v>0.12202380952380953</v>
      </c>
      <c r="G25" s="7"/>
      <c r="K25" s="7"/>
    </row>
    <row r="26" spans="2:11" x14ac:dyDescent="0.3">
      <c r="C26" s="7"/>
      <c r="D26" s="7"/>
      <c r="G26" s="7"/>
      <c r="K26" s="7"/>
    </row>
    <row r="27" spans="2:11" x14ac:dyDescent="0.3">
      <c r="B27" s="232" t="s">
        <v>62</v>
      </c>
      <c r="C27" s="8">
        <v>1968.6</v>
      </c>
      <c r="D27" s="8">
        <f>D23+D25</f>
        <v>1953.5714285714284</v>
      </c>
      <c r="E27" s="219">
        <f>D27/C27-1</f>
        <v>-7.634141739597422E-3</v>
      </c>
      <c r="G27" s="8"/>
      <c r="K27" s="8"/>
    </row>
    <row r="28" spans="2:11" x14ac:dyDescent="0.3">
      <c r="B28" s="232" t="s">
        <v>64</v>
      </c>
      <c r="C28" s="9">
        <v>0.62128384775610679</v>
      </c>
      <c r="D28" s="9">
        <f>D27/D23</f>
        <v>0.59199134199134196</v>
      </c>
      <c r="G28" s="9"/>
      <c r="K28" s="9"/>
    </row>
    <row r="29" spans="2:11" x14ac:dyDescent="0.3">
      <c r="C29" s="2"/>
      <c r="G29" s="2"/>
      <c r="K29" s="2"/>
    </row>
    <row r="30" spans="2:11" x14ac:dyDescent="0.3">
      <c r="B30" s="231" t="s">
        <v>66</v>
      </c>
      <c r="C30" s="7">
        <v>-1383.6860000000001</v>
      </c>
      <c r="D30" s="7">
        <v>-1300</v>
      </c>
      <c r="E30" s="219">
        <f>D30/C30-1</f>
        <v>-6.0480484734253381E-2</v>
      </c>
      <c r="G30" s="7"/>
      <c r="K30" s="7"/>
    </row>
    <row r="31" spans="2:11" x14ac:dyDescent="0.3">
      <c r="C31" s="7"/>
      <c r="D31" s="7"/>
      <c r="G31" s="7"/>
      <c r="K31" s="7"/>
    </row>
    <row r="32" spans="2:11" x14ac:dyDescent="0.3">
      <c r="B32" s="232" t="s">
        <v>76</v>
      </c>
      <c r="C32" s="8">
        <v>814.91399999999976</v>
      </c>
      <c r="D32" s="8">
        <v>800</v>
      </c>
      <c r="E32" s="219">
        <f>D32/C32-1</f>
        <v>-1.8301317685056051E-2</v>
      </c>
      <c r="G32" s="8"/>
      <c r="K32" s="8"/>
    </row>
    <row r="33" spans="2:11" x14ac:dyDescent="0.3">
      <c r="B33" s="232" t="s">
        <v>78</v>
      </c>
      <c r="C33" s="10">
        <v>0.25718424540806656</v>
      </c>
      <c r="D33" s="10">
        <f>D32/D23</f>
        <v>0.24242424242424243</v>
      </c>
      <c r="E33" s="219">
        <f>D33/C33-1</f>
        <v>-5.7390774308141879E-2</v>
      </c>
      <c r="G33" s="10"/>
      <c r="K33" s="10"/>
    </row>
    <row r="34" spans="2:11" x14ac:dyDescent="0.3">
      <c r="C34" s="2"/>
      <c r="G34" s="2"/>
      <c r="K34" s="2"/>
    </row>
    <row r="35" spans="2:11" x14ac:dyDescent="0.3">
      <c r="B35" s="231" t="s">
        <v>88</v>
      </c>
      <c r="C35" s="222">
        <v>584.91399999999976</v>
      </c>
      <c r="D35" s="222">
        <f>D27+D30</f>
        <v>653.57142857142844</v>
      </c>
      <c r="E35" s="219">
        <f>D35/C35-1</f>
        <v>0.11738038168248455</v>
      </c>
      <c r="G35" s="222"/>
      <c r="K35" s="222"/>
    </row>
    <row r="36" spans="2:11" x14ac:dyDescent="0.3">
      <c r="B36" s="231" t="s">
        <v>90</v>
      </c>
      <c r="C36" s="10">
        <v>0.18459698289465373</v>
      </c>
      <c r="D36" s="10">
        <f>D35/D23</f>
        <v>0.19805194805194801</v>
      </c>
      <c r="E36" s="219">
        <f>D36/C36-1</f>
        <v>7.2888326484581656E-2</v>
      </c>
      <c r="G36" s="10"/>
      <c r="K36" s="10"/>
    </row>
    <row r="37" spans="2:11" x14ac:dyDescent="0.3">
      <c r="C37" s="7"/>
      <c r="D37" s="7"/>
      <c r="G37" s="7"/>
      <c r="K37" s="7"/>
    </row>
    <row r="38" spans="2:11" x14ac:dyDescent="0.3">
      <c r="B38" s="231" t="s">
        <v>106</v>
      </c>
      <c r="C38" s="8">
        <v>426.98721999999981</v>
      </c>
      <c r="D38" s="8">
        <v>499</v>
      </c>
      <c r="E38" s="219">
        <f>D38/C38-1</f>
        <v>0.16865324446947194</v>
      </c>
      <c r="G38" s="8"/>
      <c r="K38" s="8"/>
    </row>
    <row r="39" spans="2:11" x14ac:dyDescent="0.3">
      <c r="B39" s="231" t="s">
        <v>108</v>
      </c>
      <c r="C39" s="9">
        <v>0.13475579751309721</v>
      </c>
      <c r="D39" s="9">
        <f>D38/D23</f>
        <v>0.15121212121212121</v>
      </c>
      <c r="E39" s="219">
        <f>D39/C39-1</f>
        <v>0.12211959709877851</v>
      </c>
      <c r="G39" s="9"/>
      <c r="K39" s="9"/>
    </row>
    <row r="40" spans="2:11" x14ac:dyDescent="0.3">
      <c r="D40"/>
    </row>
    <row r="41" spans="2:11" x14ac:dyDescent="0.3">
      <c r="B41"/>
      <c r="D41"/>
    </row>
    <row r="42" spans="2:11" x14ac:dyDescent="0.3">
      <c r="B42" s="27" t="s">
        <v>17</v>
      </c>
      <c r="C42" s="221">
        <v>4736</v>
      </c>
      <c r="D42" s="221">
        <v>5200</v>
      </c>
      <c r="E42" s="219">
        <f>D42/C42-1</f>
        <v>9.7972972972973027E-2</v>
      </c>
      <c r="G42" s="221"/>
      <c r="K42" s="221"/>
    </row>
    <row r="43" spans="2:11" x14ac:dyDescent="0.3">
      <c r="B43" s="220"/>
      <c r="C43" s="218"/>
      <c r="D43" s="218"/>
      <c r="G43" s="218"/>
      <c r="K43" s="218"/>
    </row>
    <row r="44" spans="2:11" ht="27" x14ac:dyDescent="0.3">
      <c r="B44" s="234" t="s">
        <v>148</v>
      </c>
      <c r="C44" s="218">
        <v>1185.9872199999998</v>
      </c>
      <c r="D44" s="218">
        <v>1800</v>
      </c>
      <c r="E44" s="219">
        <f>D44/C44-1</f>
        <v>0.51772293128082802</v>
      </c>
      <c r="G44" s="218"/>
      <c r="K44" s="218"/>
    </row>
    <row r="45" spans="2:11" x14ac:dyDescent="0.3">
      <c r="B45" s="220"/>
      <c r="C45" s="218"/>
      <c r="D45" s="218"/>
      <c r="G45" s="218"/>
      <c r="K45" s="218"/>
    </row>
    <row r="46" spans="2:11" x14ac:dyDescent="0.3">
      <c r="B46" s="220"/>
      <c r="C46" s="218"/>
      <c r="D46" s="218"/>
      <c r="G46" s="218"/>
      <c r="K46" s="218"/>
    </row>
    <row r="47" spans="2:11" ht="27" x14ac:dyDescent="0.3">
      <c r="B47" s="234" t="s">
        <v>163</v>
      </c>
      <c r="C47" s="218">
        <v>735.98721999999975</v>
      </c>
      <c r="D47" s="218">
        <v>1200</v>
      </c>
      <c r="E47" s="219">
        <f>D47/C47-1</f>
        <v>0.63046309418253266</v>
      </c>
      <c r="G47" s="218"/>
      <c r="K47" s="218"/>
    </row>
    <row r="48" spans="2:11" x14ac:dyDescent="0.3">
      <c r="B48" s="220"/>
      <c r="C48" s="218"/>
      <c r="D48" s="218"/>
      <c r="G48" s="218"/>
      <c r="K48" s="218"/>
    </row>
    <row r="49" spans="2:11" x14ac:dyDescent="0.3">
      <c r="B49" s="233" t="s">
        <v>164</v>
      </c>
      <c r="C49" s="218">
        <v>4000</v>
      </c>
      <c r="D49" s="218">
        <v>4000</v>
      </c>
      <c r="E49" s="219">
        <f>D49/C49-1</f>
        <v>0</v>
      </c>
      <c r="G49" s="218"/>
      <c r="K49" s="218"/>
    </row>
    <row r="50" spans="2:11" x14ac:dyDescent="0.3">
      <c r="B50" s="233" t="s">
        <v>165</v>
      </c>
      <c r="C50" s="218">
        <v>4735.98722</v>
      </c>
      <c r="D50" s="218">
        <v>5200</v>
      </c>
      <c r="E50" s="219">
        <f>D50/C50-1</f>
        <v>9.7975935838779504E-2</v>
      </c>
      <c r="G50" s="218"/>
      <c r="K50" s="218"/>
    </row>
  </sheetData>
  <mergeCells count="4">
    <mergeCell ref="G4:I8"/>
    <mergeCell ref="K4:M8"/>
    <mergeCell ref="O4:P8"/>
    <mergeCell ref="R4:S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DD77-6069-4A96-A6EC-260594E06416}">
  <dimension ref="B3:J28"/>
  <sheetViews>
    <sheetView showGridLines="0" workbookViewId="0">
      <selection activeCell="J23" sqref="J23"/>
    </sheetView>
  </sheetViews>
  <sheetFormatPr defaultColWidth="10.796875" defaultRowHeight="15.6" x14ac:dyDescent="0.3"/>
  <cols>
    <col min="2" max="2" width="37.19921875" customWidth="1"/>
    <col min="3" max="6" width="14" customWidth="1"/>
    <col min="7" max="7" width="15.796875" customWidth="1"/>
    <col min="8" max="10" width="14" customWidth="1"/>
  </cols>
  <sheetData>
    <row r="3" spans="2:10" x14ac:dyDescent="0.3">
      <c r="B3" s="238"/>
      <c r="C3" s="81" t="s">
        <v>291</v>
      </c>
      <c r="D3" s="81" t="s">
        <v>290</v>
      </c>
      <c r="E3" s="81" t="s">
        <v>289</v>
      </c>
      <c r="F3" s="81" t="s">
        <v>288</v>
      </c>
      <c r="G3" s="81" t="s">
        <v>287</v>
      </c>
      <c r="H3" s="81" t="s">
        <v>286</v>
      </c>
      <c r="I3" s="81" t="s">
        <v>285</v>
      </c>
      <c r="J3" s="82" t="s">
        <v>284</v>
      </c>
    </row>
    <row r="4" spans="2:10" x14ac:dyDescent="0.3">
      <c r="B4" s="68" t="s">
        <v>271</v>
      </c>
      <c r="C4" s="248">
        <v>200000</v>
      </c>
      <c r="D4" s="248">
        <v>200000</v>
      </c>
      <c r="E4" s="248">
        <v>200000</v>
      </c>
      <c r="F4" s="248">
        <v>200000</v>
      </c>
      <c r="G4" s="248">
        <v>200000</v>
      </c>
      <c r="H4" s="248">
        <v>200000</v>
      </c>
      <c r="I4" s="248">
        <v>200000</v>
      </c>
      <c r="J4" s="249">
        <v>200000</v>
      </c>
    </row>
    <row r="5" spans="2:10" x14ac:dyDescent="0.3">
      <c r="B5" s="68" t="s">
        <v>270</v>
      </c>
      <c r="C5" s="255">
        <v>0.15</v>
      </c>
      <c r="D5" s="255">
        <v>0.15</v>
      </c>
      <c r="E5" s="255">
        <v>0.15</v>
      </c>
      <c r="F5" s="255">
        <v>0.15</v>
      </c>
      <c r="G5" s="255">
        <v>0.15</v>
      </c>
      <c r="H5" s="274">
        <v>0.2</v>
      </c>
      <c r="I5" s="274">
        <v>0.1</v>
      </c>
      <c r="J5" s="257">
        <v>0.15</v>
      </c>
    </row>
    <row r="6" spans="2:10" x14ac:dyDescent="0.3">
      <c r="B6" s="68" t="s">
        <v>269</v>
      </c>
      <c r="C6" s="248">
        <f t="shared" ref="C6:J6" si="0">C4*C5</f>
        <v>30000</v>
      </c>
      <c r="D6" s="248">
        <f t="shared" si="0"/>
        <v>30000</v>
      </c>
      <c r="E6" s="248">
        <f t="shared" si="0"/>
        <v>30000</v>
      </c>
      <c r="F6" s="248">
        <f t="shared" si="0"/>
        <v>30000</v>
      </c>
      <c r="G6" s="248">
        <f t="shared" si="0"/>
        <v>30000</v>
      </c>
      <c r="H6" s="248">
        <f t="shared" si="0"/>
        <v>40000</v>
      </c>
      <c r="I6" s="248">
        <f t="shared" si="0"/>
        <v>20000</v>
      </c>
      <c r="J6" s="249">
        <f t="shared" si="0"/>
        <v>30000</v>
      </c>
    </row>
    <row r="7" spans="2:10" x14ac:dyDescent="0.3">
      <c r="B7" s="114"/>
      <c r="C7" s="15"/>
      <c r="D7" s="15"/>
      <c r="E7" s="15"/>
      <c r="F7" s="15"/>
      <c r="G7" s="15"/>
      <c r="H7" s="15"/>
      <c r="I7" s="15"/>
      <c r="J7" s="115"/>
    </row>
    <row r="8" spans="2:10" x14ac:dyDescent="0.3">
      <c r="B8" s="68" t="s">
        <v>283</v>
      </c>
      <c r="C8" s="248">
        <v>35300</v>
      </c>
      <c r="D8" s="248">
        <v>35300</v>
      </c>
      <c r="E8" s="248">
        <v>48000</v>
      </c>
      <c r="F8" s="248">
        <v>70000</v>
      </c>
      <c r="G8" s="248">
        <v>80000</v>
      </c>
      <c r="H8" s="248">
        <v>105000</v>
      </c>
      <c r="I8" s="248">
        <v>105000</v>
      </c>
      <c r="J8" s="249">
        <v>80000</v>
      </c>
    </row>
    <row r="9" spans="2:10" x14ac:dyDescent="0.3">
      <c r="B9" s="68" t="s">
        <v>266</v>
      </c>
      <c r="C9" s="275">
        <v>24</v>
      </c>
      <c r="D9" s="275">
        <v>36</v>
      </c>
      <c r="E9" s="275">
        <v>36</v>
      </c>
      <c r="F9" s="276">
        <v>60</v>
      </c>
      <c r="G9" s="276">
        <v>60</v>
      </c>
      <c r="H9" s="251">
        <v>60</v>
      </c>
      <c r="I9" s="251">
        <v>60</v>
      </c>
      <c r="J9" s="254">
        <v>60</v>
      </c>
    </row>
    <row r="10" spans="2:10" x14ac:dyDescent="0.3">
      <c r="B10" s="68" t="s">
        <v>265</v>
      </c>
      <c r="C10" s="255">
        <v>0.09</v>
      </c>
      <c r="D10" s="255">
        <v>0.09</v>
      </c>
      <c r="E10" s="255">
        <v>0.09</v>
      </c>
      <c r="F10" s="255">
        <v>0.09</v>
      </c>
      <c r="G10" s="255">
        <v>0.09</v>
      </c>
      <c r="H10" s="255">
        <v>0.09</v>
      </c>
      <c r="I10" s="255">
        <v>0.09</v>
      </c>
      <c r="J10" s="277">
        <v>7.0000000000000007E-2</v>
      </c>
    </row>
    <row r="11" spans="2:10" x14ac:dyDescent="0.3">
      <c r="B11" s="68" t="s">
        <v>263</v>
      </c>
      <c r="C11" s="255">
        <v>0.02</v>
      </c>
      <c r="D11" s="255">
        <v>0.02</v>
      </c>
      <c r="E11" s="255">
        <v>0.02</v>
      </c>
      <c r="F11" s="255">
        <v>0.02</v>
      </c>
      <c r="G11" s="255">
        <v>0.02</v>
      </c>
      <c r="H11" s="255">
        <v>0.02</v>
      </c>
      <c r="I11" s="255">
        <v>0.02</v>
      </c>
      <c r="J11" s="257">
        <v>0.02</v>
      </c>
    </row>
    <row r="12" spans="2:10" x14ac:dyDescent="0.3">
      <c r="B12" s="68" t="s">
        <v>282</v>
      </c>
      <c r="C12" s="255">
        <f t="shared" ref="C12:J12" si="1">C10+C11</f>
        <v>0.11</v>
      </c>
      <c r="D12" s="255">
        <f t="shared" si="1"/>
        <v>0.11</v>
      </c>
      <c r="E12" s="255">
        <f t="shared" si="1"/>
        <v>0.11</v>
      </c>
      <c r="F12" s="255">
        <f t="shared" si="1"/>
        <v>0.11</v>
      </c>
      <c r="G12" s="255">
        <f t="shared" si="1"/>
        <v>0.11</v>
      </c>
      <c r="H12" s="255">
        <f t="shared" si="1"/>
        <v>0.11</v>
      </c>
      <c r="I12" s="255">
        <f t="shared" si="1"/>
        <v>0.11</v>
      </c>
      <c r="J12" s="257">
        <f t="shared" si="1"/>
        <v>9.0000000000000011E-2</v>
      </c>
    </row>
    <row r="13" spans="2:10" x14ac:dyDescent="0.3">
      <c r="B13" s="114"/>
      <c r="C13" s="15"/>
      <c r="D13" s="15"/>
      <c r="E13" s="15"/>
      <c r="F13" s="242"/>
      <c r="G13" s="242"/>
      <c r="H13" s="242"/>
      <c r="I13" s="242"/>
      <c r="J13" s="243"/>
    </row>
    <row r="14" spans="2:10" x14ac:dyDescent="0.3">
      <c r="B14" s="68" t="s">
        <v>262</v>
      </c>
      <c r="C14" s="258">
        <f t="shared" ref="C14:J14" si="2">C8*(C10+C11)</f>
        <v>3883</v>
      </c>
      <c r="D14" s="258">
        <f t="shared" si="2"/>
        <v>3883</v>
      </c>
      <c r="E14" s="258">
        <f t="shared" si="2"/>
        <v>5280</v>
      </c>
      <c r="F14" s="258">
        <f t="shared" si="2"/>
        <v>7700</v>
      </c>
      <c r="G14" s="258">
        <f t="shared" si="2"/>
        <v>8800</v>
      </c>
      <c r="H14" s="258">
        <f t="shared" si="2"/>
        <v>11550</v>
      </c>
      <c r="I14" s="258">
        <f t="shared" si="2"/>
        <v>11550</v>
      </c>
      <c r="J14" s="259">
        <f t="shared" si="2"/>
        <v>7200.0000000000009</v>
      </c>
    </row>
    <row r="15" spans="2:10" x14ac:dyDescent="0.3">
      <c r="B15" s="114"/>
      <c r="C15" s="227"/>
      <c r="D15" s="227"/>
      <c r="E15" s="227"/>
      <c r="F15" s="15"/>
      <c r="G15" s="15"/>
      <c r="H15" s="15"/>
      <c r="I15" s="15"/>
      <c r="J15" s="115"/>
    </row>
    <row r="16" spans="2:10" x14ac:dyDescent="0.3">
      <c r="B16" s="68" t="s">
        <v>261</v>
      </c>
      <c r="C16" s="248">
        <f t="shared" ref="C16:J16" si="3">C6-C14</f>
        <v>26117</v>
      </c>
      <c r="D16" s="248">
        <f t="shared" si="3"/>
        <v>26117</v>
      </c>
      <c r="E16" s="248">
        <f t="shared" si="3"/>
        <v>24720</v>
      </c>
      <c r="F16" s="248">
        <f t="shared" si="3"/>
        <v>22300</v>
      </c>
      <c r="G16" s="248">
        <f t="shared" si="3"/>
        <v>21200</v>
      </c>
      <c r="H16" s="248">
        <f t="shared" si="3"/>
        <v>28450</v>
      </c>
      <c r="I16" s="248">
        <f t="shared" si="3"/>
        <v>8450</v>
      </c>
      <c r="J16" s="249">
        <f t="shared" si="3"/>
        <v>22800</v>
      </c>
    </row>
    <row r="17" spans="2:10" x14ac:dyDescent="0.3">
      <c r="B17" s="68" t="s">
        <v>260</v>
      </c>
      <c r="C17" s="258">
        <f t="shared" ref="C17:J17" si="4">-34%*C16</f>
        <v>-8879.7800000000007</v>
      </c>
      <c r="D17" s="258">
        <f t="shared" si="4"/>
        <v>-8879.7800000000007</v>
      </c>
      <c r="E17" s="258">
        <f t="shared" si="4"/>
        <v>-8404.8000000000011</v>
      </c>
      <c r="F17" s="258">
        <f t="shared" si="4"/>
        <v>-7582.0000000000009</v>
      </c>
      <c r="G17" s="258">
        <f t="shared" si="4"/>
        <v>-7208.0000000000009</v>
      </c>
      <c r="H17" s="258">
        <f t="shared" si="4"/>
        <v>-9673</v>
      </c>
      <c r="I17" s="258">
        <f t="shared" si="4"/>
        <v>-2873</v>
      </c>
      <c r="J17" s="259">
        <f t="shared" si="4"/>
        <v>-7752.0000000000009</v>
      </c>
    </row>
    <row r="18" spans="2:10" x14ac:dyDescent="0.3">
      <c r="B18" s="68" t="s">
        <v>259</v>
      </c>
      <c r="C18" s="248">
        <f t="shared" ref="C18:J18" si="5">C16+C17</f>
        <v>17237.22</v>
      </c>
      <c r="D18" s="248">
        <f t="shared" si="5"/>
        <v>17237.22</v>
      </c>
      <c r="E18" s="248">
        <f t="shared" si="5"/>
        <v>16315.199999999999</v>
      </c>
      <c r="F18" s="248">
        <f t="shared" si="5"/>
        <v>14718</v>
      </c>
      <c r="G18" s="248">
        <f t="shared" si="5"/>
        <v>13992</v>
      </c>
      <c r="H18" s="248">
        <f t="shared" si="5"/>
        <v>18777</v>
      </c>
      <c r="I18" s="248">
        <f t="shared" si="5"/>
        <v>5577</v>
      </c>
      <c r="J18" s="249">
        <f t="shared" si="5"/>
        <v>15048</v>
      </c>
    </row>
    <row r="19" spans="2:10" x14ac:dyDescent="0.3">
      <c r="B19" s="68"/>
      <c r="C19" s="256">
        <f t="shared" ref="C19:J19" si="6">C18/C4</f>
        <v>8.6186100000000002E-2</v>
      </c>
      <c r="D19" s="256">
        <f t="shared" si="6"/>
        <v>8.6186100000000002E-2</v>
      </c>
      <c r="E19" s="256">
        <f t="shared" si="6"/>
        <v>8.1575999999999996E-2</v>
      </c>
      <c r="F19" s="256">
        <f t="shared" si="6"/>
        <v>7.3590000000000003E-2</v>
      </c>
      <c r="G19" s="256">
        <f t="shared" si="6"/>
        <v>6.9959999999999994E-2</v>
      </c>
      <c r="H19" s="256">
        <f t="shared" si="6"/>
        <v>9.3884999999999996E-2</v>
      </c>
      <c r="I19" s="256">
        <f t="shared" si="6"/>
        <v>2.7885E-2</v>
      </c>
      <c r="J19" s="260">
        <f t="shared" si="6"/>
        <v>7.5240000000000001E-2</v>
      </c>
    </row>
    <row r="20" spans="2:10" x14ac:dyDescent="0.3">
      <c r="B20" s="114"/>
      <c r="C20" s="15"/>
      <c r="D20" s="15"/>
      <c r="E20" s="15"/>
      <c r="F20" s="15"/>
      <c r="G20" s="15"/>
      <c r="H20" s="15"/>
      <c r="I20" s="15"/>
      <c r="J20" s="115"/>
    </row>
    <row r="21" spans="2:10" x14ac:dyDescent="0.3">
      <c r="B21" s="68" t="s">
        <v>258</v>
      </c>
      <c r="C21" s="248">
        <f t="shared" ref="C21:J21" si="7">C8/C9*12</f>
        <v>17650</v>
      </c>
      <c r="D21" s="248">
        <f t="shared" si="7"/>
        <v>11766.666666666666</v>
      </c>
      <c r="E21" s="248">
        <f t="shared" si="7"/>
        <v>16000</v>
      </c>
      <c r="F21" s="248">
        <f t="shared" si="7"/>
        <v>14000</v>
      </c>
      <c r="G21" s="248">
        <f t="shared" si="7"/>
        <v>16000</v>
      </c>
      <c r="H21" s="248">
        <f t="shared" si="7"/>
        <v>21000</v>
      </c>
      <c r="I21" s="248">
        <f t="shared" si="7"/>
        <v>21000</v>
      </c>
      <c r="J21" s="249">
        <f t="shared" si="7"/>
        <v>16000</v>
      </c>
    </row>
    <row r="22" spans="2:10" x14ac:dyDescent="0.3">
      <c r="B22" s="114"/>
      <c r="C22" s="15"/>
      <c r="D22" s="15"/>
      <c r="E22" s="15"/>
      <c r="F22" s="15"/>
      <c r="G22" s="15"/>
      <c r="H22" s="15"/>
      <c r="I22" s="15"/>
      <c r="J22" s="115"/>
    </row>
    <row r="23" spans="2:10" x14ac:dyDescent="0.3">
      <c r="B23" s="68" t="s">
        <v>281</v>
      </c>
      <c r="C23" s="248">
        <f t="shared" ref="C23:J23" si="8">C18-C21</f>
        <v>-412.77999999999884</v>
      </c>
      <c r="D23" s="248">
        <f t="shared" si="8"/>
        <v>5470.5533333333351</v>
      </c>
      <c r="E23" s="248">
        <f t="shared" si="8"/>
        <v>315.19999999999891</v>
      </c>
      <c r="F23" s="248">
        <f t="shared" si="8"/>
        <v>718</v>
      </c>
      <c r="G23" s="248">
        <f t="shared" si="8"/>
        <v>-2008</v>
      </c>
      <c r="H23" s="248">
        <f t="shared" si="8"/>
        <v>-2223</v>
      </c>
      <c r="I23" s="248">
        <f t="shared" si="8"/>
        <v>-15423</v>
      </c>
      <c r="J23" s="249">
        <f t="shared" si="8"/>
        <v>-952</v>
      </c>
    </row>
    <row r="24" spans="2:10" x14ac:dyDescent="0.3">
      <c r="B24" s="114"/>
      <c r="C24" s="15"/>
      <c r="D24" s="15"/>
      <c r="E24" s="15"/>
      <c r="F24" s="15"/>
      <c r="G24" s="15"/>
      <c r="H24" s="15"/>
      <c r="I24" s="15"/>
      <c r="J24" s="115"/>
    </row>
    <row r="25" spans="2:10" x14ac:dyDescent="0.3">
      <c r="B25" s="278" t="s">
        <v>280</v>
      </c>
      <c r="C25" s="273">
        <f t="shared" ref="C25:J25" si="9">C8/C6</f>
        <v>1.1766666666666667</v>
      </c>
      <c r="D25" s="273">
        <f t="shared" si="9"/>
        <v>1.1766666666666667</v>
      </c>
      <c r="E25" s="273">
        <f t="shared" si="9"/>
        <v>1.6</v>
      </c>
      <c r="F25" s="273">
        <f t="shared" si="9"/>
        <v>2.3333333333333335</v>
      </c>
      <c r="G25" s="273">
        <f t="shared" si="9"/>
        <v>2.6666666666666665</v>
      </c>
      <c r="H25" s="273">
        <f t="shared" si="9"/>
        <v>2.625</v>
      </c>
      <c r="I25" s="273">
        <f t="shared" si="9"/>
        <v>5.25</v>
      </c>
      <c r="J25" s="279">
        <f t="shared" si="9"/>
        <v>2.6666666666666665</v>
      </c>
    </row>
    <row r="26" spans="2:10" x14ac:dyDescent="0.3">
      <c r="B26" s="114"/>
      <c r="C26" s="15"/>
      <c r="D26" s="15"/>
      <c r="E26" s="15"/>
      <c r="F26" s="15"/>
      <c r="G26" s="15"/>
      <c r="H26" s="15"/>
      <c r="I26" s="15"/>
      <c r="J26" s="115"/>
    </row>
    <row r="27" spans="2:10" x14ac:dyDescent="0.3">
      <c r="B27" s="71" t="s">
        <v>279</v>
      </c>
      <c r="C27" s="280">
        <f t="shared" ref="C27:J27" si="10">((C21+C14)/12)/(C6/12)</f>
        <v>0.71776666666666666</v>
      </c>
      <c r="D27" s="280">
        <f t="shared" si="10"/>
        <v>0.52165555555555554</v>
      </c>
      <c r="E27" s="280">
        <f t="shared" si="10"/>
        <v>0.70933333333333326</v>
      </c>
      <c r="F27" s="280">
        <f t="shared" si="10"/>
        <v>0.72333333333333327</v>
      </c>
      <c r="G27" s="280">
        <f t="shared" si="10"/>
        <v>0.82666666666666666</v>
      </c>
      <c r="H27" s="280">
        <f t="shared" si="10"/>
        <v>0.81374999999999997</v>
      </c>
      <c r="I27" s="280">
        <f t="shared" si="10"/>
        <v>1.6274999999999999</v>
      </c>
      <c r="J27" s="281">
        <f t="shared" si="10"/>
        <v>0.77333333333333332</v>
      </c>
    </row>
    <row r="28" spans="2:10" x14ac:dyDescent="0.3">
      <c r="D28" s="228"/>
      <c r="E28" s="228"/>
      <c r="F28" s="228"/>
      <c r="G28" s="22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57AC-2DF7-4522-A47F-24BBC56891E7}">
  <dimension ref="B3:L99"/>
  <sheetViews>
    <sheetView showGridLines="0" zoomScale="108" workbookViewId="0">
      <selection activeCell="I6" sqref="I6"/>
    </sheetView>
  </sheetViews>
  <sheetFormatPr defaultColWidth="10.796875" defaultRowHeight="15.6" x14ac:dyDescent="0.3"/>
  <cols>
    <col min="2" max="2" width="40.296875" customWidth="1"/>
    <col min="3" max="3" width="20.796875" customWidth="1"/>
    <col min="4" max="4" width="5.5" customWidth="1"/>
    <col min="5" max="5" width="14" bestFit="1" customWidth="1"/>
    <col min="6" max="6" width="5.69921875" customWidth="1"/>
    <col min="7" max="7" width="14.5" bestFit="1" customWidth="1"/>
    <col min="8" max="8" width="7.5" customWidth="1"/>
    <col min="9" max="9" width="14" bestFit="1" customWidth="1"/>
    <col min="10" max="11" width="11" bestFit="1" customWidth="1"/>
    <col min="12" max="12" width="13.296875" customWidth="1"/>
  </cols>
  <sheetData>
    <row r="3" spans="2:9" x14ac:dyDescent="0.3">
      <c r="B3" s="235" t="s">
        <v>278</v>
      </c>
      <c r="C3" s="262"/>
      <c r="D3" s="235"/>
      <c r="E3" s="235"/>
      <c r="F3" s="236"/>
      <c r="G3" s="236"/>
      <c r="H3" s="236"/>
      <c r="I3" s="236"/>
    </row>
    <row r="4" spans="2:9" x14ac:dyDescent="0.3">
      <c r="B4" s="238"/>
      <c r="C4" s="272" t="s">
        <v>277</v>
      </c>
      <c r="D4" s="239"/>
      <c r="E4" s="464" t="s">
        <v>276</v>
      </c>
      <c r="F4" s="464"/>
      <c r="G4" s="464"/>
      <c r="H4" s="464"/>
      <c r="I4" s="465"/>
    </row>
    <row r="5" spans="2:9" x14ac:dyDescent="0.3">
      <c r="B5" s="114"/>
      <c r="C5" s="263"/>
      <c r="D5" s="15"/>
      <c r="E5" s="282" t="s">
        <v>275</v>
      </c>
      <c r="F5" s="245"/>
      <c r="G5" s="245" t="s">
        <v>274</v>
      </c>
      <c r="H5" s="246"/>
      <c r="I5" s="247" t="s">
        <v>273</v>
      </c>
    </row>
    <row r="6" spans="2:9" x14ac:dyDescent="0.3">
      <c r="B6" s="68" t="s">
        <v>272</v>
      </c>
      <c r="C6" s="264"/>
      <c r="D6" s="163"/>
      <c r="E6" s="283"/>
      <c r="F6" s="31"/>
      <c r="G6" s="31"/>
      <c r="H6" s="163"/>
      <c r="I6" s="50">
        <v>1.35</v>
      </c>
    </row>
    <row r="7" spans="2:9" x14ac:dyDescent="0.3">
      <c r="B7" s="68" t="s">
        <v>271</v>
      </c>
      <c r="C7" s="265">
        <v>80000</v>
      </c>
      <c r="D7" s="163"/>
      <c r="E7" s="284">
        <v>120000</v>
      </c>
      <c r="F7" s="163"/>
      <c r="G7" s="248">
        <v>150000</v>
      </c>
      <c r="H7" s="163"/>
      <c r="I7" s="249">
        <f>G7*I6</f>
        <v>202500</v>
      </c>
    </row>
    <row r="8" spans="2:9" x14ac:dyDescent="0.3">
      <c r="B8" s="68" t="s">
        <v>270</v>
      </c>
      <c r="C8" s="266">
        <v>0.15</v>
      </c>
      <c r="D8" s="163"/>
      <c r="E8" s="285">
        <v>0.15</v>
      </c>
      <c r="F8" s="163"/>
      <c r="G8" s="255">
        <v>0.15</v>
      </c>
      <c r="H8" s="163"/>
      <c r="I8" s="257">
        <v>0.15</v>
      </c>
    </row>
    <row r="9" spans="2:9" x14ac:dyDescent="0.3">
      <c r="B9" s="68" t="s">
        <v>269</v>
      </c>
      <c r="C9" s="265">
        <f>C7*C8</f>
        <v>12000</v>
      </c>
      <c r="D9" s="248"/>
      <c r="E9" s="284">
        <f>E7*E8</f>
        <v>18000</v>
      </c>
      <c r="F9" s="163"/>
      <c r="G9" s="248">
        <f>G7*G8</f>
        <v>22500</v>
      </c>
      <c r="H9" s="163"/>
      <c r="I9" s="249">
        <f>I7*I8</f>
        <v>30375</v>
      </c>
    </row>
    <row r="10" spans="2:9" x14ac:dyDescent="0.3">
      <c r="B10" s="114"/>
      <c r="C10" s="263"/>
      <c r="D10" s="15"/>
      <c r="E10" s="286"/>
      <c r="F10" s="15"/>
      <c r="G10" s="15"/>
      <c r="H10" s="15"/>
      <c r="I10" s="115"/>
    </row>
    <row r="11" spans="2:9" x14ac:dyDescent="0.3">
      <c r="B11" s="68" t="s">
        <v>268</v>
      </c>
      <c r="C11" s="265">
        <v>0</v>
      </c>
      <c r="D11" s="163"/>
      <c r="E11" s="284">
        <v>0</v>
      </c>
      <c r="F11" s="163"/>
      <c r="G11" s="248">
        <v>35000</v>
      </c>
      <c r="H11" s="163"/>
      <c r="I11" s="249">
        <f>G11</f>
        <v>35000</v>
      </c>
    </row>
    <row r="12" spans="2:9" x14ac:dyDescent="0.3">
      <c r="B12" s="68" t="s">
        <v>267</v>
      </c>
      <c r="C12" s="267">
        <v>7</v>
      </c>
      <c r="D12" s="163"/>
      <c r="E12" s="287">
        <v>7</v>
      </c>
      <c r="F12" s="251"/>
      <c r="G12" s="250">
        <v>7</v>
      </c>
      <c r="H12" s="250"/>
      <c r="I12" s="252">
        <v>7</v>
      </c>
    </row>
    <row r="13" spans="2:9" x14ac:dyDescent="0.3">
      <c r="B13" s="68" t="s">
        <v>266</v>
      </c>
      <c r="C13" s="268">
        <v>36</v>
      </c>
      <c r="D13" s="163"/>
      <c r="E13" s="288">
        <v>36</v>
      </c>
      <c r="F13" s="253"/>
      <c r="G13" s="253">
        <v>36</v>
      </c>
      <c r="H13" s="163"/>
      <c r="I13" s="254" t="s">
        <v>264</v>
      </c>
    </row>
    <row r="14" spans="2:9" x14ac:dyDescent="0.3">
      <c r="B14" s="68" t="s">
        <v>265</v>
      </c>
      <c r="C14" s="266">
        <v>0.09</v>
      </c>
      <c r="D14" s="163"/>
      <c r="E14" s="285">
        <v>0.09</v>
      </c>
      <c r="F14" s="163"/>
      <c r="G14" s="255">
        <v>0.09</v>
      </c>
      <c r="H14" s="256">
        <f>(1+G14)^(1/12)-1</f>
        <v>7.2073233161367156E-3</v>
      </c>
      <c r="I14" s="254" t="s">
        <v>264</v>
      </c>
    </row>
    <row r="15" spans="2:9" x14ac:dyDescent="0.3">
      <c r="B15" s="68" t="s">
        <v>263</v>
      </c>
      <c r="C15" s="266">
        <v>0.02</v>
      </c>
      <c r="D15" s="163"/>
      <c r="E15" s="285">
        <v>0.02</v>
      </c>
      <c r="F15" s="163"/>
      <c r="G15" s="255">
        <v>0.02</v>
      </c>
      <c r="H15" s="256">
        <f>(1+G15)^(1/12)-1</f>
        <v>1.6515813019202241E-3</v>
      </c>
      <c r="I15" s="257">
        <v>0.02</v>
      </c>
    </row>
    <row r="16" spans="2:9" x14ac:dyDescent="0.3">
      <c r="B16" s="114"/>
      <c r="C16" s="263"/>
      <c r="D16" s="15"/>
      <c r="E16" s="286"/>
      <c r="F16" s="15"/>
      <c r="G16" s="15"/>
      <c r="H16" s="15"/>
      <c r="I16" s="243"/>
    </row>
    <row r="17" spans="2:9" x14ac:dyDescent="0.3">
      <c r="B17" s="68" t="s">
        <v>262</v>
      </c>
      <c r="C17" s="269">
        <f>C11*(C14+C15)</f>
        <v>0</v>
      </c>
      <c r="D17" s="163"/>
      <c r="E17" s="289">
        <f>E11*(E14+E15)</f>
        <v>0</v>
      </c>
      <c r="F17" s="163"/>
      <c r="G17" s="258">
        <f>SUM(I35:I46)</f>
        <v>3152.2935599252619</v>
      </c>
      <c r="H17" s="163"/>
      <c r="I17" s="259">
        <v>0</v>
      </c>
    </row>
    <row r="18" spans="2:9" x14ac:dyDescent="0.3">
      <c r="B18" s="114"/>
      <c r="C18" s="263"/>
      <c r="D18" s="15"/>
      <c r="E18" s="290"/>
      <c r="F18" s="15"/>
      <c r="G18" s="227"/>
      <c r="H18" s="15"/>
      <c r="I18" s="115"/>
    </row>
    <row r="19" spans="2:9" x14ac:dyDescent="0.3">
      <c r="B19" s="68" t="s">
        <v>261</v>
      </c>
      <c r="C19" s="265">
        <f>C9-C17</f>
        <v>12000</v>
      </c>
      <c r="D19" s="163"/>
      <c r="E19" s="284">
        <f>E9-E17</f>
        <v>18000</v>
      </c>
      <c r="F19" s="163"/>
      <c r="G19" s="248">
        <f>G9-G17</f>
        <v>19347.706440074737</v>
      </c>
      <c r="H19" s="163"/>
      <c r="I19" s="249">
        <f>I9</f>
        <v>30375</v>
      </c>
    </row>
    <row r="20" spans="2:9" x14ac:dyDescent="0.3">
      <c r="B20" s="68" t="s">
        <v>260</v>
      </c>
      <c r="C20" s="269">
        <f>-34%*C19</f>
        <v>-4080.0000000000005</v>
      </c>
      <c r="D20" s="163"/>
      <c r="E20" s="289">
        <f>-34%*E19</f>
        <v>-6120</v>
      </c>
      <c r="F20" s="163"/>
      <c r="G20" s="258">
        <f>-34%*G19</f>
        <v>-6578.220189625411</v>
      </c>
      <c r="H20" s="163"/>
      <c r="I20" s="259">
        <f>-34%*I19</f>
        <v>-10327.5</v>
      </c>
    </row>
    <row r="21" spans="2:9" x14ac:dyDescent="0.3">
      <c r="B21" s="68" t="s">
        <v>259</v>
      </c>
      <c r="C21" s="265">
        <f>C19+C20</f>
        <v>7920</v>
      </c>
      <c r="D21" s="163"/>
      <c r="E21" s="284">
        <f>E19+E20</f>
        <v>11880</v>
      </c>
      <c r="F21" s="163"/>
      <c r="G21" s="248">
        <f>G19+G20</f>
        <v>12769.486250449325</v>
      </c>
      <c r="H21" s="163"/>
      <c r="I21" s="249">
        <f>I19+I20</f>
        <v>20047.5</v>
      </c>
    </row>
    <row r="22" spans="2:9" x14ac:dyDescent="0.3">
      <c r="B22" s="114"/>
      <c r="C22" s="263"/>
      <c r="D22" s="15"/>
      <c r="E22" s="291"/>
      <c r="F22" s="15"/>
      <c r="G22" s="241"/>
      <c r="H22" s="15"/>
      <c r="I22" s="115"/>
    </row>
    <row r="23" spans="2:9" x14ac:dyDescent="0.3">
      <c r="B23" s="68" t="s">
        <v>258</v>
      </c>
      <c r="C23" s="270">
        <v>0</v>
      </c>
      <c r="D23" s="163"/>
      <c r="E23" s="292"/>
      <c r="F23" s="163"/>
      <c r="G23" s="248">
        <f>SUM(J35:J46)</f>
        <v>11666.66666666667</v>
      </c>
      <c r="H23" s="163"/>
      <c r="I23" s="70"/>
    </row>
    <row r="24" spans="2:9" x14ac:dyDescent="0.3">
      <c r="B24" s="114"/>
      <c r="C24" s="263"/>
      <c r="D24" s="15"/>
      <c r="E24" s="286"/>
      <c r="F24" s="15"/>
      <c r="G24" s="15"/>
      <c r="H24" s="15"/>
      <c r="I24" s="115"/>
    </row>
    <row r="25" spans="2:9" x14ac:dyDescent="0.3">
      <c r="B25" s="114"/>
      <c r="C25" s="263"/>
      <c r="D25" s="15"/>
      <c r="E25" s="286"/>
      <c r="F25" s="15"/>
      <c r="G25" s="15"/>
      <c r="H25" s="15"/>
      <c r="I25" s="115"/>
    </row>
    <row r="26" spans="2:9" x14ac:dyDescent="0.3">
      <c r="B26" s="68" t="s">
        <v>257</v>
      </c>
      <c r="C26" s="270"/>
      <c r="D26" s="163"/>
      <c r="E26" s="292"/>
      <c r="F26" s="163"/>
      <c r="G26" s="163"/>
      <c r="H26" s="163"/>
      <c r="I26" s="260">
        <f>I11/(I11+C28)</f>
        <v>0.29411764705882354</v>
      </c>
    </row>
    <row r="27" spans="2:9" x14ac:dyDescent="0.3">
      <c r="B27" s="114"/>
      <c r="C27" s="263"/>
      <c r="D27" s="15"/>
      <c r="E27" s="286"/>
      <c r="F27" s="15"/>
      <c r="G27" s="15"/>
      <c r="H27" s="15"/>
      <c r="I27" s="244"/>
    </row>
    <row r="28" spans="2:9" x14ac:dyDescent="0.3">
      <c r="B28" s="71" t="s">
        <v>256</v>
      </c>
      <c r="C28" s="271">
        <f>C12*C9</f>
        <v>84000</v>
      </c>
      <c r="D28" s="206"/>
      <c r="E28" s="293">
        <f>E9*E12</f>
        <v>126000</v>
      </c>
      <c r="F28" s="206"/>
      <c r="G28" s="206">
        <f>G9*G12-G23</f>
        <v>145833.33333333334</v>
      </c>
      <c r="H28" s="205"/>
      <c r="I28" s="261">
        <f>(I9*I12)*(1-I26)</f>
        <v>150088.23529411762</v>
      </c>
    </row>
    <row r="33" spans="8:12" hidden="1" x14ac:dyDescent="0.3"/>
    <row r="34" spans="8:12" hidden="1" x14ac:dyDescent="0.3">
      <c r="H34" s="2" t="s">
        <v>255</v>
      </c>
      <c r="I34" s="2" t="s">
        <v>254</v>
      </c>
      <c r="J34" s="2" t="s">
        <v>253</v>
      </c>
      <c r="K34" s="2" t="s">
        <v>252</v>
      </c>
      <c r="L34" s="2" t="s">
        <v>251</v>
      </c>
    </row>
    <row r="35" spans="8:12" hidden="1" x14ac:dyDescent="0.3">
      <c r="H35">
        <v>1</v>
      </c>
      <c r="I35" s="226">
        <f>($H$14+$H$15)*$G$11</f>
        <v>310.06166163199288</v>
      </c>
      <c r="J35" s="226">
        <f t="shared" ref="J35:J66" si="0">$G$11/$G$13</f>
        <v>972.22222222222217</v>
      </c>
      <c r="K35" s="226">
        <f t="shared" ref="K35:K66" si="1">I35+J35</f>
        <v>1282.283883854215</v>
      </c>
      <c r="L35" s="226">
        <f>$G$11-J35</f>
        <v>34027.777777777781</v>
      </c>
    </row>
    <row r="36" spans="8:12" hidden="1" x14ac:dyDescent="0.3">
      <c r="H36">
        <v>2</v>
      </c>
      <c r="I36" s="226">
        <f t="shared" ref="I36:I67" si="2">($H$14+$H$15)*L35</f>
        <v>301.4488376977709</v>
      </c>
      <c r="J36" s="226">
        <f t="shared" si="0"/>
        <v>972.22222222222217</v>
      </c>
      <c r="K36" s="226">
        <f t="shared" si="1"/>
        <v>1273.671059919993</v>
      </c>
      <c r="L36" s="226">
        <f t="shared" ref="L36:L67" si="3">L35-J36</f>
        <v>33055.555555555562</v>
      </c>
    </row>
    <row r="37" spans="8:12" hidden="1" x14ac:dyDescent="0.3">
      <c r="H37">
        <v>3</v>
      </c>
      <c r="I37" s="226">
        <f t="shared" si="2"/>
        <v>292.83601376354892</v>
      </c>
      <c r="J37" s="226">
        <f t="shared" si="0"/>
        <v>972.22222222222217</v>
      </c>
      <c r="K37" s="226">
        <f t="shared" si="1"/>
        <v>1265.058235985771</v>
      </c>
      <c r="L37" s="226">
        <f t="shared" si="3"/>
        <v>32083.333333333339</v>
      </c>
    </row>
    <row r="38" spans="8:12" hidden="1" x14ac:dyDescent="0.3">
      <c r="H38">
        <v>4</v>
      </c>
      <c r="I38" s="226">
        <f t="shared" si="2"/>
        <v>284.22318982932688</v>
      </c>
      <c r="J38" s="226">
        <f t="shared" si="0"/>
        <v>972.22222222222217</v>
      </c>
      <c r="K38" s="226">
        <f t="shared" si="1"/>
        <v>1256.4454120515491</v>
      </c>
      <c r="L38" s="226">
        <f t="shared" si="3"/>
        <v>31111.111111111117</v>
      </c>
    </row>
    <row r="39" spans="8:12" hidden="1" x14ac:dyDescent="0.3">
      <c r="H39">
        <v>5</v>
      </c>
      <c r="I39" s="226">
        <f t="shared" si="2"/>
        <v>275.61036589510485</v>
      </c>
      <c r="J39" s="226">
        <f t="shared" si="0"/>
        <v>972.22222222222217</v>
      </c>
      <c r="K39" s="226">
        <f t="shared" si="1"/>
        <v>1247.8325881173271</v>
      </c>
      <c r="L39" s="226">
        <f t="shared" si="3"/>
        <v>30138.888888888894</v>
      </c>
    </row>
    <row r="40" spans="8:12" hidden="1" x14ac:dyDescent="0.3">
      <c r="H40">
        <v>6</v>
      </c>
      <c r="I40" s="226">
        <f t="shared" si="2"/>
        <v>266.99754196088281</v>
      </c>
      <c r="J40" s="226">
        <f t="shared" si="0"/>
        <v>972.22222222222217</v>
      </c>
      <c r="K40" s="226">
        <f t="shared" si="1"/>
        <v>1239.2197641831049</v>
      </c>
      <c r="L40" s="226">
        <f t="shared" si="3"/>
        <v>29166.666666666672</v>
      </c>
    </row>
    <row r="41" spans="8:12" hidden="1" x14ac:dyDescent="0.3">
      <c r="H41">
        <v>7</v>
      </c>
      <c r="I41" s="226">
        <f t="shared" si="2"/>
        <v>258.38471802666078</v>
      </c>
      <c r="J41" s="226">
        <f t="shared" si="0"/>
        <v>972.22222222222217</v>
      </c>
      <c r="K41" s="226">
        <f t="shared" si="1"/>
        <v>1230.6069402488829</v>
      </c>
      <c r="L41" s="226">
        <f t="shared" si="3"/>
        <v>28194.444444444449</v>
      </c>
    </row>
    <row r="42" spans="8:12" hidden="1" x14ac:dyDescent="0.3">
      <c r="H42">
        <v>8</v>
      </c>
      <c r="I42" s="226">
        <f t="shared" si="2"/>
        <v>249.77189409243877</v>
      </c>
      <c r="J42" s="226">
        <f t="shared" si="0"/>
        <v>972.22222222222217</v>
      </c>
      <c r="K42" s="226">
        <f t="shared" si="1"/>
        <v>1221.9941163146609</v>
      </c>
      <c r="L42" s="226">
        <f t="shared" si="3"/>
        <v>27222.222222222226</v>
      </c>
    </row>
    <row r="43" spans="8:12" hidden="1" x14ac:dyDescent="0.3">
      <c r="H43">
        <v>9</v>
      </c>
      <c r="I43" s="226">
        <f t="shared" si="2"/>
        <v>241.15907015821674</v>
      </c>
      <c r="J43" s="226">
        <f t="shared" si="0"/>
        <v>972.22222222222217</v>
      </c>
      <c r="K43" s="226">
        <f t="shared" si="1"/>
        <v>1213.3812923804389</v>
      </c>
      <c r="L43" s="226">
        <f t="shared" si="3"/>
        <v>26250.000000000004</v>
      </c>
    </row>
    <row r="44" spans="8:12" hidden="1" x14ac:dyDescent="0.3">
      <c r="H44">
        <v>10</v>
      </c>
      <c r="I44" s="226">
        <f t="shared" si="2"/>
        <v>232.5462462239947</v>
      </c>
      <c r="J44" s="226">
        <f t="shared" si="0"/>
        <v>972.22222222222217</v>
      </c>
      <c r="K44" s="226">
        <f t="shared" si="1"/>
        <v>1204.768468446217</v>
      </c>
      <c r="L44" s="226">
        <f t="shared" si="3"/>
        <v>25277.777777777781</v>
      </c>
    </row>
    <row r="45" spans="8:12" hidden="1" x14ac:dyDescent="0.3">
      <c r="H45">
        <v>11</v>
      </c>
      <c r="I45" s="226">
        <f t="shared" si="2"/>
        <v>223.93342228977266</v>
      </c>
      <c r="J45" s="226">
        <f t="shared" si="0"/>
        <v>972.22222222222217</v>
      </c>
      <c r="K45" s="226">
        <f t="shared" si="1"/>
        <v>1196.1556445119948</v>
      </c>
      <c r="L45" s="226">
        <f t="shared" si="3"/>
        <v>24305.555555555558</v>
      </c>
    </row>
    <row r="46" spans="8:12" hidden="1" x14ac:dyDescent="0.3">
      <c r="H46">
        <v>12</v>
      </c>
      <c r="I46" s="226">
        <f t="shared" si="2"/>
        <v>215.32059835555066</v>
      </c>
      <c r="J46" s="226">
        <f t="shared" si="0"/>
        <v>972.22222222222217</v>
      </c>
      <c r="K46" s="226">
        <f t="shared" si="1"/>
        <v>1187.5428205777728</v>
      </c>
      <c r="L46" s="226">
        <f t="shared" si="3"/>
        <v>23333.333333333336</v>
      </c>
    </row>
    <row r="47" spans="8:12" hidden="1" x14ac:dyDescent="0.3">
      <c r="H47">
        <v>13</v>
      </c>
      <c r="I47" s="226">
        <f t="shared" si="2"/>
        <v>206.70777442132862</v>
      </c>
      <c r="J47" s="226">
        <f t="shared" si="0"/>
        <v>972.22222222222217</v>
      </c>
      <c r="K47" s="226">
        <f t="shared" si="1"/>
        <v>1178.9299966435508</v>
      </c>
      <c r="L47" s="226">
        <f t="shared" si="3"/>
        <v>22361.111111111113</v>
      </c>
    </row>
    <row r="48" spans="8:12" hidden="1" x14ac:dyDescent="0.3">
      <c r="H48">
        <v>14</v>
      </c>
      <c r="I48" s="226">
        <f t="shared" si="2"/>
        <v>198.09495048710659</v>
      </c>
      <c r="J48" s="226">
        <f t="shared" si="0"/>
        <v>972.22222222222217</v>
      </c>
      <c r="K48" s="226">
        <f t="shared" si="1"/>
        <v>1170.3171727093288</v>
      </c>
      <c r="L48" s="226">
        <f t="shared" si="3"/>
        <v>21388.888888888891</v>
      </c>
    </row>
    <row r="49" spans="8:12" hidden="1" x14ac:dyDescent="0.3">
      <c r="H49">
        <v>15</v>
      </c>
      <c r="I49" s="226">
        <f t="shared" si="2"/>
        <v>189.48212655288455</v>
      </c>
      <c r="J49" s="226">
        <f t="shared" si="0"/>
        <v>972.22222222222217</v>
      </c>
      <c r="K49" s="226">
        <f t="shared" si="1"/>
        <v>1161.7043487751066</v>
      </c>
      <c r="L49" s="226">
        <f t="shared" si="3"/>
        <v>20416.666666666668</v>
      </c>
    </row>
    <row r="50" spans="8:12" hidden="1" x14ac:dyDescent="0.3">
      <c r="H50">
        <v>16</v>
      </c>
      <c r="I50" s="226">
        <f t="shared" si="2"/>
        <v>180.86930261866254</v>
      </c>
      <c r="J50" s="226">
        <f t="shared" si="0"/>
        <v>972.22222222222217</v>
      </c>
      <c r="K50" s="226">
        <f t="shared" si="1"/>
        <v>1153.0915248408846</v>
      </c>
      <c r="L50" s="226">
        <f t="shared" si="3"/>
        <v>19444.444444444445</v>
      </c>
    </row>
    <row r="51" spans="8:12" hidden="1" x14ac:dyDescent="0.3">
      <c r="H51">
        <v>17</v>
      </c>
      <c r="I51" s="226">
        <f t="shared" si="2"/>
        <v>172.25647868444051</v>
      </c>
      <c r="J51" s="226">
        <f t="shared" si="0"/>
        <v>972.22222222222217</v>
      </c>
      <c r="K51" s="226">
        <f t="shared" si="1"/>
        <v>1144.4787009066627</v>
      </c>
      <c r="L51" s="226">
        <f t="shared" si="3"/>
        <v>18472.222222222223</v>
      </c>
    </row>
    <row r="52" spans="8:12" hidden="1" x14ac:dyDescent="0.3">
      <c r="H52">
        <v>18</v>
      </c>
      <c r="I52" s="226">
        <f t="shared" si="2"/>
        <v>163.64365475021847</v>
      </c>
      <c r="J52" s="226">
        <f t="shared" si="0"/>
        <v>972.22222222222217</v>
      </c>
      <c r="K52" s="226">
        <f t="shared" si="1"/>
        <v>1135.8658769724407</v>
      </c>
      <c r="L52" s="226">
        <f t="shared" si="3"/>
        <v>17500</v>
      </c>
    </row>
    <row r="53" spans="8:12" hidden="1" x14ac:dyDescent="0.3">
      <c r="H53">
        <v>19</v>
      </c>
      <c r="I53" s="226">
        <f t="shared" si="2"/>
        <v>155.03083081599644</v>
      </c>
      <c r="J53" s="226">
        <f t="shared" si="0"/>
        <v>972.22222222222217</v>
      </c>
      <c r="K53" s="226">
        <f t="shared" si="1"/>
        <v>1127.2530530382187</v>
      </c>
      <c r="L53" s="226">
        <f t="shared" si="3"/>
        <v>16527.777777777777</v>
      </c>
    </row>
    <row r="54" spans="8:12" hidden="1" x14ac:dyDescent="0.3">
      <c r="H54">
        <v>20</v>
      </c>
      <c r="I54" s="226">
        <f t="shared" si="2"/>
        <v>146.4180068817744</v>
      </c>
      <c r="J54" s="226">
        <f t="shared" si="0"/>
        <v>972.22222222222217</v>
      </c>
      <c r="K54" s="226">
        <f t="shared" si="1"/>
        <v>1118.6402291039965</v>
      </c>
      <c r="L54" s="226">
        <f t="shared" si="3"/>
        <v>15555.555555555555</v>
      </c>
    </row>
    <row r="55" spans="8:12" hidden="1" x14ac:dyDescent="0.3">
      <c r="H55">
        <v>21</v>
      </c>
      <c r="I55" s="226">
        <f t="shared" si="2"/>
        <v>137.8051829475524</v>
      </c>
      <c r="J55" s="226">
        <f t="shared" si="0"/>
        <v>972.22222222222217</v>
      </c>
      <c r="K55" s="226">
        <f t="shared" si="1"/>
        <v>1110.0274051697745</v>
      </c>
      <c r="L55" s="226">
        <f t="shared" si="3"/>
        <v>14583.333333333332</v>
      </c>
    </row>
    <row r="56" spans="8:12" hidden="1" x14ac:dyDescent="0.3">
      <c r="H56">
        <v>22</v>
      </c>
      <c r="I56" s="226">
        <f t="shared" si="2"/>
        <v>129.19235901333036</v>
      </c>
      <c r="J56" s="226">
        <f t="shared" si="0"/>
        <v>972.22222222222217</v>
      </c>
      <c r="K56" s="226">
        <f t="shared" si="1"/>
        <v>1101.4145812355525</v>
      </c>
      <c r="L56" s="226">
        <f t="shared" si="3"/>
        <v>13611.111111111109</v>
      </c>
    </row>
    <row r="57" spans="8:12" hidden="1" x14ac:dyDescent="0.3">
      <c r="H57">
        <v>23</v>
      </c>
      <c r="I57" s="226">
        <f t="shared" si="2"/>
        <v>120.57953507910833</v>
      </c>
      <c r="J57" s="226">
        <f t="shared" si="0"/>
        <v>972.22222222222217</v>
      </c>
      <c r="K57" s="226">
        <f t="shared" si="1"/>
        <v>1092.8017573013306</v>
      </c>
      <c r="L57" s="226">
        <f t="shared" si="3"/>
        <v>12638.888888888887</v>
      </c>
    </row>
    <row r="58" spans="8:12" hidden="1" x14ac:dyDescent="0.3">
      <c r="H58">
        <v>24</v>
      </c>
      <c r="I58" s="226">
        <f t="shared" si="2"/>
        <v>111.9667111448863</v>
      </c>
      <c r="J58" s="226">
        <f t="shared" si="0"/>
        <v>972.22222222222217</v>
      </c>
      <c r="K58" s="226">
        <f t="shared" si="1"/>
        <v>1084.1889333671086</v>
      </c>
      <c r="L58" s="226">
        <f t="shared" si="3"/>
        <v>11666.666666666664</v>
      </c>
    </row>
    <row r="59" spans="8:12" hidden="1" x14ac:dyDescent="0.3">
      <c r="H59">
        <v>25</v>
      </c>
      <c r="I59" s="226">
        <f t="shared" si="2"/>
        <v>103.35388721066427</v>
      </c>
      <c r="J59" s="226">
        <f t="shared" si="0"/>
        <v>972.22222222222217</v>
      </c>
      <c r="K59" s="226">
        <f t="shared" si="1"/>
        <v>1075.5761094328864</v>
      </c>
      <c r="L59" s="226">
        <f t="shared" si="3"/>
        <v>10694.444444444442</v>
      </c>
    </row>
    <row r="60" spans="8:12" hidden="1" x14ac:dyDescent="0.3">
      <c r="H60">
        <v>26</v>
      </c>
      <c r="I60" s="226">
        <f t="shared" si="2"/>
        <v>94.741063276442247</v>
      </c>
      <c r="J60" s="226">
        <f t="shared" si="0"/>
        <v>972.22222222222217</v>
      </c>
      <c r="K60" s="226">
        <f t="shared" si="1"/>
        <v>1066.9632854986644</v>
      </c>
      <c r="L60" s="226">
        <f t="shared" si="3"/>
        <v>9722.222222222219</v>
      </c>
    </row>
    <row r="61" spans="8:12" hidden="1" x14ac:dyDescent="0.3">
      <c r="H61">
        <v>27</v>
      </c>
      <c r="I61" s="226">
        <f t="shared" si="2"/>
        <v>86.128239342220212</v>
      </c>
      <c r="J61" s="226">
        <f t="shared" si="0"/>
        <v>972.22222222222217</v>
      </c>
      <c r="K61" s="226">
        <f t="shared" si="1"/>
        <v>1058.3504615644424</v>
      </c>
      <c r="L61" s="226">
        <f t="shared" si="3"/>
        <v>8749.9999999999964</v>
      </c>
    </row>
    <row r="62" spans="8:12" hidden="1" x14ac:dyDescent="0.3">
      <c r="H62">
        <v>28</v>
      </c>
      <c r="I62" s="226">
        <f t="shared" si="2"/>
        <v>77.515415407998191</v>
      </c>
      <c r="J62" s="226">
        <f t="shared" si="0"/>
        <v>972.22222222222217</v>
      </c>
      <c r="K62" s="226">
        <f t="shared" si="1"/>
        <v>1049.7376376302204</v>
      </c>
      <c r="L62" s="226">
        <f t="shared" si="3"/>
        <v>7777.7777777777737</v>
      </c>
    </row>
    <row r="63" spans="8:12" hidden="1" x14ac:dyDescent="0.3">
      <c r="H63">
        <v>29</v>
      </c>
      <c r="I63" s="226">
        <f t="shared" si="2"/>
        <v>68.902591473776155</v>
      </c>
      <c r="J63" s="226">
        <f t="shared" si="0"/>
        <v>972.22222222222217</v>
      </c>
      <c r="K63" s="226">
        <f t="shared" si="1"/>
        <v>1041.1248136959982</v>
      </c>
      <c r="L63" s="226">
        <f t="shared" si="3"/>
        <v>6805.5555555555511</v>
      </c>
    </row>
    <row r="64" spans="8:12" hidden="1" x14ac:dyDescent="0.3">
      <c r="H64">
        <v>30</v>
      </c>
      <c r="I64" s="226">
        <f t="shared" si="2"/>
        <v>60.289767539554134</v>
      </c>
      <c r="J64" s="226">
        <f t="shared" si="0"/>
        <v>972.22222222222217</v>
      </c>
      <c r="K64" s="226">
        <f t="shared" si="1"/>
        <v>1032.5119897617762</v>
      </c>
      <c r="L64" s="226">
        <f t="shared" si="3"/>
        <v>5833.3333333333285</v>
      </c>
    </row>
    <row r="65" spans="8:12" hidden="1" x14ac:dyDescent="0.3">
      <c r="H65">
        <v>31</v>
      </c>
      <c r="I65" s="226">
        <f t="shared" si="2"/>
        <v>51.676943605332106</v>
      </c>
      <c r="J65" s="226">
        <f t="shared" si="0"/>
        <v>972.22222222222217</v>
      </c>
      <c r="K65" s="226">
        <f t="shared" si="1"/>
        <v>1023.8991658275543</v>
      </c>
      <c r="L65" s="226">
        <f t="shared" si="3"/>
        <v>4861.1111111111059</v>
      </c>
    </row>
    <row r="66" spans="8:12" hidden="1" x14ac:dyDescent="0.3">
      <c r="H66">
        <v>32</v>
      </c>
      <c r="I66" s="226">
        <f t="shared" si="2"/>
        <v>43.064119671110078</v>
      </c>
      <c r="J66" s="226">
        <f t="shared" si="0"/>
        <v>972.22222222222217</v>
      </c>
      <c r="K66" s="226">
        <f t="shared" si="1"/>
        <v>1015.2863418933323</v>
      </c>
      <c r="L66" s="226">
        <f t="shared" si="3"/>
        <v>3888.8888888888837</v>
      </c>
    </row>
    <row r="67" spans="8:12" hidden="1" x14ac:dyDescent="0.3">
      <c r="H67">
        <v>33</v>
      </c>
      <c r="I67" s="226">
        <f t="shared" si="2"/>
        <v>34.451295736888056</v>
      </c>
      <c r="J67" s="226">
        <f t="shared" ref="J67:J94" si="4">$G$11/$G$13</f>
        <v>972.22222222222217</v>
      </c>
      <c r="K67" s="226">
        <f t="shared" ref="K67:K94" si="5">I67+J67</f>
        <v>1006.6735179591102</v>
      </c>
      <c r="L67" s="226">
        <f t="shared" si="3"/>
        <v>2916.6666666666615</v>
      </c>
    </row>
    <row r="68" spans="8:12" hidden="1" x14ac:dyDescent="0.3">
      <c r="H68">
        <v>34</v>
      </c>
      <c r="I68" s="226">
        <f t="shared" ref="I68:I94" si="6">($H$14+$H$15)*L67</f>
        <v>25.838471802666028</v>
      </c>
      <c r="J68" s="226">
        <f t="shared" si="4"/>
        <v>972.22222222222217</v>
      </c>
      <c r="K68" s="226">
        <f t="shared" si="5"/>
        <v>998.06069402488822</v>
      </c>
      <c r="L68" s="226">
        <f t="shared" ref="L68:L94" si="7">L67-J68</f>
        <v>1944.4444444444393</v>
      </c>
    </row>
    <row r="69" spans="8:12" hidden="1" x14ac:dyDescent="0.3">
      <c r="H69">
        <v>35</v>
      </c>
      <c r="I69" s="226">
        <f t="shared" si="6"/>
        <v>17.225647868444003</v>
      </c>
      <c r="J69" s="226">
        <f t="shared" si="4"/>
        <v>972.22222222222217</v>
      </c>
      <c r="K69" s="226">
        <f t="shared" si="5"/>
        <v>989.44787009066613</v>
      </c>
      <c r="L69" s="226">
        <f t="shared" si="7"/>
        <v>972.22222222221717</v>
      </c>
    </row>
    <row r="70" spans="8:12" hidden="1" x14ac:dyDescent="0.3">
      <c r="H70">
        <v>36</v>
      </c>
      <c r="I70" s="226">
        <f t="shared" si="6"/>
        <v>8.6128239342219803</v>
      </c>
      <c r="J70" s="226">
        <f t="shared" si="4"/>
        <v>972.22222222222217</v>
      </c>
      <c r="K70" s="226">
        <f t="shared" si="5"/>
        <v>980.83504615644415</v>
      </c>
      <c r="L70" s="226">
        <f t="shared" si="7"/>
        <v>-5.0022208597511053E-12</v>
      </c>
    </row>
    <row r="71" spans="8:12" hidden="1" x14ac:dyDescent="0.3">
      <c r="H71">
        <v>37</v>
      </c>
      <c r="I71" s="226">
        <f t="shared" si="6"/>
        <v>-4.4314197474989822E-14</v>
      </c>
      <c r="J71" s="226">
        <f t="shared" si="4"/>
        <v>972.22222222222217</v>
      </c>
      <c r="K71" s="226">
        <f t="shared" si="5"/>
        <v>972.22222222222217</v>
      </c>
      <c r="L71" s="226">
        <f t="shared" si="7"/>
        <v>-972.22222222222717</v>
      </c>
    </row>
    <row r="72" spans="8:12" hidden="1" x14ac:dyDescent="0.3">
      <c r="H72">
        <v>38</v>
      </c>
      <c r="I72" s="226">
        <f t="shared" si="6"/>
        <v>-8.6128239342220692</v>
      </c>
      <c r="J72" s="226">
        <f t="shared" si="4"/>
        <v>972.22222222222217</v>
      </c>
      <c r="K72" s="226">
        <f t="shared" si="5"/>
        <v>963.60939828800008</v>
      </c>
      <c r="L72" s="226">
        <f t="shared" si="7"/>
        <v>-1944.4444444444493</v>
      </c>
    </row>
    <row r="73" spans="8:12" hidden="1" x14ac:dyDescent="0.3">
      <c r="H73">
        <v>39</v>
      </c>
      <c r="I73" s="226">
        <f t="shared" si="6"/>
        <v>-17.225647868444092</v>
      </c>
      <c r="J73" s="226">
        <f t="shared" si="4"/>
        <v>972.22222222222217</v>
      </c>
      <c r="K73" s="226">
        <f t="shared" si="5"/>
        <v>954.9965743537781</v>
      </c>
      <c r="L73" s="226">
        <f t="shared" si="7"/>
        <v>-2916.6666666666715</v>
      </c>
    </row>
    <row r="74" spans="8:12" hidden="1" x14ac:dyDescent="0.3">
      <c r="H74">
        <v>40</v>
      </c>
      <c r="I74" s="226">
        <f t="shared" si="6"/>
        <v>-25.838471802666117</v>
      </c>
      <c r="J74" s="226">
        <f t="shared" si="4"/>
        <v>972.22222222222217</v>
      </c>
      <c r="K74" s="226">
        <f t="shared" si="5"/>
        <v>946.38375041955601</v>
      </c>
      <c r="L74" s="226">
        <f t="shared" si="7"/>
        <v>-3888.8888888888937</v>
      </c>
    </row>
    <row r="75" spans="8:12" hidden="1" x14ac:dyDescent="0.3">
      <c r="H75">
        <v>41</v>
      </c>
      <c r="I75" s="226">
        <f t="shared" si="6"/>
        <v>-34.451295736888142</v>
      </c>
      <c r="J75" s="226">
        <f t="shared" si="4"/>
        <v>972.22222222222217</v>
      </c>
      <c r="K75" s="226">
        <f t="shared" si="5"/>
        <v>937.77092648533403</v>
      </c>
      <c r="L75" s="226">
        <f t="shared" si="7"/>
        <v>-4861.1111111111159</v>
      </c>
    </row>
    <row r="76" spans="8:12" hidden="1" x14ac:dyDescent="0.3">
      <c r="H76">
        <v>42</v>
      </c>
      <c r="I76" s="226">
        <f t="shared" si="6"/>
        <v>-43.064119671110163</v>
      </c>
      <c r="J76" s="226">
        <f t="shared" si="4"/>
        <v>972.22222222222217</v>
      </c>
      <c r="K76" s="226">
        <f t="shared" si="5"/>
        <v>929.15810255111205</v>
      </c>
      <c r="L76" s="226">
        <f t="shared" si="7"/>
        <v>-5833.3333333333376</v>
      </c>
    </row>
    <row r="77" spans="8:12" hidden="1" x14ac:dyDescent="0.3">
      <c r="H77">
        <v>43</v>
      </c>
      <c r="I77" s="226">
        <f t="shared" si="6"/>
        <v>-51.676943605332184</v>
      </c>
      <c r="J77" s="226">
        <f t="shared" si="4"/>
        <v>972.22222222222217</v>
      </c>
      <c r="K77" s="226">
        <f t="shared" si="5"/>
        <v>920.54527861688996</v>
      </c>
      <c r="L77" s="226">
        <f t="shared" si="7"/>
        <v>-6805.5555555555602</v>
      </c>
    </row>
    <row r="78" spans="8:12" hidden="1" x14ac:dyDescent="0.3">
      <c r="H78">
        <v>44</v>
      </c>
      <c r="I78" s="226">
        <f t="shared" si="6"/>
        <v>-60.289767539554212</v>
      </c>
      <c r="J78" s="226">
        <f t="shared" si="4"/>
        <v>972.22222222222217</v>
      </c>
      <c r="K78" s="226">
        <f t="shared" si="5"/>
        <v>911.93245468266798</v>
      </c>
      <c r="L78" s="226">
        <f t="shared" si="7"/>
        <v>-7777.7777777777828</v>
      </c>
    </row>
    <row r="79" spans="8:12" hidden="1" x14ac:dyDescent="0.3">
      <c r="H79">
        <v>45</v>
      </c>
      <c r="I79" s="226">
        <f t="shared" si="6"/>
        <v>-68.902591473776241</v>
      </c>
      <c r="J79" s="226">
        <f t="shared" si="4"/>
        <v>972.22222222222217</v>
      </c>
      <c r="K79" s="226">
        <f t="shared" si="5"/>
        <v>903.31963074844589</v>
      </c>
      <c r="L79" s="226">
        <f t="shared" si="7"/>
        <v>-8750.0000000000055</v>
      </c>
    </row>
    <row r="80" spans="8:12" hidden="1" x14ac:dyDescent="0.3">
      <c r="H80">
        <v>46</v>
      </c>
      <c r="I80" s="226">
        <f t="shared" si="6"/>
        <v>-77.515415407998276</v>
      </c>
      <c r="J80" s="226">
        <f t="shared" si="4"/>
        <v>972.22222222222217</v>
      </c>
      <c r="K80" s="226">
        <f t="shared" si="5"/>
        <v>894.70680681422391</v>
      </c>
      <c r="L80" s="226">
        <f t="shared" si="7"/>
        <v>-9722.2222222222281</v>
      </c>
    </row>
    <row r="81" spans="8:12" hidden="1" x14ac:dyDescent="0.3">
      <c r="H81">
        <v>47</v>
      </c>
      <c r="I81" s="226">
        <f t="shared" si="6"/>
        <v>-86.128239342220297</v>
      </c>
      <c r="J81" s="226">
        <f t="shared" si="4"/>
        <v>972.22222222222217</v>
      </c>
      <c r="K81" s="226">
        <f t="shared" si="5"/>
        <v>886.09398288000193</v>
      </c>
      <c r="L81" s="226">
        <f t="shared" si="7"/>
        <v>-10694.444444444451</v>
      </c>
    </row>
    <row r="82" spans="8:12" hidden="1" x14ac:dyDescent="0.3">
      <c r="H82">
        <v>48</v>
      </c>
      <c r="I82" s="226">
        <f t="shared" si="6"/>
        <v>-94.741063276442333</v>
      </c>
      <c r="J82" s="226">
        <f t="shared" si="4"/>
        <v>972.22222222222217</v>
      </c>
      <c r="K82" s="226">
        <f t="shared" si="5"/>
        <v>877.48115894577984</v>
      </c>
      <c r="L82" s="226">
        <f t="shared" si="7"/>
        <v>-11666.666666666673</v>
      </c>
    </row>
    <row r="83" spans="8:12" hidden="1" x14ac:dyDescent="0.3">
      <c r="H83">
        <v>49</v>
      </c>
      <c r="I83" s="226">
        <f t="shared" si="6"/>
        <v>-103.35388721066435</v>
      </c>
      <c r="J83" s="226">
        <f t="shared" si="4"/>
        <v>972.22222222222217</v>
      </c>
      <c r="K83" s="226">
        <f t="shared" si="5"/>
        <v>868.86833501155786</v>
      </c>
      <c r="L83" s="226">
        <f t="shared" si="7"/>
        <v>-12638.888888888896</v>
      </c>
    </row>
    <row r="84" spans="8:12" hidden="1" x14ac:dyDescent="0.3">
      <c r="H84">
        <v>50</v>
      </c>
      <c r="I84" s="226">
        <f t="shared" si="6"/>
        <v>-111.96671114488639</v>
      </c>
      <c r="J84" s="226">
        <f t="shared" si="4"/>
        <v>972.22222222222217</v>
      </c>
      <c r="K84" s="226">
        <f t="shared" si="5"/>
        <v>860.25551107733577</v>
      </c>
      <c r="L84" s="226">
        <f t="shared" si="7"/>
        <v>-13611.111111111119</v>
      </c>
    </row>
    <row r="85" spans="8:12" hidden="1" x14ac:dyDescent="0.3">
      <c r="H85">
        <v>51</v>
      </c>
      <c r="I85" s="226">
        <f t="shared" si="6"/>
        <v>-120.57953507910841</v>
      </c>
      <c r="J85" s="226">
        <f t="shared" si="4"/>
        <v>972.22222222222217</v>
      </c>
      <c r="K85" s="226">
        <f t="shared" si="5"/>
        <v>851.64268714311379</v>
      </c>
      <c r="L85" s="226">
        <f t="shared" si="7"/>
        <v>-14583.333333333341</v>
      </c>
    </row>
    <row r="86" spans="8:12" hidden="1" x14ac:dyDescent="0.3">
      <c r="H86">
        <v>52</v>
      </c>
      <c r="I86" s="226">
        <f t="shared" si="6"/>
        <v>-129.19235901333045</v>
      </c>
      <c r="J86" s="226">
        <f t="shared" si="4"/>
        <v>972.22222222222217</v>
      </c>
      <c r="K86" s="226">
        <f t="shared" si="5"/>
        <v>843.0298632088917</v>
      </c>
      <c r="L86" s="226">
        <f t="shared" si="7"/>
        <v>-15555.555555555564</v>
      </c>
    </row>
    <row r="87" spans="8:12" hidden="1" x14ac:dyDescent="0.3">
      <c r="H87">
        <v>53</v>
      </c>
      <c r="I87" s="226">
        <f t="shared" si="6"/>
        <v>-137.80518294755248</v>
      </c>
      <c r="J87" s="226">
        <f t="shared" si="4"/>
        <v>972.22222222222217</v>
      </c>
      <c r="K87" s="226">
        <f t="shared" si="5"/>
        <v>834.41703927466972</v>
      </c>
      <c r="L87" s="226">
        <f t="shared" si="7"/>
        <v>-16527.777777777785</v>
      </c>
    </row>
    <row r="88" spans="8:12" hidden="1" x14ac:dyDescent="0.3">
      <c r="H88">
        <v>54</v>
      </c>
      <c r="I88" s="226">
        <f t="shared" si="6"/>
        <v>-146.41800688177449</v>
      </c>
      <c r="J88" s="226">
        <f t="shared" si="4"/>
        <v>972.22222222222217</v>
      </c>
      <c r="K88" s="226">
        <f t="shared" si="5"/>
        <v>825.80421534044763</v>
      </c>
      <c r="L88" s="226">
        <f t="shared" si="7"/>
        <v>-17500.000000000007</v>
      </c>
    </row>
    <row r="89" spans="8:12" hidden="1" x14ac:dyDescent="0.3">
      <c r="H89">
        <v>55</v>
      </c>
      <c r="I89" s="226">
        <f t="shared" si="6"/>
        <v>-155.03083081599652</v>
      </c>
      <c r="J89" s="226">
        <f t="shared" si="4"/>
        <v>972.22222222222217</v>
      </c>
      <c r="K89" s="226">
        <f t="shared" si="5"/>
        <v>817.19139140622565</v>
      </c>
      <c r="L89" s="226">
        <f t="shared" si="7"/>
        <v>-18472.22222222223</v>
      </c>
    </row>
    <row r="90" spans="8:12" hidden="1" x14ac:dyDescent="0.3">
      <c r="H90">
        <v>56</v>
      </c>
      <c r="I90" s="226">
        <f t="shared" si="6"/>
        <v>-163.64365475021853</v>
      </c>
      <c r="J90" s="226">
        <f t="shared" si="4"/>
        <v>972.22222222222217</v>
      </c>
      <c r="K90" s="226">
        <f t="shared" si="5"/>
        <v>808.57856747200367</v>
      </c>
      <c r="L90" s="226">
        <f t="shared" si="7"/>
        <v>-19444.444444444453</v>
      </c>
    </row>
    <row r="91" spans="8:12" hidden="1" x14ac:dyDescent="0.3">
      <c r="H91">
        <v>57</v>
      </c>
      <c r="I91" s="226">
        <f t="shared" si="6"/>
        <v>-172.25647868444057</v>
      </c>
      <c r="J91" s="226">
        <f t="shared" si="4"/>
        <v>972.22222222222217</v>
      </c>
      <c r="K91" s="226">
        <f t="shared" si="5"/>
        <v>799.96574353778158</v>
      </c>
      <c r="L91" s="226">
        <f t="shared" si="7"/>
        <v>-20416.666666666675</v>
      </c>
    </row>
    <row r="92" spans="8:12" hidden="1" x14ac:dyDescent="0.3">
      <c r="H92">
        <v>58</v>
      </c>
      <c r="I92" s="226">
        <f t="shared" si="6"/>
        <v>-180.8693026186626</v>
      </c>
      <c r="J92" s="226">
        <f t="shared" si="4"/>
        <v>972.22222222222217</v>
      </c>
      <c r="K92" s="226">
        <f t="shared" si="5"/>
        <v>791.3529196035596</v>
      </c>
      <c r="L92" s="226">
        <f t="shared" si="7"/>
        <v>-21388.888888888898</v>
      </c>
    </row>
    <row r="93" spans="8:12" hidden="1" x14ac:dyDescent="0.3">
      <c r="H93">
        <v>59</v>
      </c>
      <c r="I93" s="226">
        <f t="shared" si="6"/>
        <v>-189.48212655288464</v>
      </c>
      <c r="J93" s="226">
        <f t="shared" si="4"/>
        <v>972.22222222222217</v>
      </c>
      <c r="K93" s="226">
        <f t="shared" si="5"/>
        <v>782.74009566933751</v>
      </c>
      <c r="L93" s="226">
        <f t="shared" si="7"/>
        <v>-22361.11111111112</v>
      </c>
    </row>
    <row r="94" spans="8:12" hidden="1" x14ac:dyDescent="0.3">
      <c r="H94">
        <v>60</v>
      </c>
      <c r="I94" s="226">
        <f t="shared" si="6"/>
        <v>-198.09495048710664</v>
      </c>
      <c r="J94" s="226">
        <f t="shared" si="4"/>
        <v>972.22222222222217</v>
      </c>
      <c r="K94" s="226">
        <f t="shared" si="5"/>
        <v>774.12727173511553</v>
      </c>
      <c r="L94" s="226">
        <f t="shared" si="7"/>
        <v>-23333.333333333343</v>
      </c>
    </row>
    <row r="95" spans="8:12" hidden="1" x14ac:dyDescent="0.3"/>
    <row r="96" spans="8:12" hidden="1" x14ac:dyDescent="0.3"/>
    <row r="97" hidden="1" x14ac:dyDescent="0.3"/>
    <row r="98" hidden="1" x14ac:dyDescent="0.3"/>
    <row r="99" hidden="1" x14ac:dyDescent="0.3"/>
  </sheetData>
  <mergeCells count="1">
    <mergeCell ref="E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Instruções</vt:lpstr>
      <vt:lpstr>DRE BP DFC</vt:lpstr>
      <vt:lpstr>DRE Tipica</vt:lpstr>
      <vt:lpstr>BP</vt:lpstr>
      <vt:lpstr>DFC</vt:lpstr>
      <vt:lpstr>Exercício Balanços</vt:lpstr>
      <vt:lpstr>Modelo Operacional</vt:lpstr>
      <vt:lpstr>MC e Margem Unitária</vt:lpstr>
      <vt:lpstr>Ponto de Equilíbrio</vt:lpstr>
      <vt:lpstr>Preço Margem Volume</vt:lpstr>
      <vt:lpstr>Capital de Giro</vt:lpstr>
      <vt:lpstr>Modelo de Acompanhamento</vt:lpstr>
      <vt:lpstr>O Perigo da Alavancagem</vt:lpstr>
      <vt:lpstr>An Simples Dívida vs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Emerson de Oliveira</cp:lastModifiedBy>
  <dcterms:created xsi:type="dcterms:W3CDTF">2021-02-16T13:47:18Z</dcterms:created>
  <dcterms:modified xsi:type="dcterms:W3CDTF">2021-05-26T18:10:58Z</dcterms:modified>
</cp:coreProperties>
</file>