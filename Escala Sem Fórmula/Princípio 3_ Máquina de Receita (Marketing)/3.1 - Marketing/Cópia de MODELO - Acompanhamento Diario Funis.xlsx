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ÉTRICAS DOS FUNIS - DIÁRIO" sheetId="1" r:id="rId4"/>
    <sheet state="visible" name="Página3" sheetId="2" r:id="rId5"/>
  </sheets>
  <definedNames>
    <definedName hidden="1" localSheetId="0" name="_xlnm._FilterDatabase">'MÉTRICAS DOS FUNIS - DIÁRIO'!$B$18:$O$350</definedName>
    <definedName hidden="1" localSheetId="0" name="Z_3C9928E7_9DF1_4F86_A0DB_6BDC1CE811A5_.wvu.FilterData">'MÉTRICAS DOS FUNIS - DIÁRIO'!$B$18:$O$350</definedName>
  </definedNames>
  <calcPr/>
  <customWorkbookViews>
    <customWorkbookView activeSheetId="0" maximized="1" windowHeight="0" windowWidth="0" guid="{3C9928E7-9DF1-4F86-A0DB-6BDC1CE811A5}" name="Filtro 1"/>
  </customWorkbookViews>
</workbook>
</file>

<file path=xl/sharedStrings.xml><?xml version="1.0" encoding="utf-8"?>
<sst xmlns="http://schemas.openxmlformats.org/spreadsheetml/2006/main" count="701" uniqueCount="61">
  <si>
    <t>RESUMO MÉTRICAS</t>
  </si>
  <si>
    <t>VALORES</t>
  </si>
  <si>
    <t>CPL TRAF</t>
  </si>
  <si>
    <t>CPLQ TRAF</t>
  </si>
  <si>
    <t>CPCAQ TRAF</t>
  </si>
  <si>
    <t>CPCRQ TRAF</t>
  </si>
  <si>
    <t>% Leads Quali TRAF</t>
  </si>
  <si>
    <t>% Leads Quali ORG</t>
  </si>
  <si>
    <t>% Agendamento LQ TRAF</t>
  </si>
  <si>
    <t>% Agendamento LQ ORG</t>
  </si>
  <si>
    <t>INVESTIMENTO TOTAL</t>
  </si>
  <si>
    <t>N. LEAD/SEGUIDORES TRAF</t>
  </si>
  <si>
    <t>N. LEAD/SEGUIDORES ORG</t>
  </si>
  <si>
    <t>N. LEAD/SEGUIDORES TRAF - QUALI</t>
  </si>
  <si>
    <t>N. LEAD/SEGUIDORES ORG - QUALI</t>
  </si>
  <si>
    <t>N AGENDAMENTO TRAF</t>
  </si>
  <si>
    <t>N AGENDAMENTO ORG</t>
  </si>
  <si>
    <t>N NOSHOW</t>
  </si>
  <si>
    <t>N CALLS REALIZADAS</t>
  </si>
  <si>
    <t>N LEADS DESQUALIFICADOS</t>
  </si>
  <si>
    <t>N PITCHS REALIZADOS</t>
  </si>
  <si>
    <t>N VENDAS REALIZADAS</t>
  </si>
  <si>
    <t>Data</t>
  </si>
  <si>
    <t>SEMANA</t>
  </si>
  <si>
    <t>Funil</t>
  </si>
  <si>
    <t>Investimento</t>
  </si>
  <si>
    <t>Leads Totais Tráfego</t>
  </si>
  <si>
    <t>Leads Totais Orgânico</t>
  </si>
  <si>
    <t>Leads Qualificados Tráfego</t>
  </si>
  <si>
    <t>Leads Qualificados Orgânico</t>
  </si>
  <si>
    <t>Agendamentos Tráfego</t>
  </si>
  <si>
    <t>Agendamentos Orgânico</t>
  </si>
  <si>
    <t>Noshow</t>
  </si>
  <si>
    <t>Calls Realizadas</t>
  </si>
  <si>
    <t>Lead Desqualificado</t>
  </si>
  <si>
    <t>Pitch Realizado</t>
  </si>
  <si>
    <t>Vendas Realizadas</t>
  </si>
  <si>
    <t>SEMANA 1</t>
  </si>
  <si>
    <t>NS</t>
  </si>
  <si>
    <t>IscLive 23</t>
  </si>
  <si>
    <t>IscLive 30</t>
  </si>
  <si>
    <t>IscTrilha</t>
  </si>
  <si>
    <t>Isc550K</t>
  </si>
  <si>
    <t>IESF</t>
  </si>
  <si>
    <t>MGR</t>
  </si>
  <si>
    <t>Follow SS</t>
  </si>
  <si>
    <t>IscLive 22</t>
  </si>
  <si>
    <t>CAC Zero</t>
  </si>
  <si>
    <t>Imersão 1%</t>
  </si>
  <si>
    <t>MGR Express</t>
  </si>
  <si>
    <t>SEMANA 2</t>
  </si>
  <si>
    <t>N.I</t>
  </si>
  <si>
    <t>IM 1%</t>
  </si>
  <si>
    <t>SEMANA 3</t>
  </si>
  <si>
    <t>IESF NOV</t>
  </si>
  <si>
    <t>Escala 2x</t>
  </si>
  <si>
    <t>Masterclass 1223</t>
  </si>
  <si>
    <t>SEMANA 4</t>
  </si>
  <si>
    <t>Type Form</t>
  </si>
  <si>
    <t>ADF</t>
  </si>
  <si>
    <t>SEMANA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</si>
</sst>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dd/mm"/>
  </numFmts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164" xfId="0" applyFont="1" applyNumberFormat="1"/>
    <xf borderId="0" fillId="2" fontId="1" numFmtId="0" xfId="0" applyFill="1" applyFont="1"/>
    <xf borderId="0" fillId="2" fontId="1" numFmtId="10" xfId="0" applyFont="1" applyNumberFormat="1"/>
    <xf borderId="0" fillId="0" fontId="1" numFmtId="10" xfId="0" applyFont="1" applyNumberFormat="1"/>
    <xf borderId="0" fillId="0" fontId="1" numFmtId="3" xfId="0" applyFont="1" applyNumberFormat="1"/>
    <xf borderId="1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3" fillId="0" fontId="1" numFmtId="165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3" fillId="0" fontId="1" numFmtId="164" xfId="0" applyBorder="1" applyFont="1" applyNumberFormat="1"/>
    <xf borderId="4" fillId="0" fontId="1" numFmtId="0" xfId="0" applyBorder="1" applyFont="1"/>
    <xf borderId="5" fillId="0" fontId="1" numFmtId="0" xfId="0" applyBorder="1" applyFont="1"/>
    <xf borderId="6" fillId="0" fontId="3" numFmtId="0" xfId="0" applyBorder="1" applyFont="1"/>
    <xf borderId="6" fillId="0" fontId="1" numFmtId="164" xfId="0" applyBorder="1" applyFont="1" applyNumberFormat="1"/>
    <xf borderId="7" fillId="0" fontId="1" numFmtId="0" xfId="0" applyBorder="1" applyFont="1"/>
    <xf borderId="8" fillId="0" fontId="3" numFmtId="0" xfId="0" applyBorder="1" applyFont="1"/>
    <xf borderId="8" fillId="0" fontId="1" numFmtId="164" xfId="0" applyBorder="1" applyFont="1" applyNumberFormat="1"/>
    <xf borderId="9" fillId="0" fontId="1" numFmtId="0" xfId="0" applyBorder="1" applyFont="1"/>
    <xf borderId="10" fillId="0" fontId="1" numFmtId="0" xfId="0" applyBorder="1" applyFont="1"/>
    <xf borderId="4" fillId="0" fontId="1" numFmtId="164" xfId="0" applyBorder="1" applyFont="1" applyNumberFormat="1"/>
    <xf borderId="9" fillId="0" fontId="1" numFmtId="164" xfId="0" applyBorder="1" applyFont="1" applyNumberFormat="1"/>
    <xf borderId="11" fillId="0" fontId="1" numFmtId="165" xfId="0" applyAlignment="1" applyBorder="1" applyFont="1" applyNumberFormat="1">
      <alignment horizontal="center" vertical="center"/>
    </xf>
    <xf borderId="11" fillId="0" fontId="2" numFmtId="0" xfId="0" applyBorder="1" applyFont="1"/>
    <xf borderId="2" fillId="0" fontId="1" numFmtId="165" xfId="0" applyAlignment="1" applyBorder="1" applyFont="1" applyNumberFormat="1">
      <alignment horizontal="center" vertical="center"/>
    </xf>
    <xf borderId="12" fillId="0" fontId="3" numFmtId="0" xfId="0" applyBorder="1" applyFont="1"/>
    <xf borderId="13" fillId="0" fontId="3" numFmtId="0" xfId="0" applyBorder="1" applyFont="1"/>
    <xf borderId="14" fillId="0" fontId="1" numFmtId="0" xfId="0" applyAlignment="1" applyBorder="1" applyFont="1">
      <alignment horizontal="center"/>
    </xf>
    <xf borderId="1" fillId="0" fontId="1" numFmtId="165" xfId="0" applyBorder="1" applyFont="1" applyNumberFormat="1"/>
    <xf borderId="14" fillId="0" fontId="1" numFmtId="0" xfId="0" applyAlignment="1" applyBorder="1" applyFont="1">
      <alignment horizontal="center" vertical="bottom"/>
    </xf>
    <xf borderId="14" fillId="0" fontId="2" numFmtId="0" xfId="0" applyAlignment="1" applyBorder="1" applyFont="1">
      <alignment vertical="bottom"/>
    </xf>
    <xf borderId="9" fillId="0" fontId="1" numFmtId="164" xfId="0" applyAlignment="1" applyBorder="1" applyFont="1" applyNumberFormat="1">
      <alignment vertical="bottom"/>
    </xf>
    <xf borderId="9" fillId="0" fontId="1" numFmtId="0" xfId="0" applyAlignment="1" applyBorder="1" applyFont="1">
      <alignment vertical="bottom"/>
    </xf>
    <xf borderId="10" fillId="0" fontId="1" numFmtId="0" xfId="0" applyAlignment="1" applyBorder="1" applyFont="1">
      <alignment vertical="bottom"/>
    </xf>
    <xf borderId="1" fillId="0" fontId="1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8.0" topLeftCell="A19" activePane="bottomLeft" state="frozen"/>
      <selection activeCell="B20" sqref="B20" pane="bottomLeft"/>
    </sheetView>
  </sheetViews>
  <sheetFormatPr customHeight="1" defaultColWidth="12.63" defaultRowHeight="15.0"/>
  <cols>
    <col customWidth="1" min="1" max="1" width="5.13"/>
    <col customWidth="1" min="2" max="2" width="10.75"/>
    <col customWidth="1" min="3" max="3" width="12.0"/>
    <col customWidth="1" min="4" max="4" width="20.88"/>
    <col customWidth="1" min="5" max="5" width="24.13"/>
    <col customWidth="1" min="6" max="6" width="23.5"/>
    <col customWidth="1" min="7" max="7" width="30.75"/>
    <col customWidth="1" min="8" max="8" width="30.13"/>
    <col customWidth="1" min="9" max="9" width="22.0"/>
    <col customWidth="1" min="10" max="15" width="23.38"/>
  </cols>
  <sheetData>
    <row r="1" ht="15.75" customHeight="1">
      <c r="A1" s="1"/>
      <c r="B1" s="1"/>
      <c r="C1" s="1"/>
      <c r="D1" s="1"/>
      <c r="E1" s="1"/>
      <c r="G1" s="1"/>
      <c r="I1" s="1"/>
    </row>
    <row r="2" ht="15.75" customHeight="1">
      <c r="A2" s="1"/>
      <c r="B2" s="1"/>
      <c r="C2" s="1"/>
      <c r="D2" s="2" t="s">
        <v>0</v>
      </c>
      <c r="E2" s="2" t="s">
        <v>1</v>
      </c>
      <c r="G2" s="1"/>
      <c r="I2" s="1"/>
    </row>
    <row r="3" ht="15.75" customHeight="1">
      <c r="A3" s="1"/>
      <c r="B3" s="1"/>
      <c r="C3" s="1"/>
      <c r="D3" s="1" t="s">
        <v>2</v>
      </c>
      <c r="E3" s="3">
        <f>D17/E17</f>
        <v>18.94636802</v>
      </c>
      <c r="G3" s="1"/>
      <c r="I3" s="1"/>
    </row>
    <row r="4" ht="15.75" customHeight="1">
      <c r="A4" s="1"/>
      <c r="B4" s="1"/>
      <c r="C4" s="1"/>
      <c r="D4" s="1" t="s">
        <v>3</v>
      </c>
      <c r="E4" s="3">
        <f>D17/G17</f>
        <v>96.40357843</v>
      </c>
      <c r="I4" s="1"/>
    </row>
    <row r="5" ht="15.75" customHeight="1">
      <c r="A5" s="1"/>
      <c r="B5" s="1"/>
      <c r="C5" s="1"/>
      <c r="D5" s="1" t="s">
        <v>4</v>
      </c>
      <c r="E5" s="3">
        <f>D17/I17</f>
        <v>319.7777236</v>
      </c>
      <c r="G5" s="1"/>
      <c r="I5" s="1"/>
    </row>
    <row r="6" ht="15.75" customHeight="1">
      <c r="A6" s="1"/>
      <c r="B6" s="1"/>
      <c r="C6" s="1"/>
      <c r="D6" s="4" t="s">
        <v>5</v>
      </c>
      <c r="E6" s="5"/>
      <c r="G6" s="1"/>
      <c r="I6" s="1"/>
    </row>
    <row r="7" ht="15.75" customHeight="1">
      <c r="A7" s="1"/>
      <c r="B7" s="1"/>
      <c r="C7" s="1"/>
      <c r="D7" s="1" t="s">
        <v>6</v>
      </c>
      <c r="E7" s="6">
        <f>G17/E17</f>
        <v>0.1965317919</v>
      </c>
      <c r="G7" s="1"/>
      <c r="I7" s="1"/>
    </row>
    <row r="8" ht="15.75" customHeight="1">
      <c r="A8" s="1"/>
      <c r="B8" s="1"/>
      <c r="C8" s="1"/>
      <c r="D8" s="1" t="s">
        <v>7</v>
      </c>
      <c r="E8" s="6">
        <f>H17/F17</f>
        <v>0.373433584</v>
      </c>
      <c r="G8" s="1"/>
      <c r="I8" s="1"/>
    </row>
    <row r="9" ht="15.75" customHeight="1">
      <c r="A9" s="1"/>
      <c r="B9" s="1"/>
      <c r="C9" s="1"/>
      <c r="D9" s="1" t="s">
        <v>8</v>
      </c>
      <c r="E9" s="6">
        <f>I17/G17</f>
        <v>0.3014705882</v>
      </c>
      <c r="G9" s="1"/>
      <c r="I9" s="1"/>
    </row>
    <row r="10" ht="15.75" customHeight="1">
      <c r="A10" s="1"/>
      <c r="B10" s="1"/>
      <c r="C10" s="1"/>
      <c r="D10" s="1" t="s">
        <v>9</v>
      </c>
      <c r="E10" s="6">
        <f>J17/H17</f>
        <v>0.7248322148</v>
      </c>
      <c r="G10" s="1"/>
      <c r="I10" s="1"/>
    </row>
    <row r="11" ht="15.75" customHeight="1">
      <c r="A11" s="1"/>
      <c r="B11" s="1"/>
      <c r="C11" s="1"/>
      <c r="D11" s="1"/>
      <c r="E11" s="6"/>
      <c r="G11" s="1"/>
      <c r="I11" s="1"/>
    </row>
    <row r="12" ht="15.75" customHeight="1">
      <c r="A12" s="1"/>
      <c r="B12" s="1"/>
      <c r="C12" s="1"/>
      <c r="D12" s="1"/>
      <c r="E12" s="6"/>
      <c r="G12" s="1"/>
      <c r="I12" s="1"/>
    </row>
    <row r="13" ht="15.75" customHeight="1">
      <c r="A13" s="1"/>
      <c r="B13" s="1"/>
      <c r="C13" s="1"/>
      <c r="D13" s="1"/>
      <c r="E13" s="6"/>
      <c r="G13" s="1"/>
      <c r="I13" s="1"/>
    </row>
    <row r="14" ht="15.75" customHeight="1">
      <c r="A14" s="1"/>
      <c r="B14" s="1"/>
      <c r="C14" s="1"/>
      <c r="D14" s="1"/>
      <c r="E14" s="6"/>
      <c r="G14" s="1"/>
      <c r="I14" s="1"/>
    </row>
    <row r="15" ht="15.75" customHeight="1">
      <c r="A15" s="1"/>
      <c r="B15" s="1"/>
      <c r="C15" s="1"/>
      <c r="D15" s="1"/>
      <c r="E15" s="1"/>
      <c r="G15" s="1"/>
      <c r="I15" s="1"/>
    </row>
    <row r="16" ht="15.75" customHeight="1">
      <c r="A16" s="1"/>
      <c r="B16" s="1"/>
      <c r="C16" s="1"/>
      <c r="D16" s="2" t="s">
        <v>10</v>
      </c>
      <c r="E16" s="2" t="s">
        <v>11</v>
      </c>
      <c r="F16" s="2" t="s">
        <v>12</v>
      </c>
      <c r="G16" s="2" t="s">
        <v>13</v>
      </c>
      <c r="H16" s="2" t="s">
        <v>14</v>
      </c>
      <c r="I16" s="2" t="s">
        <v>15</v>
      </c>
      <c r="J16" s="2" t="s">
        <v>16</v>
      </c>
      <c r="K16" s="2" t="s">
        <v>17</v>
      </c>
      <c r="L16" s="2" t="s">
        <v>18</v>
      </c>
      <c r="M16" s="2" t="s">
        <v>19</v>
      </c>
      <c r="N16" s="2" t="s">
        <v>20</v>
      </c>
      <c r="O16" s="2" t="s">
        <v>21</v>
      </c>
    </row>
    <row r="17" ht="15.75" customHeight="1">
      <c r="A17" s="1"/>
      <c r="B17" s="1"/>
      <c r="C17" s="1"/>
      <c r="D17" s="3">
        <f t="shared" ref="D17:O17" si="1">subtotal(9,D19:D1078)</f>
        <v>39332.66</v>
      </c>
      <c r="E17" s="7">
        <f t="shared" si="1"/>
        <v>2076</v>
      </c>
      <c r="F17" s="7">
        <f t="shared" si="1"/>
        <v>399</v>
      </c>
      <c r="G17" s="7">
        <f t="shared" si="1"/>
        <v>408</v>
      </c>
      <c r="H17" s="7">
        <f t="shared" si="1"/>
        <v>149</v>
      </c>
      <c r="I17" s="7">
        <f t="shared" si="1"/>
        <v>123</v>
      </c>
      <c r="J17" s="7">
        <f t="shared" si="1"/>
        <v>108</v>
      </c>
      <c r="K17" s="7">
        <f t="shared" si="1"/>
        <v>52</v>
      </c>
      <c r="L17" s="7">
        <f t="shared" si="1"/>
        <v>92</v>
      </c>
      <c r="M17" s="7">
        <f t="shared" si="1"/>
        <v>20</v>
      </c>
      <c r="N17" s="7">
        <f t="shared" si="1"/>
        <v>80</v>
      </c>
      <c r="O17" s="7">
        <f t="shared" si="1"/>
        <v>12</v>
      </c>
    </row>
    <row r="18" ht="15.0" customHeight="1">
      <c r="A18" s="8" t="s">
        <v>22</v>
      </c>
      <c r="B18" s="8" t="s">
        <v>23</v>
      </c>
      <c r="C18" s="8" t="s">
        <v>24</v>
      </c>
      <c r="D18" s="8" t="s">
        <v>25</v>
      </c>
      <c r="E18" s="8" t="s">
        <v>26</v>
      </c>
      <c r="F18" s="8" t="s">
        <v>27</v>
      </c>
      <c r="G18" s="8" t="s">
        <v>28</v>
      </c>
      <c r="H18" s="8" t="s">
        <v>29</v>
      </c>
      <c r="I18" s="8" t="s">
        <v>30</v>
      </c>
      <c r="J18" s="9" t="s">
        <v>31</v>
      </c>
      <c r="K18" s="10" t="s">
        <v>32</v>
      </c>
      <c r="L18" s="10" t="s">
        <v>33</v>
      </c>
      <c r="M18" s="10" t="s">
        <v>34</v>
      </c>
      <c r="N18" s="10" t="s">
        <v>35</v>
      </c>
      <c r="O18" s="10" t="s">
        <v>36</v>
      </c>
    </row>
    <row r="19" ht="15.75" customHeight="1">
      <c r="A19" s="11">
        <v>45292.0</v>
      </c>
      <c r="B19" s="12" t="s">
        <v>37</v>
      </c>
      <c r="C19" s="13" t="s">
        <v>38</v>
      </c>
      <c r="D19" s="14">
        <v>50.59</v>
      </c>
      <c r="E19" s="15">
        <v>26.0</v>
      </c>
      <c r="F19" s="15"/>
      <c r="G19" s="15"/>
      <c r="H19" s="15"/>
      <c r="I19" s="15"/>
      <c r="K19" s="15"/>
      <c r="L19" s="15"/>
      <c r="M19" s="15"/>
      <c r="N19" s="15"/>
      <c r="O19" s="16"/>
    </row>
    <row r="20" ht="15.75" customHeight="1">
      <c r="A20" s="17"/>
      <c r="B20" s="12" t="s">
        <v>37</v>
      </c>
      <c r="C20" s="13" t="s">
        <v>39</v>
      </c>
      <c r="D20" s="18"/>
      <c r="E20" s="1">
        <v>1.0</v>
      </c>
      <c r="G20" s="1">
        <v>1.0</v>
      </c>
      <c r="O20" s="19"/>
    </row>
    <row r="21" ht="15.75" customHeight="1">
      <c r="A21" s="17"/>
      <c r="B21" s="12" t="s">
        <v>37</v>
      </c>
      <c r="C21" s="13" t="s">
        <v>40</v>
      </c>
      <c r="D21" s="18"/>
      <c r="O21" s="19"/>
    </row>
    <row r="22" ht="15.75" customHeight="1">
      <c r="A22" s="17"/>
      <c r="B22" s="12" t="s">
        <v>37</v>
      </c>
      <c r="C22" s="13" t="s">
        <v>41</v>
      </c>
      <c r="D22" s="18"/>
      <c r="F22" s="1">
        <v>1.0</v>
      </c>
      <c r="O22" s="19"/>
    </row>
    <row r="23" ht="15.75" customHeight="1">
      <c r="A23" s="17"/>
      <c r="B23" s="12" t="s">
        <v>37</v>
      </c>
      <c r="C23" s="13" t="s">
        <v>42</v>
      </c>
      <c r="D23" s="18"/>
      <c r="O23" s="19"/>
    </row>
    <row r="24" ht="15.75" customHeight="1">
      <c r="A24" s="17"/>
      <c r="B24" s="12" t="s">
        <v>37</v>
      </c>
      <c r="C24" s="13" t="s">
        <v>43</v>
      </c>
      <c r="D24" s="18"/>
      <c r="O24" s="19"/>
    </row>
    <row r="25" ht="17.25" customHeight="1">
      <c r="A25" s="20"/>
      <c r="B25" s="12" t="s">
        <v>37</v>
      </c>
      <c r="C25" s="13" t="s">
        <v>44</v>
      </c>
      <c r="D25" s="21"/>
      <c r="E25" s="22"/>
      <c r="F25" s="22">
        <v>1.0</v>
      </c>
      <c r="G25" s="22"/>
      <c r="H25" s="22">
        <v>0.0</v>
      </c>
      <c r="I25" s="22"/>
      <c r="K25" s="22"/>
      <c r="L25" s="22"/>
      <c r="M25" s="22"/>
      <c r="N25" s="22"/>
      <c r="O25" s="23"/>
    </row>
    <row r="26" ht="15.75" customHeight="1">
      <c r="A26" s="11">
        <v>45293.0</v>
      </c>
      <c r="B26" s="12" t="s">
        <v>37</v>
      </c>
      <c r="C26" s="13" t="s">
        <v>38</v>
      </c>
      <c r="D26" s="24">
        <v>49.61</v>
      </c>
      <c r="E26" s="15">
        <v>24.0</v>
      </c>
      <c r="F26" s="15"/>
      <c r="G26" s="15"/>
      <c r="H26" s="15"/>
      <c r="I26" s="15"/>
      <c r="J26" s="15"/>
      <c r="K26" s="15"/>
      <c r="L26" s="15"/>
      <c r="M26" s="15"/>
      <c r="N26" s="15"/>
      <c r="O26" s="16"/>
    </row>
    <row r="27" ht="15.75" customHeight="1">
      <c r="A27" s="17"/>
      <c r="B27" s="12" t="s">
        <v>37</v>
      </c>
      <c r="C27" s="13" t="s">
        <v>39</v>
      </c>
      <c r="D27" s="3"/>
      <c r="O27" s="19"/>
    </row>
    <row r="28" ht="15.75" customHeight="1">
      <c r="A28" s="17"/>
      <c r="B28" s="12" t="s">
        <v>37</v>
      </c>
      <c r="C28" s="13" t="s">
        <v>40</v>
      </c>
      <c r="D28" s="3"/>
      <c r="O28" s="19"/>
    </row>
    <row r="29" ht="15.75" customHeight="1">
      <c r="A29" s="17"/>
      <c r="B29" s="12" t="s">
        <v>37</v>
      </c>
      <c r="C29" s="13" t="s">
        <v>41</v>
      </c>
      <c r="D29" s="3"/>
      <c r="F29" s="1">
        <v>2.0</v>
      </c>
      <c r="H29" s="1">
        <v>2.0</v>
      </c>
      <c r="J29" s="1">
        <v>1.0</v>
      </c>
      <c r="O29" s="19"/>
    </row>
    <row r="30" ht="15.75" customHeight="1">
      <c r="A30" s="17"/>
      <c r="B30" s="12" t="s">
        <v>37</v>
      </c>
      <c r="C30" s="13" t="s">
        <v>42</v>
      </c>
      <c r="D30" s="3"/>
      <c r="J30" s="1">
        <v>1.0</v>
      </c>
      <c r="O30" s="19"/>
    </row>
    <row r="31" ht="15.75" customHeight="1">
      <c r="A31" s="17"/>
      <c r="B31" s="12" t="s">
        <v>37</v>
      </c>
      <c r="C31" s="13" t="s">
        <v>43</v>
      </c>
      <c r="D31" s="3"/>
      <c r="F31" s="1">
        <v>3.0</v>
      </c>
      <c r="H31" s="1">
        <v>1.0</v>
      </c>
      <c r="J31" s="1">
        <v>1.0</v>
      </c>
      <c r="L31" s="1">
        <v>1.0</v>
      </c>
      <c r="N31" s="1">
        <v>1.0</v>
      </c>
      <c r="O31" s="19">
        <v>1.0</v>
      </c>
    </row>
    <row r="32" ht="15.75" customHeight="1">
      <c r="A32" s="17"/>
      <c r="B32" s="12" t="s">
        <v>37</v>
      </c>
      <c r="C32" s="13" t="s">
        <v>44</v>
      </c>
      <c r="D32" s="3"/>
      <c r="F32" s="1">
        <v>1.0</v>
      </c>
      <c r="H32" s="1"/>
      <c r="I32" s="1">
        <v>1.0</v>
      </c>
      <c r="O32" s="19">
        <v>1.0</v>
      </c>
    </row>
    <row r="33" ht="15.75" customHeight="1">
      <c r="A33" s="17"/>
      <c r="B33" s="12" t="s">
        <v>37</v>
      </c>
      <c r="C33" s="13" t="s">
        <v>45</v>
      </c>
      <c r="D33" s="3"/>
      <c r="F33" s="1"/>
      <c r="H33" s="1"/>
      <c r="J33" s="1">
        <v>1.0</v>
      </c>
      <c r="O33" s="19"/>
    </row>
    <row r="34" ht="15.75" customHeight="1">
      <c r="A34" s="17"/>
      <c r="B34" s="12" t="s">
        <v>37</v>
      </c>
      <c r="C34" s="13" t="s">
        <v>46</v>
      </c>
      <c r="D34" s="3"/>
      <c r="F34" s="1">
        <v>1.0</v>
      </c>
      <c r="H34" s="1">
        <v>1.0</v>
      </c>
      <c r="O34" s="19"/>
    </row>
    <row r="35" ht="15.75" customHeight="1">
      <c r="A35" s="20"/>
      <c r="B35" s="12" t="s">
        <v>37</v>
      </c>
      <c r="C35" s="13" t="s">
        <v>47</v>
      </c>
      <c r="D35" s="25"/>
      <c r="E35" s="22"/>
      <c r="F35" s="22">
        <v>1.0</v>
      </c>
      <c r="G35" s="22"/>
      <c r="H35" s="22">
        <v>1.0</v>
      </c>
      <c r="I35" s="22"/>
      <c r="J35" s="22"/>
      <c r="K35" s="22"/>
      <c r="L35" s="22"/>
      <c r="M35" s="22"/>
      <c r="N35" s="22"/>
      <c r="O35" s="23"/>
    </row>
    <row r="36" ht="15.75" customHeight="1">
      <c r="A36" s="11">
        <v>45294.0</v>
      </c>
      <c r="B36" s="12" t="s">
        <v>37</v>
      </c>
      <c r="C36" s="13" t="s">
        <v>38</v>
      </c>
      <c r="D36" s="24">
        <v>48.89</v>
      </c>
      <c r="E36" s="15">
        <v>28.0</v>
      </c>
      <c r="F36" s="15"/>
      <c r="G36" s="15">
        <v>8.0</v>
      </c>
      <c r="H36" s="15"/>
      <c r="I36" s="15">
        <v>2.0</v>
      </c>
      <c r="J36" s="15"/>
      <c r="K36" s="15"/>
      <c r="L36" s="15">
        <v>2.0</v>
      </c>
      <c r="M36" s="15"/>
      <c r="N36" s="15"/>
      <c r="O36" s="16"/>
    </row>
    <row r="37" ht="15.75" customHeight="1">
      <c r="A37" s="17"/>
      <c r="B37" s="12" t="s">
        <v>37</v>
      </c>
      <c r="C37" s="13" t="s">
        <v>39</v>
      </c>
      <c r="D37" s="3"/>
      <c r="O37" s="19"/>
    </row>
    <row r="38" ht="15.75" customHeight="1">
      <c r="A38" s="17"/>
      <c r="B38" s="12" t="s">
        <v>37</v>
      </c>
      <c r="C38" s="13" t="s">
        <v>40</v>
      </c>
      <c r="D38" s="3"/>
      <c r="J38" s="1">
        <v>2.0</v>
      </c>
      <c r="K38" s="1">
        <v>1.0</v>
      </c>
      <c r="L38" s="1">
        <v>1.0</v>
      </c>
      <c r="O38" s="19"/>
    </row>
    <row r="39" ht="15.75" customHeight="1">
      <c r="A39" s="17"/>
      <c r="B39" s="12" t="s">
        <v>37</v>
      </c>
      <c r="C39" s="13" t="s">
        <v>41</v>
      </c>
      <c r="D39" s="3"/>
      <c r="F39" s="1">
        <v>2.0</v>
      </c>
      <c r="O39" s="19"/>
    </row>
    <row r="40" ht="15.75" customHeight="1">
      <c r="A40" s="17"/>
      <c r="B40" s="12" t="s">
        <v>37</v>
      </c>
      <c r="C40" s="13" t="s">
        <v>42</v>
      </c>
      <c r="D40" s="3"/>
      <c r="O40" s="19"/>
    </row>
    <row r="41" ht="15.75" customHeight="1">
      <c r="A41" s="17"/>
      <c r="B41" s="12" t="s">
        <v>37</v>
      </c>
      <c r="C41" s="13" t="s">
        <v>48</v>
      </c>
      <c r="D41" s="3"/>
      <c r="J41" s="1">
        <v>1.0</v>
      </c>
      <c r="O41" s="19"/>
    </row>
    <row r="42" ht="15.75" customHeight="1">
      <c r="A42" s="17"/>
      <c r="B42" s="12" t="s">
        <v>37</v>
      </c>
      <c r="C42" s="13" t="s">
        <v>43</v>
      </c>
      <c r="D42" s="3"/>
      <c r="O42" s="19"/>
    </row>
    <row r="43" ht="15.75" customHeight="1">
      <c r="A43" s="20"/>
      <c r="B43" s="12" t="s">
        <v>37</v>
      </c>
      <c r="C43" s="13" t="s">
        <v>44</v>
      </c>
      <c r="D43" s="25"/>
      <c r="E43" s="22"/>
      <c r="F43" s="22">
        <v>1.0</v>
      </c>
      <c r="G43" s="22"/>
      <c r="H43" s="22"/>
      <c r="I43" s="22"/>
      <c r="J43" s="22">
        <v>1.0</v>
      </c>
      <c r="K43" s="22"/>
      <c r="L43" s="22">
        <v>1.0</v>
      </c>
      <c r="M43" s="22"/>
      <c r="N43" s="22">
        <v>2.0</v>
      </c>
      <c r="O43" s="23"/>
    </row>
    <row r="44" ht="15.75" customHeight="1">
      <c r="A44" s="11">
        <v>45295.0</v>
      </c>
      <c r="B44" s="12" t="s">
        <v>37</v>
      </c>
      <c r="C44" s="13" t="s">
        <v>38</v>
      </c>
      <c r="D44" s="24">
        <v>48.75</v>
      </c>
      <c r="E44" s="15">
        <v>120.0</v>
      </c>
      <c r="F44" s="15"/>
      <c r="G44" s="15">
        <v>13.0</v>
      </c>
      <c r="H44" s="15"/>
      <c r="I44" s="15"/>
      <c r="J44" s="15"/>
      <c r="K44" s="15"/>
      <c r="L44" s="15"/>
      <c r="M44" s="15"/>
      <c r="N44" s="15"/>
      <c r="O44" s="16"/>
    </row>
    <row r="45" ht="15.75" customHeight="1">
      <c r="A45" s="17"/>
      <c r="B45" s="12" t="s">
        <v>37</v>
      </c>
      <c r="C45" s="13" t="s">
        <v>39</v>
      </c>
      <c r="D45" s="3"/>
      <c r="I45" s="1">
        <v>1.0</v>
      </c>
      <c r="L45" s="1">
        <v>1.0</v>
      </c>
      <c r="O45" s="19"/>
    </row>
    <row r="46" ht="15.75" customHeight="1">
      <c r="A46" s="17"/>
      <c r="B46" s="12" t="s">
        <v>37</v>
      </c>
      <c r="C46" s="13" t="s">
        <v>40</v>
      </c>
      <c r="D46" s="3"/>
      <c r="F46" s="1">
        <v>1.0</v>
      </c>
      <c r="H46" s="1">
        <v>1.0</v>
      </c>
      <c r="O46" s="19"/>
    </row>
    <row r="47" ht="15.75" customHeight="1">
      <c r="A47" s="17"/>
      <c r="B47" s="12" t="s">
        <v>37</v>
      </c>
      <c r="C47" s="13" t="s">
        <v>41</v>
      </c>
      <c r="D47" s="3"/>
      <c r="F47" s="1">
        <v>2.0</v>
      </c>
      <c r="J47" s="1">
        <v>4.0</v>
      </c>
      <c r="L47" s="1">
        <v>4.0</v>
      </c>
      <c r="M47" s="1">
        <v>3.0</v>
      </c>
      <c r="O47" s="19"/>
    </row>
    <row r="48" ht="15.75" customHeight="1">
      <c r="A48" s="17"/>
      <c r="B48" s="12" t="s">
        <v>37</v>
      </c>
      <c r="C48" s="13" t="s">
        <v>42</v>
      </c>
      <c r="D48" s="3"/>
      <c r="O48" s="19"/>
    </row>
    <row r="49" ht="15.75" customHeight="1">
      <c r="A49" s="17"/>
      <c r="B49" s="12" t="s">
        <v>37</v>
      </c>
      <c r="C49" s="13" t="s">
        <v>43</v>
      </c>
      <c r="D49" s="3"/>
      <c r="O49" s="19"/>
    </row>
    <row r="50" ht="15.75" customHeight="1">
      <c r="A50" s="20"/>
      <c r="B50" s="12" t="s">
        <v>37</v>
      </c>
      <c r="C50" s="13" t="s">
        <v>44</v>
      </c>
      <c r="D50" s="3"/>
      <c r="F50" s="1">
        <v>6.0</v>
      </c>
      <c r="H50" s="1">
        <v>1.0</v>
      </c>
      <c r="N50" s="1">
        <v>1.0</v>
      </c>
      <c r="O50" s="1">
        <v>1.0</v>
      </c>
    </row>
    <row r="51" ht="15.75" customHeight="1">
      <c r="A51" s="26"/>
      <c r="B51" s="12" t="s">
        <v>37</v>
      </c>
      <c r="C51" s="13" t="s">
        <v>49</v>
      </c>
      <c r="D51" s="3"/>
      <c r="F51" s="1"/>
      <c r="H51" s="1"/>
      <c r="N51" s="1">
        <v>1.0</v>
      </c>
      <c r="O51" s="19"/>
    </row>
    <row r="52" ht="15.75" customHeight="1">
      <c r="A52" s="11">
        <v>45296.0</v>
      </c>
      <c r="B52" s="12" t="s">
        <v>50</v>
      </c>
      <c r="C52" s="13" t="s">
        <v>38</v>
      </c>
      <c r="D52" s="24">
        <v>49.38</v>
      </c>
      <c r="E52" s="15">
        <v>124.0</v>
      </c>
      <c r="F52" s="15"/>
      <c r="G52" s="15">
        <v>7.0</v>
      </c>
      <c r="H52" s="15"/>
      <c r="I52" s="15">
        <v>1.0</v>
      </c>
      <c r="J52" s="15"/>
      <c r="K52" s="15"/>
      <c r="L52" s="15">
        <v>1.0</v>
      </c>
      <c r="M52" s="15">
        <v>1.0</v>
      </c>
      <c r="N52" s="15"/>
      <c r="O52" s="16"/>
    </row>
    <row r="53" ht="15.75" customHeight="1">
      <c r="A53" s="17"/>
      <c r="B53" s="12" t="s">
        <v>50</v>
      </c>
      <c r="C53" s="13" t="s">
        <v>39</v>
      </c>
      <c r="D53" s="3"/>
      <c r="O53" s="19"/>
    </row>
    <row r="54" ht="15.75" customHeight="1">
      <c r="A54" s="17"/>
      <c r="B54" s="12" t="s">
        <v>50</v>
      </c>
      <c r="C54" s="13" t="s">
        <v>40</v>
      </c>
      <c r="D54" s="3"/>
      <c r="O54" s="19"/>
    </row>
    <row r="55" ht="15.75" customHeight="1">
      <c r="A55" s="17"/>
      <c r="B55" s="12" t="s">
        <v>50</v>
      </c>
      <c r="C55" s="13" t="s">
        <v>41</v>
      </c>
      <c r="D55" s="3"/>
      <c r="F55" s="1">
        <v>2.0</v>
      </c>
      <c r="H55" s="1">
        <v>1.0</v>
      </c>
      <c r="J55" s="1">
        <v>2.0</v>
      </c>
      <c r="K55" s="1">
        <v>1.0</v>
      </c>
      <c r="L55" s="1">
        <v>1.0</v>
      </c>
      <c r="M55" s="1">
        <v>1.0</v>
      </c>
      <c r="O55" s="19"/>
    </row>
    <row r="56" ht="15.75" customHeight="1">
      <c r="A56" s="17"/>
      <c r="B56" s="12" t="s">
        <v>50</v>
      </c>
      <c r="C56" s="13" t="s">
        <v>42</v>
      </c>
      <c r="D56" s="3"/>
      <c r="J56" s="1">
        <v>1.0</v>
      </c>
      <c r="O56" s="19"/>
    </row>
    <row r="57" ht="15.75" customHeight="1">
      <c r="A57" s="17"/>
      <c r="B57" s="12" t="s">
        <v>50</v>
      </c>
      <c r="C57" s="13" t="s">
        <v>43</v>
      </c>
      <c r="D57" s="3"/>
      <c r="F57" s="1">
        <v>1.0</v>
      </c>
      <c r="H57" s="1">
        <v>1.0</v>
      </c>
      <c r="N57" s="1">
        <v>1.0</v>
      </c>
      <c r="O57" s="19">
        <v>1.0</v>
      </c>
    </row>
    <row r="58" ht="15.75" customHeight="1">
      <c r="A58" s="20"/>
      <c r="B58" s="12" t="s">
        <v>50</v>
      </c>
      <c r="C58" s="13" t="s">
        <v>44</v>
      </c>
      <c r="D58" s="3"/>
      <c r="F58" s="1">
        <v>4.0</v>
      </c>
      <c r="H58" s="1">
        <v>2.0</v>
      </c>
      <c r="J58" s="1">
        <v>3.0</v>
      </c>
      <c r="L58" s="1">
        <v>1.0</v>
      </c>
      <c r="N58" s="1">
        <v>2.0</v>
      </c>
    </row>
    <row r="59" ht="15.75" customHeight="1">
      <c r="A59" s="26"/>
      <c r="B59" s="12" t="s">
        <v>50</v>
      </c>
      <c r="C59" s="13" t="s">
        <v>49</v>
      </c>
      <c r="D59" s="3"/>
      <c r="F59" s="1"/>
      <c r="H59" s="1"/>
      <c r="L59" s="1"/>
      <c r="N59" s="1">
        <v>1.0</v>
      </c>
      <c r="O59" s="19"/>
    </row>
    <row r="60" ht="15.75" customHeight="1">
      <c r="A60" s="11">
        <v>45297.0</v>
      </c>
      <c r="B60" s="12" t="s">
        <v>50</v>
      </c>
      <c r="C60" s="13" t="s">
        <v>38</v>
      </c>
      <c r="D60" s="24">
        <v>50.91</v>
      </c>
      <c r="E60" s="15">
        <v>65.0</v>
      </c>
      <c r="F60" s="15"/>
      <c r="G60" s="15">
        <v>10.0</v>
      </c>
      <c r="H60" s="15"/>
      <c r="I60" s="15"/>
      <c r="J60" s="15"/>
      <c r="K60" s="15"/>
      <c r="L60" s="15"/>
      <c r="M60" s="15"/>
      <c r="N60" s="15"/>
      <c r="O60" s="16"/>
    </row>
    <row r="61" ht="15.75" customHeight="1">
      <c r="A61" s="17"/>
      <c r="B61" s="12" t="s">
        <v>50</v>
      </c>
      <c r="C61" s="13" t="s">
        <v>39</v>
      </c>
      <c r="D61" s="3"/>
      <c r="O61" s="19"/>
    </row>
    <row r="62" ht="15.75" customHeight="1">
      <c r="A62" s="17"/>
      <c r="B62" s="12" t="s">
        <v>50</v>
      </c>
      <c r="C62" s="13" t="s">
        <v>40</v>
      </c>
      <c r="D62" s="3"/>
      <c r="O62" s="19"/>
    </row>
    <row r="63" ht="15.75" customHeight="1">
      <c r="A63" s="17"/>
      <c r="B63" s="12" t="s">
        <v>50</v>
      </c>
      <c r="C63" s="13" t="s">
        <v>41</v>
      </c>
      <c r="D63" s="3"/>
      <c r="O63" s="19"/>
    </row>
    <row r="64" ht="15.75" customHeight="1">
      <c r="A64" s="17"/>
      <c r="B64" s="12" t="s">
        <v>50</v>
      </c>
      <c r="C64" s="13" t="s">
        <v>42</v>
      </c>
      <c r="D64" s="3"/>
      <c r="O64" s="19"/>
    </row>
    <row r="65" ht="15.75" customHeight="1">
      <c r="A65" s="17"/>
      <c r="B65" s="12" t="s">
        <v>50</v>
      </c>
      <c r="C65" s="13" t="s">
        <v>43</v>
      </c>
      <c r="D65" s="3"/>
      <c r="F65" s="1">
        <v>2.0</v>
      </c>
      <c r="H65" s="1">
        <v>1.0</v>
      </c>
      <c r="O65" s="19"/>
    </row>
    <row r="66" ht="15.75" customHeight="1">
      <c r="A66" s="20"/>
      <c r="B66" s="12" t="s">
        <v>50</v>
      </c>
      <c r="C66" s="13" t="s">
        <v>44</v>
      </c>
      <c r="D66" s="25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3"/>
    </row>
    <row r="67" ht="15.75" customHeight="1">
      <c r="A67" s="11">
        <v>45298.0</v>
      </c>
      <c r="B67" s="12" t="s">
        <v>50</v>
      </c>
      <c r="C67" s="13" t="s">
        <v>38</v>
      </c>
      <c r="D67" s="24">
        <v>108.69</v>
      </c>
      <c r="E67" s="15">
        <v>95.0</v>
      </c>
      <c r="F67" s="15"/>
      <c r="G67" s="15">
        <v>10.0</v>
      </c>
      <c r="H67" s="15"/>
      <c r="I67" s="15"/>
      <c r="J67" s="15"/>
      <c r="K67" s="15"/>
      <c r="L67" s="15"/>
      <c r="M67" s="15"/>
      <c r="N67" s="15"/>
      <c r="O67" s="16"/>
    </row>
    <row r="68" ht="15.75" customHeight="1">
      <c r="A68" s="17"/>
      <c r="B68" s="12" t="s">
        <v>50</v>
      </c>
      <c r="C68" s="13" t="s">
        <v>39</v>
      </c>
      <c r="D68" s="3">
        <v>205.82</v>
      </c>
      <c r="O68" s="19"/>
    </row>
    <row r="69" ht="15.75" customHeight="1">
      <c r="A69" s="17"/>
      <c r="B69" s="12" t="s">
        <v>50</v>
      </c>
      <c r="C69" s="13" t="s">
        <v>40</v>
      </c>
      <c r="D69" s="3">
        <v>108.64</v>
      </c>
      <c r="G69" s="1">
        <v>2.0</v>
      </c>
      <c r="O69" s="19"/>
    </row>
    <row r="70" ht="15.75" customHeight="1">
      <c r="A70" s="17"/>
      <c r="B70" s="12" t="s">
        <v>50</v>
      </c>
      <c r="C70" s="13" t="s">
        <v>41</v>
      </c>
      <c r="D70" s="3"/>
      <c r="E70" s="1">
        <v>2.0</v>
      </c>
      <c r="H70" s="1">
        <v>1.0</v>
      </c>
      <c r="O70" s="19"/>
    </row>
    <row r="71" ht="15.75" customHeight="1">
      <c r="A71" s="17"/>
      <c r="B71" s="12" t="s">
        <v>50</v>
      </c>
      <c r="C71" s="13" t="s">
        <v>42</v>
      </c>
      <c r="D71" s="3">
        <v>108.85</v>
      </c>
      <c r="G71" s="1">
        <v>1.0</v>
      </c>
      <c r="O71" s="19"/>
    </row>
    <row r="72" ht="15.75" customHeight="1">
      <c r="A72" s="17"/>
      <c r="B72" s="12" t="s">
        <v>50</v>
      </c>
      <c r="C72" s="13" t="s">
        <v>43</v>
      </c>
      <c r="D72" s="3">
        <v>30.96</v>
      </c>
      <c r="E72" s="1">
        <v>1.0</v>
      </c>
      <c r="F72" s="1">
        <v>1.0</v>
      </c>
      <c r="O72" s="19"/>
    </row>
    <row r="73" ht="15.75" customHeight="1">
      <c r="A73" s="20"/>
      <c r="B73" s="12" t="s">
        <v>50</v>
      </c>
      <c r="C73" s="13" t="s">
        <v>44</v>
      </c>
      <c r="D73" s="25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3"/>
    </row>
    <row r="74" ht="15.75" customHeight="1">
      <c r="A74" s="11">
        <v>45299.0</v>
      </c>
      <c r="B74" s="12" t="s">
        <v>50</v>
      </c>
      <c r="C74" s="13" t="s">
        <v>38</v>
      </c>
      <c r="D74" s="24">
        <v>152.17</v>
      </c>
      <c r="E74" s="15">
        <v>129.0</v>
      </c>
      <c r="F74" s="15"/>
      <c r="G74" s="15">
        <v>12.0</v>
      </c>
      <c r="H74" s="15"/>
      <c r="I74" s="15">
        <v>2.0</v>
      </c>
      <c r="J74" s="15"/>
      <c r="K74" s="15">
        <v>2.0</v>
      </c>
      <c r="L74" s="15"/>
      <c r="M74" s="15"/>
      <c r="N74" s="15"/>
      <c r="O74" s="16"/>
    </row>
    <row r="75" ht="15.75" customHeight="1">
      <c r="A75" s="17"/>
      <c r="B75" s="12" t="s">
        <v>50</v>
      </c>
      <c r="C75" s="13" t="s">
        <v>39</v>
      </c>
      <c r="D75" s="3">
        <v>264.13</v>
      </c>
      <c r="E75" s="1">
        <v>12.0</v>
      </c>
      <c r="G75" s="1">
        <v>1.0</v>
      </c>
      <c r="O75" s="19"/>
    </row>
    <row r="76" ht="15.75" customHeight="1">
      <c r="A76" s="17"/>
      <c r="B76" s="12" t="s">
        <v>50</v>
      </c>
      <c r="C76" s="13" t="s">
        <v>40</v>
      </c>
      <c r="D76" s="3">
        <v>248.5</v>
      </c>
      <c r="E76" s="1">
        <v>12.0</v>
      </c>
      <c r="G76" s="1">
        <v>7.0</v>
      </c>
      <c r="I76" s="1">
        <v>1.0</v>
      </c>
      <c r="O76" s="19"/>
    </row>
    <row r="77" ht="15.75" customHeight="1">
      <c r="A77" s="17"/>
      <c r="B77" s="12" t="s">
        <v>50</v>
      </c>
      <c r="C77" s="13" t="s">
        <v>41</v>
      </c>
      <c r="D77" s="3"/>
      <c r="F77" s="1">
        <v>1.0</v>
      </c>
      <c r="J77" s="1">
        <v>2.0</v>
      </c>
      <c r="L77" s="1">
        <v>1.0</v>
      </c>
      <c r="M77" s="1">
        <v>1.0</v>
      </c>
      <c r="O77" s="19"/>
    </row>
    <row r="78" ht="15.75" customHeight="1">
      <c r="A78" s="17"/>
      <c r="B78" s="12" t="s">
        <v>50</v>
      </c>
      <c r="C78" s="13" t="s">
        <v>42</v>
      </c>
      <c r="D78" s="3">
        <v>142.3</v>
      </c>
      <c r="E78" s="1">
        <v>1.0</v>
      </c>
      <c r="O78" s="19"/>
    </row>
    <row r="79" ht="15.75" customHeight="1">
      <c r="A79" s="17"/>
      <c r="B79" s="12" t="s">
        <v>50</v>
      </c>
      <c r="C79" s="13" t="s">
        <v>45</v>
      </c>
      <c r="D79" s="3"/>
      <c r="J79" s="1">
        <v>1.0</v>
      </c>
      <c r="O79" s="19"/>
    </row>
    <row r="80" ht="15.75" customHeight="1">
      <c r="A80" s="17"/>
      <c r="B80" s="12" t="s">
        <v>50</v>
      </c>
      <c r="C80" s="13" t="s">
        <v>43</v>
      </c>
      <c r="D80" s="3">
        <v>214.98</v>
      </c>
      <c r="E80" s="1">
        <v>3.0</v>
      </c>
      <c r="F80" s="1">
        <v>5.0</v>
      </c>
      <c r="G80" s="1">
        <v>2.0</v>
      </c>
      <c r="H80" s="1">
        <v>1.0</v>
      </c>
      <c r="O80" s="19"/>
    </row>
    <row r="81" ht="15.75" customHeight="1">
      <c r="A81" s="17"/>
      <c r="B81" s="12" t="s">
        <v>50</v>
      </c>
      <c r="C81" s="13" t="s">
        <v>44</v>
      </c>
      <c r="D81" s="3">
        <v>17.08</v>
      </c>
      <c r="F81" s="1"/>
      <c r="H81" s="1"/>
      <c r="O81" s="19"/>
    </row>
    <row r="82" ht="15.75" customHeight="1">
      <c r="A82" s="20"/>
      <c r="B82" s="12" t="s">
        <v>50</v>
      </c>
      <c r="C82" s="13" t="s">
        <v>51</v>
      </c>
      <c r="D82" s="25"/>
      <c r="E82" s="22"/>
      <c r="F82" s="22"/>
      <c r="G82" s="22"/>
      <c r="H82" s="22"/>
      <c r="I82" s="22"/>
      <c r="J82" s="22"/>
      <c r="K82" s="22"/>
      <c r="L82" s="22">
        <v>1.0</v>
      </c>
      <c r="M82" s="22"/>
      <c r="N82" s="22"/>
      <c r="O82" s="23"/>
    </row>
    <row r="83" ht="15.75" customHeight="1">
      <c r="A83" s="11">
        <v>45300.0</v>
      </c>
      <c r="B83" s="12" t="s">
        <v>50</v>
      </c>
      <c r="C83" s="13" t="s">
        <v>38</v>
      </c>
      <c r="D83" s="24">
        <v>148.7</v>
      </c>
      <c r="E83" s="15">
        <v>95.0</v>
      </c>
      <c r="F83" s="15"/>
      <c r="G83" s="15">
        <v>19.0</v>
      </c>
      <c r="H83" s="15"/>
      <c r="I83" s="15">
        <v>1.0</v>
      </c>
      <c r="J83" s="15"/>
      <c r="K83" s="15"/>
      <c r="L83" s="15">
        <v>1.0</v>
      </c>
      <c r="M83" s="15"/>
      <c r="N83" s="15"/>
      <c r="O83" s="16"/>
    </row>
    <row r="84" ht="15.75" customHeight="1">
      <c r="A84" s="17"/>
      <c r="B84" s="12" t="s">
        <v>50</v>
      </c>
      <c r="C84" s="13" t="s">
        <v>39</v>
      </c>
      <c r="D84" s="3">
        <v>347.95</v>
      </c>
      <c r="E84" s="1">
        <v>11.0</v>
      </c>
      <c r="F84" s="1">
        <v>1.0</v>
      </c>
      <c r="G84" s="1">
        <v>2.0</v>
      </c>
      <c r="I84" s="1">
        <v>1.0</v>
      </c>
      <c r="J84" s="1">
        <v>1.0</v>
      </c>
      <c r="L84" s="1">
        <v>2.0</v>
      </c>
      <c r="M84" s="1">
        <v>1.0</v>
      </c>
      <c r="O84" s="19"/>
    </row>
    <row r="85" ht="15.75" customHeight="1">
      <c r="A85" s="17"/>
      <c r="B85" s="12" t="s">
        <v>50</v>
      </c>
      <c r="C85" s="13" t="s">
        <v>40</v>
      </c>
      <c r="D85" s="3">
        <v>376.56</v>
      </c>
      <c r="E85" s="1">
        <v>3.0</v>
      </c>
      <c r="G85" s="1">
        <v>1.0</v>
      </c>
      <c r="O85" s="19"/>
    </row>
    <row r="86" ht="15.75" customHeight="1">
      <c r="A86" s="17"/>
      <c r="B86" s="12" t="s">
        <v>50</v>
      </c>
      <c r="C86" s="13" t="s">
        <v>41</v>
      </c>
      <c r="D86" s="3"/>
      <c r="F86" s="1">
        <v>2.0</v>
      </c>
      <c r="H86" s="1">
        <v>1.0</v>
      </c>
      <c r="J86" s="1">
        <v>1.0</v>
      </c>
      <c r="K86" s="1">
        <v>1.0</v>
      </c>
      <c r="O86" s="19"/>
    </row>
    <row r="87" ht="15.75" customHeight="1">
      <c r="A87" s="17"/>
      <c r="B87" s="12" t="s">
        <v>50</v>
      </c>
      <c r="C87" s="13" t="s">
        <v>45</v>
      </c>
      <c r="D87" s="3"/>
      <c r="F87" s="1"/>
      <c r="H87" s="1"/>
      <c r="J87" s="1">
        <v>3.0</v>
      </c>
      <c r="O87" s="19"/>
    </row>
    <row r="88" ht="15.75" customHeight="1">
      <c r="A88" s="17"/>
      <c r="B88" s="12" t="s">
        <v>50</v>
      </c>
      <c r="C88" s="13" t="s">
        <v>42</v>
      </c>
      <c r="D88" s="3">
        <v>218.58</v>
      </c>
      <c r="E88" s="1">
        <v>4.0</v>
      </c>
      <c r="F88" s="1">
        <v>1.0</v>
      </c>
      <c r="G88" s="1">
        <v>2.0</v>
      </c>
      <c r="H88" s="1">
        <v>1.0</v>
      </c>
      <c r="I88" s="1">
        <v>1.0</v>
      </c>
      <c r="O88" s="19"/>
    </row>
    <row r="89" ht="15.75" customHeight="1">
      <c r="A89" s="17"/>
      <c r="B89" s="12" t="s">
        <v>50</v>
      </c>
      <c r="C89" s="13" t="s">
        <v>43</v>
      </c>
      <c r="D89" s="3">
        <v>365.99</v>
      </c>
      <c r="E89" s="1">
        <v>4.0</v>
      </c>
      <c r="F89" s="1">
        <v>9.0</v>
      </c>
      <c r="G89" s="1">
        <v>3.0</v>
      </c>
      <c r="H89" s="1">
        <v>6.0</v>
      </c>
      <c r="I89" s="1">
        <v>1.0</v>
      </c>
      <c r="J89" s="1">
        <v>2.0</v>
      </c>
      <c r="L89" s="1">
        <v>2.0</v>
      </c>
      <c r="N89" s="1">
        <v>1.0</v>
      </c>
      <c r="O89" s="19">
        <v>1.0</v>
      </c>
    </row>
    <row r="90" ht="15.75" customHeight="1">
      <c r="A90" s="17"/>
      <c r="B90" s="12" t="s">
        <v>50</v>
      </c>
      <c r="C90" s="13" t="s">
        <v>44</v>
      </c>
      <c r="D90" s="3">
        <v>226.25</v>
      </c>
      <c r="E90" s="1">
        <v>4.0</v>
      </c>
      <c r="F90" s="1">
        <v>1.0</v>
      </c>
      <c r="G90" s="1">
        <v>2.0</v>
      </c>
      <c r="H90" s="1">
        <v>1.0</v>
      </c>
      <c r="N90" s="1">
        <v>1.0</v>
      </c>
      <c r="O90" s="19">
        <v>1.0</v>
      </c>
    </row>
    <row r="91" ht="15.75" customHeight="1">
      <c r="A91" s="20"/>
      <c r="B91" s="12" t="s">
        <v>50</v>
      </c>
      <c r="C91" s="13" t="s">
        <v>45</v>
      </c>
      <c r="D91" s="25"/>
      <c r="E91" s="22"/>
      <c r="F91" s="22"/>
      <c r="G91" s="22"/>
      <c r="H91" s="22"/>
      <c r="I91" s="22"/>
      <c r="J91" s="22"/>
      <c r="K91" s="22"/>
      <c r="L91" s="22">
        <v>1.0</v>
      </c>
      <c r="M91" s="22"/>
      <c r="N91" s="22"/>
      <c r="O91" s="23"/>
    </row>
    <row r="92" ht="15.75" customHeight="1">
      <c r="A92" s="11">
        <v>45301.0</v>
      </c>
      <c r="B92" s="12" t="s">
        <v>50</v>
      </c>
      <c r="C92" s="13" t="s">
        <v>38</v>
      </c>
      <c r="D92" s="24">
        <v>187.51</v>
      </c>
      <c r="E92" s="15">
        <v>76.0</v>
      </c>
      <c r="F92" s="15"/>
      <c r="G92" s="15">
        <v>16.0</v>
      </c>
      <c r="H92" s="15"/>
      <c r="I92" s="15">
        <v>3.0</v>
      </c>
      <c r="J92" s="15"/>
      <c r="K92" s="15">
        <v>1.0</v>
      </c>
      <c r="L92" s="15">
        <v>2.0</v>
      </c>
      <c r="M92" s="15"/>
      <c r="N92" s="15"/>
      <c r="O92" s="16"/>
    </row>
    <row r="93" ht="15.75" customHeight="1">
      <c r="A93" s="17"/>
      <c r="B93" s="12" t="s">
        <v>50</v>
      </c>
      <c r="C93" s="13" t="s">
        <v>39</v>
      </c>
      <c r="D93" s="3">
        <v>121.07</v>
      </c>
      <c r="E93" s="1">
        <v>2.0</v>
      </c>
      <c r="I93" s="1">
        <v>3.0</v>
      </c>
      <c r="K93" s="1">
        <v>2.0</v>
      </c>
      <c r="L93" s="1">
        <v>1.0</v>
      </c>
      <c r="O93" s="19"/>
    </row>
    <row r="94" ht="15.75" customHeight="1">
      <c r="A94" s="17"/>
      <c r="B94" s="12" t="s">
        <v>50</v>
      </c>
      <c r="C94" s="13" t="s">
        <v>40</v>
      </c>
      <c r="D94" s="3">
        <v>186.07</v>
      </c>
      <c r="E94" s="1">
        <v>6.0</v>
      </c>
      <c r="G94" s="1">
        <v>1.0</v>
      </c>
      <c r="J94" s="1">
        <v>1.0</v>
      </c>
      <c r="K94" s="1">
        <v>1.0</v>
      </c>
      <c r="O94" s="19"/>
    </row>
    <row r="95" ht="15.75" customHeight="1">
      <c r="A95" s="17"/>
      <c r="B95" s="12" t="s">
        <v>50</v>
      </c>
      <c r="C95" s="13" t="s">
        <v>41</v>
      </c>
      <c r="D95" s="3"/>
      <c r="F95" s="1">
        <v>1.0</v>
      </c>
      <c r="H95" s="1">
        <v>1.0</v>
      </c>
      <c r="O95" s="19"/>
    </row>
    <row r="96" ht="15.75" customHeight="1">
      <c r="A96" s="17"/>
      <c r="B96" s="12" t="s">
        <v>50</v>
      </c>
      <c r="C96" s="13" t="s">
        <v>42</v>
      </c>
      <c r="D96" s="3">
        <v>83.46</v>
      </c>
      <c r="J96" s="1">
        <v>2.0</v>
      </c>
      <c r="L96" s="1">
        <v>2.0</v>
      </c>
      <c r="O96" s="19"/>
    </row>
    <row r="97" ht="15.75" customHeight="1">
      <c r="A97" s="17"/>
      <c r="B97" s="12" t="s">
        <v>50</v>
      </c>
      <c r="C97" s="13" t="s">
        <v>43</v>
      </c>
      <c r="D97" s="3">
        <v>300.63</v>
      </c>
      <c r="E97" s="1">
        <v>1.0</v>
      </c>
      <c r="F97" s="1">
        <v>7.0</v>
      </c>
      <c r="H97" s="1">
        <v>6.0</v>
      </c>
      <c r="J97" s="1">
        <v>2.0</v>
      </c>
      <c r="K97" s="1">
        <v>1.0</v>
      </c>
      <c r="N97" s="1">
        <v>1.0</v>
      </c>
      <c r="O97" s="19"/>
    </row>
    <row r="98" ht="15.75" customHeight="1">
      <c r="A98" s="17"/>
      <c r="B98" s="12" t="s">
        <v>50</v>
      </c>
      <c r="C98" s="13" t="s">
        <v>44</v>
      </c>
      <c r="D98" s="3">
        <v>271.83</v>
      </c>
      <c r="E98" s="1">
        <v>2.0</v>
      </c>
      <c r="F98" s="1">
        <v>1.0</v>
      </c>
      <c r="G98" s="1">
        <v>1.0</v>
      </c>
      <c r="H98" s="1"/>
      <c r="K98" s="1">
        <v>1.0</v>
      </c>
      <c r="N98" s="1">
        <v>5.0</v>
      </c>
      <c r="O98" s="19">
        <v>1.0</v>
      </c>
    </row>
    <row r="99" ht="15.75" customHeight="1">
      <c r="A99" s="20"/>
      <c r="B99" s="12" t="s">
        <v>50</v>
      </c>
      <c r="C99" s="13" t="s">
        <v>52</v>
      </c>
      <c r="D99" s="25"/>
      <c r="E99" s="22"/>
      <c r="F99" s="22"/>
      <c r="G99" s="22"/>
      <c r="H99" s="22"/>
      <c r="I99" s="22"/>
      <c r="J99" s="22">
        <v>1.0</v>
      </c>
      <c r="K99" s="22"/>
      <c r="L99" s="22">
        <v>1.0</v>
      </c>
      <c r="M99" s="22"/>
      <c r="N99" s="22"/>
      <c r="O99" s="23"/>
    </row>
    <row r="100" ht="15.75" customHeight="1">
      <c r="A100" s="11">
        <v>45302.0</v>
      </c>
      <c r="B100" s="12" t="s">
        <v>50</v>
      </c>
      <c r="C100" s="13" t="s">
        <v>43</v>
      </c>
      <c r="D100" s="24">
        <v>240.84</v>
      </c>
      <c r="E100" s="15">
        <v>1.0</v>
      </c>
      <c r="F100" s="15">
        <v>8.0</v>
      </c>
      <c r="G100" s="15">
        <v>0.0</v>
      </c>
      <c r="H100" s="15">
        <v>5.0</v>
      </c>
      <c r="I100" s="15"/>
      <c r="J100" s="15">
        <v>1.0</v>
      </c>
      <c r="K100" s="15"/>
      <c r="L100" s="15"/>
      <c r="M100" s="15"/>
      <c r="N100" s="15">
        <v>2.0</v>
      </c>
      <c r="O100" s="16"/>
    </row>
    <row r="101" ht="15.75" customHeight="1">
      <c r="A101" s="17"/>
      <c r="B101" s="12" t="s">
        <v>50</v>
      </c>
      <c r="C101" s="13" t="s">
        <v>44</v>
      </c>
      <c r="D101" s="3">
        <v>201.09</v>
      </c>
      <c r="E101" s="1">
        <v>2.0</v>
      </c>
      <c r="G101" s="1">
        <v>1.0</v>
      </c>
      <c r="J101" s="1">
        <v>1.0</v>
      </c>
      <c r="K101" s="1">
        <v>1.0</v>
      </c>
      <c r="N101" s="1">
        <v>4.0</v>
      </c>
      <c r="O101" s="19"/>
    </row>
    <row r="102" ht="15.75" customHeight="1">
      <c r="A102" s="17"/>
      <c r="B102" s="12" t="s">
        <v>50</v>
      </c>
      <c r="C102" s="13" t="s">
        <v>42</v>
      </c>
      <c r="D102" s="3"/>
      <c r="J102" s="1">
        <v>2.0</v>
      </c>
      <c r="L102" s="1">
        <v>2.0</v>
      </c>
      <c r="O102" s="19"/>
    </row>
    <row r="103" ht="15.75" customHeight="1">
      <c r="A103" s="17"/>
      <c r="B103" s="12" t="s">
        <v>50</v>
      </c>
      <c r="C103" s="13" t="s">
        <v>39</v>
      </c>
      <c r="D103" s="3"/>
      <c r="I103" s="1">
        <v>1.0</v>
      </c>
      <c r="K103" s="1">
        <v>1.0</v>
      </c>
      <c r="O103" s="19"/>
    </row>
    <row r="104" ht="15.75" customHeight="1">
      <c r="A104" s="17"/>
      <c r="B104" s="12" t="s">
        <v>50</v>
      </c>
      <c r="C104" s="13" t="s">
        <v>40</v>
      </c>
      <c r="D104" s="3">
        <v>124.3</v>
      </c>
      <c r="E104" s="1">
        <v>2.0</v>
      </c>
      <c r="F104" s="1">
        <v>1.0</v>
      </c>
      <c r="G104" s="1">
        <v>0.0</v>
      </c>
      <c r="H104" s="1">
        <v>0.0</v>
      </c>
      <c r="O104" s="19"/>
    </row>
    <row r="105" ht="15.75" customHeight="1">
      <c r="A105" s="17"/>
      <c r="B105" s="12" t="s">
        <v>50</v>
      </c>
      <c r="C105" s="13" t="s">
        <v>41</v>
      </c>
      <c r="D105" s="3"/>
      <c r="F105" s="1">
        <v>1.0</v>
      </c>
      <c r="J105" s="1">
        <v>1.0</v>
      </c>
      <c r="K105" s="1">
        <v>1.0</v>
      </c>
      <c r="O105" s="19"/>
    </row>
    <row r="106" ht="15.75" customHeight="1">
      <c r="A106" s="20"/>
      <c r="B106" s="12" t="s">
        <v>50</v>
      </c>
      <c r="C106" s="13" t="s">
        <v>38</v>
      </c>
      <c r="D106" s="25">
        <v>267.26</v>
      </c>
      <c r="E106" s="22">
        <v>65.0</v>
      </c>
      <c r="F106" s="22"/>
      <c r="G106" s="22">
        <v>12.0</v>
      </c>
      <c r="H106" s="22"/>
      <c r="I106" s="22">
        <v>1.0</v>
      </c>
      <c r="J106" s="22"/>
      <c r="K106" s="22"/>
      <c r="L106" s="22">
        <v>1.0</v>
      </c>
      <c r="M106" s="22">
        <v>1.0</v>
      </c>
      <c r="N106" s="22"/>
      <c r="O106" s="23"/>
    </row>
    <row r="107" ht="15.75" customHeight="1">
      <c r="A107" s="11">
        <v>45303.0</v>
      </c>
      <c r="B107" s="12" t="s">
        <v>53</v>
      </c>
      <c r="C107" s="13" t="s">
        <v>43</v>
      </c>
      <c r="D107" s="24">
        <v>277.07</v>
      </c>
      <c r="E107" s="15">
        <v>2.0</v>
      </c>
      <c r="F107" s="15">
        <v>11.0</v>
      </c>
      <c r="G107" s="15">
        <v>0.0</v>
      </c>
      <c r="H107" s="15">
        <v>7.0</v>
      </c>
      <c r="I107" s="15">
        <v>1.0</v>
      </c>
      <c r="J107" s="15">
        <v>1.0</v>
      </c>
      <c r="K107" s="15"/>
      <c r="L107" s="15">
        <v>1.0</v>
      </c>
      <c r="M107" s="15"/>
      <c r="N107" s="15">
        <v>2.0</v>
      </c>
      <c r="O107" s="16"/>
    </row>
    <row r="108" ht="15.75" customHeight="1">
      <c r="A108" s="17"/>
      <c r="B108" s="12" t="s">
        <v>53</v>
      </c>
      <c r="C108" s="13" t="s">
        <v>44</v>
      </c>
      <c r="D108" s="3">
        <v>139.31</v>
      </c>
      <c r="E108" s="1">
        <v>3.0</v>
      </c>
      <c r="F108" s="1">
        <v>1.0</v>
      </c>
      <c r="G108" s="1">
        <v>0.0</v>
      </c>
      <c r="H108" s="1">
        <v>0.0</v>
      </c>
      <c r="N108" s="1">
        <v>1.0</v>
      </c>
      <c r="O108" s="19"/>
    </row>
    <row r="109" ht="15.75" customHeight="1">
      <c r="A109" s="17"/>
      <c r="B109" s="12" t="s">
        <v>53</v>
      </c>
      <c r="C109" s="13" t="s">
        <v>42</v>
      </c>
      <c r="D109" s="3"/>
      <c r="J109" s="1">
        <v>1.0</v>
      </c>
      <c r="K109" s="1"/>
      <c r="L109" s="1"/>
      <c r="M109" s="1"/>
      <c r="N109" s="1"/>
      <c r="O109" s="19"/>
    </row>
    <row r="110" ht="15.75" customHeight="1">
      <c r="A110" s="17"/>
      <c r="B110" s="12" t="s">
        <v>53</v>
      </c>
      <c r="C110" s="13" t="s">
        <v>39</v>
      </c>
      <c r="D110" s="3"/>
      <c r="O110" s="19"/>
    </row>
    <row r="111" ht="15.75" customHeight="1">
      <c r="A111" s="17"/>
      <c r="B111" s="12" t="s">
        <v>53</v>
      </c>
      <c r="C111" s="13" t="s">
        <v>40</v>
      </c>
      <c r="D111" s="3">
        <v>45.09</v>
      </c>
      <c r="E111" s="1">
        <v>0.0</v>
      </c>
      <c r="F111" s="1">
        <v>0.0</v>
      </c>
      <c r="G111" s="1">
        <v>0.0</v>
      </c>
      <c r="H111" s="1">
        <v>0.0</v>
      </c>
      <c r="I111" s="1">
        <v>1.0</v>
      </c>
      <c r="J111" s="1"/>
      <c r="K111" s="1"/>
      <c r="L111" s="1">
        <v>1.0</v>
      </c>
      <c r="M111" s="1"/>
      <c r="N111" s="1"/>
      <c r="O111" s="19"/>
    </row>
    <row r="112" ht="15.75" customHeight="1">
      <c r="A112" s="17"/>
      <c r="B112" s="12" t="s">
        <v>53</v>
      </c>
      <c r="C112" s="13" t="s">
        <v>45</v>
      </c>
      <c r="D112" s="3"/>
      <c r="F112" s="1"/>
      <c r="H112" s="1"/>
      <c r="J112" s="1">
        <v>1.0</v>
      </c>
      <c r="K112" s="1">
        <v>1.0</v>
      </c>
      <c r="L112" s="1"/>
      <c r="M112" s="1"/>
      <c r="N112" s="1"/>
      <c r="O112" s="19"/>
    </row>
    <row r="113" ht="15.75" customHeight="1">
      <c r="A113" s="17"/>
      <c r="B113" s="12" t="s">
        <v>53</v>
      </c>
      <c r="C113" s="13" t="s">
        <v>41</v>
      </c>
      <c r="D113" s="3"/>
      <c r="F113" s="1">
        <v>13.0</v>
      </c>
      <c r="H113" s="1">
        <v>5.0</v>
      </c>
      <c r="J113" s="1">
        <v>1.0</v>
      </c>
      <c r="K113" s="1"/>
      <c r="L113" s="1">
        <v>1.0</v>
      </c>
      <c r="M113" s="1"/>
      <c r="N113" s="1"/>
      <c r="O113" s="19"/>
    </row>
    <row r="114" ht="14.25" customHeight="1">
      <c r="A114" s="17"/>
      <c r="B114" s="12" t="s">
        <v>53</v>
      </c>
      <c r="C114" s="27" t="s">
        <v>38</v>
      </c>
      <c r="D114" s="3">
        <v>267.58</v>
      </c>
      <c r="E114" s="1">
        <v>118.0</v>
      </c>
      <c r="F114" s="1"/>
      <c r="G114" s="1">
        <v>7.0</v>
      </c>
      <c r="H114" s="1"/>
      <c r="O114" s="19"/>
    </row>
    <row r="115" ht="15.75" customHeight="1">
      <c r="A115" s="17"/>
      <c r="B115" s="12" t="s">
        <v>53</v>
      </c>
      <c r="C115" s="13" t="s">
        <v>54</v>
      </c>
      <c r="D115" s="3"/>
      <c r="F115" s="1"/>
      <c r="H115" s="1"/>
      <c r="J115" s="1"/>
      <c r="K115" s="1">
        <v>1.0</v>
      </c>
      <c r="L115" s="1"/>
      <c r="M115" s="1"/>
      <c r="N115" s="1"/>
      <c r="O115" s="19"/>
    </row>
    <row r="116" ht="15.75" customHeight="1">
      <c r="A116" s="20"/>
      <c r="B116" s="12" t="s">
        <v>53</v>
      </c>
      <c r="C116" s="27" t="s">
        <v>51</v>
      </c>
      <c r="D116" s="3"/>
      <c r="F116" s="1"/>
      <c r="H116" s="1"/>
      <c r="J116" s="1"/>
      <c r="K116" s="1"/>
      <c r="L116" s="1">
        <v>1.0</v>
      </c>
      <c r="M116" s="1"/>
      <c r="N116" s="1"/>
      <c r="O116" s="1"/>
    </row>
    <row r="117" ht="15.75" customHeight="1">
      <c r="A117" s="26"/>
      <c r="B117" s="12" t="s">
        <v>53</v>
      </c>
      <c r="C117" s="13" t="s">
        <v>49</v>
      </c>
      <c r="D117" s="3"/>
      <c r="F117" s="1"/>
      <c r="H117" s="1"/>
      <c r="J117" s="1"/>
      <c r="K117" s="1"/>
      <c r="L117" s="1"/>
      <c r="M117" s="1"/>
      <c r="N117" s="1">
        <v>1.0</v>
      </c>
      <c r="O117" s="19"/>
    </row>
    <row r="118" ht="15.75" customHeight="1">
      <c r="A118" s="11">
        <v>45304.0</v>
      </c>
      <c r="B118" s="12" t="s">
        <v>53</v>
      </c>
      <c r="C118" s="13" t="s">
        <v>43</v>
      </c>
      <c r="D118" s="24">
        <v>238.67</v>
      </c>
      <c r="E118" s="15">
        <v>3.0</v>
      </c>
      <c r="F118" s="15">
        <v>3.0</v>
      </c>
      <c r="G118" s="15">
        <v>3.0</v>
      </c>
      <c r="H118" s="15">
        <v>1.0</v>
      </c>
      <c r="I118" s="15"/>
      <c r="J118" s="15"/>
      <c r="K118" s="15"/>
      <c r="L118" s="15"/>
      <c r="M118" s="15"/>
      <c r="N118" s="15"/>
      <c r="O118" s="16"/>
    </row>
    <row r="119" ht="15.75" customHeight="1">
      <c r="A119" s="17"/>
      <c r="B119" s="12" t="s">
        <v>53</v>
      </c>
      <c r="C119" s="13" t="s">
        <v>44</v>
      </c>
      <c r="D119" s="3">
        <v>112.08</v>
      </c>
      <c r="E119" s="1">
        <v>1.0</v>
      </c>
      <c r="F119" s="1">
        <v>0.0</v>
      </c>
      <c r="G119" s="1">
        <v>0.0</v>
      </c>
      <c r="H119" s="1">
        <v>0.0</v>
      </c>
      <c r="J119" s="1">
        <v>1.0</v>
      </c>
      <c r="O119" s="19"/>
    </row>
    <row r="120" ht="15.75" customHeight="1">
      <c r="A120" s="17"/>
      <c r="B120" s="12" t="s">
        <v>53</v>
      </c>
      <c r="C120" s="13" t="s">
        <v>42</v>
      </c>
      <c r="D120" s="3"/>
      <c r="O120" s="19"/>
    </row>
    <row r="121" ht="15.75" customHeight="1">
      <c r="A121" s="17"/>
      <c r="B121" s="12" t="s">
        <v>53</v>
      </c>
      <c r="C121" s="13" t="s">
        <v>39</v>
      </c>
      <c r="D121" s="3"/>
      <c r="O121" s="19"/>
    </row>
    <row r="122" ht="15.75" customHeight="1">
      <c r="A122" s="17"/>
      <c r="B122" s="12" t="s">
        <v>53</v>
      </c>
      <c r="C122" s="13" t="s">
        <v>40</v>
      </c>
      <c r="D122" s="3">
        <v>0.0</v>
      </c>
      <c r="E122" s="1">
        <v>0.0</v>
      </c>
      <c r="F122" s="1">
        <v>0.0</v>
      </c>
      <c r="G122" s="1">
        <v>0.0</v>
      </c>
      <c r="H122" s="1">
        <v>0.0</v>
      </c>
      <c r="O122" s="19"/>
    </row>
    <row r="123" ht="15.75" customHeight="1">
      <c r="A123" s="17"/>
      <c r="B123" s="12" t="s">
        <v>53</v>
      </c>
      <c r="C123" s="13" t="s">
        <v>41</v>
      </c>
      <c r="D123" s="3"/>
      <c r="F123" s="1">
        <v>12.0</v>
      </c>
      <c r="H123" s="1">
        <v>5.0</v>
      </c>
      <c r="O123" s="19"/>
    </row>
    <row r="124" ht="15.75" customHeight="1">
      <c r="A124" s="17"/>
      <c r="B124" s="12" t="s">
        <v>53</v>
      </c>
      <c r="C124" s="27" t="s">
        <v>38</v>
      </c>
      <c r="D124" s="3">
        <v>272.71</v>
      </c>
      <c r="F124" s="1"/>
      <c r="H124" s="1"/>
      <c r="O124" s="19"/>
    </row>
    <row r="125" ht="15.75" customHeight="1">
      <c r="A125" s="17"/>
      <c r="B125" s="12" t="s">
        <v>53</v>
      </c>
      <c r="C125" s="13" t="s">
        <v>54</v>
      </c>
      <c r="D125" s="3"/>
      <c r="F125" s="1"/>
      <c r="H125" s="1"/>
      <c r="J125" s="1">
        <v>1.0</v>
      </c>
      <c r="K125" s="1"/>
      <c r="L125" s="1"/>
      <c r="M125" s="1"/>
      <c r="N125" s="1"/>
      <c r="O125" s="19"/>
    </row>
    <row r="126" ht="15.75" customHeight="1">
      <c r="A126" s="20"/>
      <c r="B126" s="12" t="s">
        <v>53</v>
      </c>
      <c r="C126" s="13" t="s">
        <v>55</v>
      </c>
      <c r="D126" s="25"/>
      <c r="E126" s="22"/>
      <c r="F126" s="22">
        <v>1.0</v>
      </c>
      <c r="G126" s="22"/>
      <c r="H126" s="22"/>
      <c r="I126" s="22"/>
      <c r="J126" s="22"/>
      <c r="K126" s="22"/>
      <c r="L126" s="22"/>
      <c r="M126" s="22"/>
      <c r="N126" s="22"/>
      <c r="O126" s="23"/>
    </row>
    <row r="127" ht="15.75" customHeight="1">
      <c r="A127" s="11">
        <v>45305.0</v>
      </c>
      <c r="B127" s="12" t="s">
        <v>53</v>
      </c>
      <c r="C127" s="13" t="s">
        <v>43</v>
      </c>
      <c r="D127" s="24">
        <v>304.43</v>
      </c>
      <c r="E127" s="15">
        <v>7.0</v>
      </c>
      <c r="F127" s="15">
        <v>4.0</v>
      </c>
      <c r="G127" s="15">
        <v>4.0</v>
      </c>
      <c r="H127" s="15">
        <v>3.0</v>
      </c>
      <c r="I127" s="15">
        <v>2.0</v>
      </c>
      <c r="J127" s="15">
        <v>1.0</v>
      </c>
      <c r="K127" s="15">
        <v>1.0</v>
      </c>
      <c r="L127" s="15">
        <v>2.0</v>
      </c>
      <c r="M127" s="15"/>
      <c r="N127" s="15"/>
      <c r="O127" s="16">
        <v>1.0</v>
      </c>
    </row>
    <row r="128" ht="15.75" customHeight="1">
      <c r="A128" s="17"/>
      <c r="B128" s="12" t="s">
        <v>53</v>
      </c>
      <c r="C128" s="13" t="s">
        <v>44</v>
      </c>
      <c r="D128" s="3">
        <v>91.9</v>
      </c>
      <c r="E128" s="1">
        <v>0.0</v>
      </c>
      <c r="F128" s="1">
        <v>0.0</v>
      </c>
      <c r="G128" s="1">
        <v>0.0</v>
      </c>
      <c r="H128" s="1">
        <v>0.0</v>
      </c>
      <c r="N128" s="1">
        <v>1.0</v>
      </c>
      <c r="O128" s="19"/>
    </row>
    <row r="129" ht="15.75" customHeight="1">
      <c r="A129" s="17"/>
      <c r="B129" s="12" t="s">
        <v>53</v>
      </c>
      <c r="C129" s="13" t="s">
        <v>42</v>
      </c>
      <c r="D129" s="3"/>
      <c r="O129" s="19"/>
    </row>
    <row r="130" ht="15.75" customHeight="1">
      <c r="A130" s="17"/>
      <c r="B130" s="12" t="s">
        <v>53</v>
      </c>
      <c r="C130" s="13" t="s">
        <v>39</v>
      </c>
      <c r="D130" s="3"/>
      <c r="O130" s="19"/>
    </row>
    <row r="131" ht="15.75" customHeight="1">
      <c r="A131" s="17"/>
      <c r="B131" s="12" t="s">
        <v>53</v>
      </c>
      <c r="C131" s="13" t="s">
        <v>40</v>
      </c>
      <c r="D131" s="3">
        <v>0.0</v>
      </c>
      <c r="E131" s="1">
        <v>0.0</v>
      </c>
      <c r="F131" s="1">
        <v>0.0</v>
      </c>
      <c r="G131" s="1">
        <v>0.0</v>
      </c>
      <c r="H131" s="1">
        <v>0.0</v>
      </c>
      <c r="O131" s="19"/>
    </row>
    <row r="132" ht="15.75" customHeight="1">
      <c r="A132" s="17"/>
      <c r="B132" s="12" t="s">
        <v>53</v>
      </c>
      <c r="C132" s="13" t="s">
        <v>41</v>
      </c>
      <c r="D132" s="3"/>
      <c r="F132" s="1">
        <v>8.0</v>
      </c>
      <c r="H132" s="1">
        <v>2.0</v>
      </c>
      <c r="O132" s="19"/>
    </row>
    <row r="133" ht="15.75" customHeight="1">
      <c r="A133" s="20"/>
      <c r="B133" s="12" t="s">
        <v>53</v>
      </c>
      <c r="C133" s="13" t="s">
        <v>38</v>
      </c>
      <c r="D133" s="25">
        <v>285.6</v>
      </c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3"/>
    </row>
    <row r="134" ht="15.75" customHeight="1">
      <c r="A134" s="11">
        <v>45306.0</v>
      </c>
      <c r="B134" s="12" t="s">
        <v>53</v>
      </c>
      <c r="C134" s="13" t="s">
        <v>43</v>
      </c>
      <c r="D134" s="24">
        <v>467.27</v>
      </c>
      <c r="E134" s="15">
        <v>10.0</v>
      </c>
      <c r="F134" s="15">
        <v>1.0</v>
      </c>
      <c r="G134" s="15">
        <v>6.0</v>
      </c>
      <c r="H134" s="15">
        <v>0.0</v>
      </c>
      <c r="I134" s="15">
        <v>2.0</v>
      </c>
      <c r="J134" s="15">
        <v>1.0</v>
      </c>
      <c r="K134" s="15"/>
      <c r="L134" s="15">
        <v>3.0</v>
      </c>
      <c r="M134" s="15"/>
      <c r="N134" s="15">
        <v>2.0</v>
      </c>
      <c r="O134" s="16">
        <v>1.0</v>
      </c>
    </row>
    <row r="135" ht="15.75" customHeight="1">
      <c r="A135" s="17"/>
      <c r="B135" s="12" t="s">
        <v>53</v>
      </c>
      <c r="C135" s="13" t="s">
        <v>44</v>
      </c>
      <c r="D135" s="3">
        <v>29.33</v>
      </c>
      <c r="F135" s="1">
        <v>3.0</v>
      </c>
      <c r="H135" s="1">
        <v>2.0</v>
      </c>
      <c r="J135" s="1"/>
      <c r="K135" s="1"/>
      <c r="L135" s="1"/>
      <c r="M135" s="1"/>
      <c r="N135" s="1">
        <v>4.0</v>
      </c>
      <c r="O135" s="19"/>
    </row>
    <row r="136" ht="15.75" customHeight="1">
      <c r="A136" s="17"/>
      <c r="B136" s="12" t="s">
        <v>53</v>
      </c>
      <c r="C136" s="13" t="s">
        <v>42</v>
      </c>
      <c r="D136" s="3"/>
      <c r="J136" s="1">
        <v>1.0</v>
      </c>
      <c r="K136" s="1"/>
      <c r="L136" s="1"/>
      <c r="M136" s="1"/>
      <c r="N136" s="1"/>
      <c r="O136" s="19"/>
    </row>
    <row r="137" ht="15.75" customHeight="1">
      <c r="A137" s="17"/>
      <c r="B137" s="12" t="s">
        <v>53</v>
      </c>
      <c r="C137" s="13" t="s">
        <v>39</v>
      </c>
      <c r="D137" s="3"/>
      <c r="F137" s="1">
        <v>1.0</v>
      </c>
      <c r="J137" s="1">
        <v>1.0</v>
      </c>
      <c r="L137" s="1">
        <v>1.0</v>
      </c>
      <c r="O137" s="19"/>
    </row>
    <row r="138" ht="15.75" customHeight="1">
      <c r="A138" s="17"/>
      <c r="B138" s="12" t="s">
        <v>53</v>
      </c>
      <c r="C138" s="13" t="s">
        <v>40</v>
      </c>
      <c r="D138" s="3"/>
      <c r="O138" s="19"/>
    </row>
    <row r="139" ht="15.75" customHeight="1">
      <c r="A139" s="17"/>
      <c r="B139" s="12" t="s">
        <v>53</v>
      </c>
      <c r="C139" s="13" t="s">
        <v>41</v>
      </c>
      <c r="D139" s="3"/>
      <c r="F139" s="1">
        <v>5.0</v>
      </c>
      <c r="J139" s="1">
        <v>1.0</v>
      </c>
      <c r="K139" s="1">
        <v>1.0</v>
      </c>
      <c r="L139" s="1"/>
      <c r="M139" s="1"/>
      <c r="N139" s="1"/>
      <c r="O139" s="19"/>
    </row>
    <row r="140" ht="15.75" customHeight="1">
      <c r="A140" s="17"/>
      <c r="B140" s="12" t="s">
        <v>53</v>
      </c>
      <c r="C140" s="13" t="s">
        <v>38</v>
      </c>
      <c r="D140" s="3">
        <v>207.56</v>
      </c>
      <c r="E140" s="1">
        <v>52.0</v>
      </c>
      <c r="F140" s="1"/>
      <c r="H140" s="1"/>
      <c r="I140" s="1">
        <v>2.0</v>
      </c>
      <c r="L140" s="1">
        <v>2.0</v>
      </c>
      <c r="M140" s="1">
        <v>2.0</v>
      </c>
      <c r="O140" s="19"/>
    </row>
    <row r="141" ht="15.75" customHeight="1">
      <c r="A141" s="20"/>
      <c r="B141" s="12" t="s">
        <v>53</v>
      </c>
      <c r="C141" s="13" t="s">
        <v>54</v>
      </c>
      <c r="D141" s="3"/>
      <c r="J141" s="1">
        <v>1.0</v>
      </c>
    </row>
    <row r="142" ht="15.75" customHeight="1">
      <c r="A142" s="26"/>
      <c r="B142" s="12" t="s">
        <v>53</v>
      </c>
      <c r="C142" s="13" t="s">
        <v>49</v>
      </c>
      <c r="D142" s="3"/>
      <c r="F142" s="1"/>
      <c r="H142" s="1"/>
      <c r="J142" s="1"/>
      <c r="K142" s="1"/>
      <c r="L142" s="1"/>
      <c r="M142" s="1"/>
      <c r="N142" s="1">
        <v>2.0</v>
      </c>
      <c r="O142" s="19"/>
    </row>
    <row r="143" ht="15.75" customHeight="1">
      <c r="A143" s="11">
        <v>45307.0</v>
      </c>
      <c r="B143" s="12" t="s">
        <v>53</v>
      </c>
      <c r="C143" s="13" t="s">
        <v>43</v>
      </c>
      <c r="D143" s="24">
        <v>507.98</v>
      </c>
      <c r="E143" s="15">
        <v>4.0</v>
      </c>
      <c r="F143" s="15">
        <v>4.0</v>
      </c>
      <c r="G143" s="15">
        <v>2.0</v>
      </c>
      <c r="H143" s="15">
        <v>3.0</v>
      </c>
      <c r="I143" s="15">
        <v>1.0</v>
      </c>
      <c r="J143" s="15">
        <v>3.0</v>
      </c>
      <c r="K143" s="15">
        <v>1.0</v>
      </c>
      <c r="L143" s="15">
        <v>2.0</v>
      </c>
      <c r="M143" s="15"/>
      <c r="N143" s="15">
        <v>2.0</v>
      </c>
      <c r="O143" s="16">
        <v>2.0</v>
      </c>
    </row>
    <row r="144" ht="15.75" customHeight="1">
      <c r="A144" s="17"/>
      <c r="B144" s="12" t="s">
        <v>53</v>
      </c>
      <c r="C144" s="13" t="s">
        <v>44</v>
      </c>
      <c r="D144" s="3"/>
      <c r="F144" s="1">
        <v>1.0</v>
      </c>
      <c r="N144" s="1">
        <v>1.0</v>
      </c>
      <c r="O144" s="19"/>
    </row>
    <row r="145" ht="15.75" customHeight="1">
      <c r="A145" s="17"/>
      <c r="B145" s="12" t="s">
        <v>53</v>
      </c>
      <c r="C145" s="13" t="s">
        <v>42</v>
      </c>
      <c r="D145" s="3"/>
      <c r="O145" s="19"/>
    </row>
    <row r="146" ht="15.75" customHeight="1">
      <c r="A146" s="17"/>
      <c r="B146" s="12" t="s">
        <v>53</v>
      </c>
      <c r="C146" s="13" t="s">
        <v>39</v>
      </c>
      <c r="D146" s="3">
        <v>85.33</v>
      </c>
      <c r="E146" s="1">
        <v>1.0</v>
      </c>
      <c r="G146" s="1">
        <v>0.0</v>
      </c>
      <c r="I146" s="1">
        <v>1.0</v>
      </c>
      <c r="L146" s="1">
        <v>1.0</v>
      </c>
      <c r="O146" s="19"/>
    </row>
    <row r="147" ht="15.75" customHeight="1">
      <c r="A147" s="17"/>
      <c r="B147" s="12" t="s">
        <v>53</v>
      </c>
      <c r="C147" s="13" t="s">
        <v>40</v>
      </c>
      <c r="D147" s="3"/>
      <c r="F147" s="1">
        <v>7.0</v>
      </c>
      <c r="H147" s="1">
        <v>1.0</v>
      </c>
      <c r="J147" s="1">
        <v>1.0</v>
      </c>
      <c r="K147" s="1"/>
      <c r="L147" s="1"/>
      <c r="M147" s="1"/>
      <c r="N147" s="1"/>
      <c r="O147" s="19"/>
    </row>
    <row r="148" ht="15.75" customHeight="1">
      <c r="A148" s="17"/>
      <c r="B148" s="12" t="s">
        <v>53</v>
      </c>
      <c r="C148" s="13" t="s">
        <v>41</v>
      </c>
      <c r="D148" s="3"/>
      <c r="F148" s="1">
        <v>18.0</v>
      </c>
      <c r="H148" s="1">
        <v>4.0</v>
      </c>
      <c r="J148" s="1">
        <v>2.0</v>
      </c>
      <c r="K148" s="1"/>
      <c r="L148" s="1">
        <v>1.0</v>
      </c>
      <c r="M148" s="1">
        <v>1.0</v>
      </c>
      <c r="N148" s="1"/>
      <c r="O148" s="19"/>
    </row>
    <row r="149" ht="15.75" customHeight="1">
      <c r="A149" s="20"/>
      <c r="B149" s="12" t="s">
        <v>53</v>
      </c>
      <c r="C149" s="13" t="s">
        <v>38</v>
      </c>
      <c r="D149" s="3">
        <v>207.36</v>
      </c>
      <c r="E149" s="1">
        <v>63.0</v>
      </c>
      <c r="F149" s="1"/>
      <c r="G149" s="1">
        <v>10.0</v>
      </c>
      <c r="H149" s="1"/>
      <c r="I149" s="1">
        <v>1.0</v>
      </c>
    </row>
    <row r="150" ht="15.75" customHeight="1">
      <c r="A150" s="26"/>
      <c r="B150" s="12" t="s">
        <v>53</v>
      </c>
      <c r="C150" s="13" t="s">
        <v>49</v>
      </c>
      <c r="D150" s="3"/>
      <c r="E150" s="1"/>
      <c r="F150" s="1"/>
      <c r="G150" s="1"/>
      <c r="H150" s="1"/>
      <c r="I150" s="1"/>
      <c r="N150" s="1">
        <v>2.0</v>
      </c>
      <c r="O150" s="19"/>
    </row>
    <row r="151" ht="15.75" customHeight="1">
      <c r="A151" s="11">
        <v>45308.0</v>
      </c>
      <c r="B151" s="12" t="s">
        <v>53</v>
      </c>
      <c r="C151" s="13" t="s">
        <v>43</v>
      </c>
      <c r="D151" s="24">
        <v>506.83</v>
      </c>
      <c r="E151" s="15">
        <v>1.0</v>
      </c>
      <c r="F151" s="15">
        <v>4.0</v>
      </c>
      <c r="G151" s="15">
        <v>1.0</v>
      </c>
      <c r="H151" s="15">
        <v>1.0</v>
      </c>
      <c r="I151" s="15"/>
      <c r="J151" s="15">
        <v>1.0</v>
      </c>
      <c r="K151" s="15"/>
      <c r="L151" s="15">
        <v>1.0</v>
      </c>
      <c r="M151" s="15"/>
      <c r="N151" s="15">
        <v>1.0</v>
      </c>
      <c r="O151" s="16"/>
    </row>
    <row r="152" ht="15.75" customHeight="1">
      <c r="A152" s="17"/>
      <c r="B152" s="12" t="s">
        <v>53</v>
      </c>
      <c r="C152" s="13" t="s">
        <v>44</v>
      </c>
      <c r="D152" s="3">
        <v>149.19</v>
      </c>
      <c r="E152" s="1">
        <v>1.0</v>
      </c>
      <c r="G152" s="1">
        <v>1.0</v>
      </c>
      <c r="N152" s="1">
        <v>2.0</v>
      </c>
      <c r="O152" s="19"/>
    </row>
    <row r="153" ht="15.75" customHeight="1">
      <c r="A153" s="17"/>
      <c r="B153" s="12" t="s">
        <v>53</v>
      </c>
      <c r="C153" s="13" t="s">
        <v>42</v>
      </c>
      <c r="D153" s="3"/>
      <c r="F153" s="1">
        <v>1.0</v>
      </c>
      <c r="H153" s="1">
        <v>1.0</v>
      </c>
      <c r="O153" s="19"/>
    </row>
    <row r="154" ht="15.75" customHeight="1">
      <c r="A154" s="17"/>
      <c r="B154" s="12" t="s">
        <v>53</v>
      </c>
      <c r="C154" s="13" t="s">
        <v>39</v>
      </c>
      <c r="D154" s="3">
        <v>215.59</v>
      </c>
      <c r="E154" s="1">
        <v>2.0</v>
      </c>
      <c r="G154" s="1">
        <v>1.0</v>
      </c>
      <c r="I154" s="1">
        <v>1.0</v>
      </c>
      <c r="J154" s="1"/>
      <c r="K154" s="1">
        <v>2.0</v>
      </c>
      <c r="L154" s="1"/>
      <c r="M154" s="1"/>
      <c r="N154" s="1"/>
      <c r="O154" s="19"/>
    </row>
    <row r="155" ht="15.75" customHeight="1">
      <c r="A155" s="17"/>
      <c r="B155" s="12" t="s">
        <v>53</v>
      </c>
      <c r="C155" s="13" t="s">
        <v>40</v>
      </c>
      <c r="D155" s="3"/>
      <c r="F155" s="1">
        <v>26.0</v>
      </c>
      <c r="H155" s="1">
        <v>5.0</v>
      </c>
      <c r="J155" s="1">
        <v>2.0</v>
      </c>
      <c r="K155" s="1">
        <v>1.0</v>
      </c>
      <c r="L155" s="1">
        <v>1.0</v>
      </c>
      <c r="M155" s="1"/>
      <c r="N155" s="1"/>
      <c r="O155" s="19"/>
    </row>
    <row r="156" ht="15.75" customHeight="1">
      <c r="A156" s="17"/>
      <c r="B156" s="12" t="s">
        <v>53</v>
      </c>
      <c r="C156" s="13" t="s">
        <v>41</v>
      </c>
      <c r="D156" s="3"/>
      <c r="F156" s="1">
        <v>11.0</v>
      </c>
      <c r="H156" s="1">
        <v>1.0</v>
      </c>
      <c r="J156" s="1">
        <v>2.0</v>
      </c>
      <c r="K156" s="1"/>
      <c r="L156" s="1">
        <v>1.0</v>
      </c>
      <c r="M156" s="1">
        <v>1.0</v>
      </c>
      <c r="N156" s="1"/>
      <c r="O156" s="19"/>
    </row>
    <row r="157" ht="15.75" customHeight="1">
      <c r="A157" s="17"/>
      <c r="B157" s="12" t="s">
        <v>53</v>
      </c>
      <c r="C157" s="13" t="s">
        <v>38</v>
      </c>
      <c r="D157" s="3">
        <v>297.98</v>
      </c>
      <c r="E157" s="1">
        <v>52.0</v>
      </c>
      <c r="F157" s="1"/>
      <c r="G157" s="1">
        <v>12.0</v>
      </c>
      <c r="H157" s="1"/>
      <c r="I157" s="1">
        <v>1.0</v>
      </c>
      <c r="L157" s="1">
        <v>1.0</v>
      </c>
      <c r="M157" s="1">
        <v>1.0</v>
      </c>
      <c r="O157" s="19"/>
    </row>
    <row r="158" ht="15.75" customHeight="1">
      <c r="A158" s="20"/>
      <c r="B158" s="12" t="s">
        <v>53</v>
      </c>
      <c r="C158" s="13" t="s">
        <v>51</v>
      </c>
      <c r="D158" s="25"/>
      <c r="E158" s="22"/>
      <c r="F158" s="22"/>
      <c r="G158" s="22"/>
      <c r="H158" s="22"/>
      <c r="I158" s="22"/>
      <c r="J158" s="22"/>
      <c r="K158" s="22"/>
      <c r="L158" s="22">
        <v>2.0</v>
      </c>
      <c r="M158" s="22"/>
      <c r="N158" s="22"/>
      <c r="O158" s="23"/>
    </row>
    <row r="159" ht="15.75" customHeight="1">
      <c r="A159" s="11">
        <v>45309.0</v>
      </c>
      <c r="B159" s="12" t="s">
        <v>53</v>
      </c>
      <c r="C159" s="13" t="s">
        <v>43</v>
      </c>
      <c r="D159" s="24">
        <v>551.99</v>
      </c>
      <c r="E159" s="15"/>
      <c r="F159" s="15">
        <v>4.0</v>
      </c>
      <c r="G159" s="15"/>
      <c r="H159" s="15">
        <v>2.0</v>
      </c>
      <c r="I159" s="15"/>
      <c r="J159" s="15">
        <v>1.0</v>
      </c>
      <c r="K159" s="15"/>
      <c r="L159" s="15">
        <v>1.0</v>
      </c>
      <c r="M159" s="15"/>
      <c r="N159" s="15"/>
      <c r="O159" s="16"/>
    </row>
    <row r="160" ht="15.75" customHeight="1">
      <c r="A160" s="17"/>
      <c r="B160" s="12" t="s">
        <v>53</v>
      </c>
      <c r="C160" s="13" t="s">
        <v>44</v>
      </c>
      <c r="D160" s="3">
        <v>713.84</v>
      </c>
      <c r="E160" s="1">
        <v>6.0</v>
      </c>
      <c r="F160" s="1">
        <v>1.0</v>
      </c>
      <c r="G160" s="1">
        <v>3.0</v>
      </c>
      <c r="I160" s="1">
        <v>1.0</v>
      </c>
      <c r="N160" s="1">
        <v>4.0</v>
      </c>
      <c r="O160" s="19"/>
    </row>
    <row r="161" ht="15.75" customHeight="1">
      <c r="A161" s="17"/>
      <c r="B161" s="12" t="s">
        <v>53</v>
      </c>
      <c r="C161" s="13" t="s">
        <v>42</v>
      </c>
      <c r="D161" s="3"/>
      <c r="F161" s="1">
        <v>1.0</v>
      </c>
      <c r="H161" s="1">
        <v>1.0</v>
      </c>
      <c r="O161" s="19"/>
    </row>
    <row r="162" ht="15.75" customHeight="1">
      <c r="A162" s="17"/>
      <c r="B162" s="12" t="s">
        <v>53</v>
      </c>
      <c r="C162" s="13" t="s">
        <v>39</v>
      </c>
      <c r="D162" s="3">
        <v>97.1</v>
      </c>
      <c r="E162" s="1">
        <v>1.0</v>
      </c>
      <c r="O162" s="19"/>
    </row>
    <row r="163" ht="15.75" customHeight="1">
      <c r="A163" s="17"/>
      <c r="B163" s="12" t="s">
        <v>53</v>
      </c>
      <c r="C163" s="13" t="s">
        <v>40</v>
      </c>
      <c r="D163" s="3"/>
      <c r="F163" s="1">
        <v>1.0</v>
      </c>
      <c r="H163" s="1">
        <v>1.0</v>
      </c>
      <c r="J163" s="1">
        <v>2.0</v>
      </c>
      <c r="K163" s="1"/>
      <c r="L163" s="1">
        <v>1.0</v>
      </c>
      <c r="M163" s="1"/>
      <c r="N163" s="1"/>
      <c r="O163" s="19"/>
    </row>
    <row r="164" ht="15.75" customHeight="1">
      <c r="A164" s="17"/>
      <c r="B164" s="12" t="s">
        <v>53</v>
      </c>
      <c r="C164" s="13" t="s">
        <v>41</v>
      </c>
      <c r="D164" s="3"/>
      <c r="F164" s="1">
        <v>2.0</v>
      </c>
      <c r="J164" s="1">
        <v>4.0</v>
      </c>
      <c r="K164" s="1"/>
      <c r="L164" s="1">
        <v>5.0</v>
      </c>
      <c r="M164" s="1">
        <v>4.0</v>
      </c>
      <c r="N164" s="1"/>
      <c r="O164" s="19"/>
    </row>
    <row r="165" ht="15.75" customHeight="1">
      <c r="A165" s="17"/>
      <c r="B165" s="12" t="s">
        <v>53</v>
      </c>
      <c r="C165" s="27" t="s">
        <v>38</v>
      </c>
      <c r="D165" s="3">
        <v>335.33</v>
      </c>
      <c r="F165" s="1"/>
      <c r="H165" s="1"/>
      <c r="O165" s="19"/>
    </row>
    <row r="166" ht="15.75" customHeight="1">
      <c r="A166" s="17"/>
      <c r="B166" s="12" t="s">
        <v>53</v>
      </c>
      <c r="C166" s="13" t="s">
        <v>56</v>
      </c>
      <c r="D166" s="3"/>
      <c r="F166" s="1">
        <v>1.0</v>
      </c>
      <c r="H166" s="1">
        <v>1.0</v>
      </c>
      <c r="J166" s="1">
        <v>1.0</v>
      </c>
      <c r="L166" s="1">
        <v>1.0</v>
      </c>
      <c r="O166" s="19"/>
    </row>
    <row r="167" ht="15.75" customHeight="1">
      <c r="A167" s="20"/>
      <c r="B167" s="12" t="s">
        <v>53</v>
      </c>
      <c r="C167" s="13" t="s">
        <v>54</v>
      </c>
      <c r="D167" s="3"/>
      <c r="F167" s="1"/>
      <c r="H167" s="1"/>
      <c r="J167" s="1">
        <v>1.0</v>
      </c>
      <c r="K167" s="1"/>
      <c r="L167" s="1"/>
      <c r="M167" s="1"/>
      <c r="N167" s="1"/>
      <c r="O167" s="1"/>
    </row>
    <row r="168" ht="15.75" customHeight="1">
      <c r="A168" s="26"/>
      <c r="B168" s="12" t="s">
        <v>53</v>
      </c>
      <c r="C168" s="13" t="s">
        <v>49</v>
      </c>
      <c r="D168" s="3"/>
      <c r="F168" s="1"/>
      <c r="H168" s="1"/>
      <c r="J168" s="1"/>
      <c r="K168" s="1"/>
      <c r="L168" s="1"/>
      <c r="M168" s="1"/>
      <c r="N168" s="1">
        <v>1.0</v>
      </c>
      <c r="O168" s="19"/>
    </row>
    <row r="169" ht="15.75" customHeight="1">
      <c r="A169" s="28">
        <v>45310.0</v>
      </c>
      <c r="B169" s="12" t="s">
        <v>57</v>
      </c>
      <c r="C169" s="13" t="s">
        <v>43</v>
      </c>
      <c r="D169" s="24">
        <v>548.89</v>
      </c>
      <c r="E169" s="15">
        <v>3.0</v>
      </c>
      <c r="F169" s="15">
        <v>1.0</v>
      </c>
      <c r="G169" s="15">
        <v>1.0</v>
      </c>
      <c r="H169" s="15">
        <v>1.0</v>
      </c>
      <c r="I169" s="15"/>
      <c r="J169" s="15">
        <v>2.0</v>
      </c>
      <c r="K169" s="15"/>
      <c r="L169" s="15">
        <v>1.0</v>
      </c>
      <c r="M169" s="15"/>
      <c r="N169" s="15"/>
      <c r="O169" s="16"/>
    </row>
    <row r="170" ht="15.75" customHeight="1">
      <c r="A170" s="29"/>
      <c r="B170" s="12" t="s">
        <v>57</v>
      </c>
      <c r="C170" s="13" t="s">
        <v>44</v>
      </c>
      <c r="D170" s="3">
        <v>381.6</v>
      </c>
      <c r="E170" s="1">
        <v>3.0</v>
      </c>
      <c r="G170" s="1">
        <v>1.0</v>
      </c>
      <c r="N170" s="1">
        <v>3.0</v>
      </c>
      <c r="O170" s="19">
        <v>1.0</v>
      </c>
    </row>
    <row r="171" ht="15.75" customHeight="1">
      <c r="A171" s="29"/>
      <c r="B171" s="12" t="s">
        <v>57</v>
      </c>
      <c r="C171" s="13" t="s">
        <v>42</v>
      </c>
      <c r="D171" s="3"/>
      <c r="O171" s="19"/>
    </row>
    <row r="172" ht="15.75" customHeight="1">
      <c r="A172" s="29"/>
      <c r="B172" s="12" t="s">
        <v>57</v>
      </c>
      <c r="C172" s="13" t="s">
        <v>39</v>
      </c>
      <c r="D172" s="3"/>
      <c r="O172" s="19"/>
    </row>
    <row r="173" ht="15.75" customHeight="1">
      <c r="A173" s="29"/>
      <c r="B173" s="12" t="s">
        <v>57</v>
      </c>
      <c r="C173" s="13" t="s">
        <v>40</v>
      </c>
      <c r="D173" s="3"/>
      <c r="F173" s="1">
        <v>31.0</v>
      </c>
      <c r="O173" s="19"/>
    </row>
    <row r="174" ht="15.75" customHeight="1">
      <c r="A174" s="29"/>
      <c r="B174" s="12" t="s">
        <v>57</v>
      </c>
      <c r="C174" s="13" t="s">
        <v>41</v>
      </c>
      <c r="D174" s="3"/>
      <c r="H174" s="1">
        <v>7.0</v>
      </c>
      <c r="J174" s="1">
        <v>1.0</v>
      </c>
      <c r="K174" s="1">
        <v>1.0</v>
      </c>
      <c r="L174" s="1"/>
      <c r="M174" s="1"/>
      <c r="N174" s="1"/>
      <c r="O174" s="19"/>
    </row>
    <row r="175" ht="15.75" customHeight="1">
      <c r="A175" s="29"/>
      <c r="B175" s="12" t="s">
        <v>57</v>
      </c>
      <c r="C175" s="13" t="s">
        <v>38</v>
      </c>
      <c r="D175" s="3">
        <v>274.56</v>
      </c>
      <c r="E175" s="1">
        <v>68.0</v>
      </c>
      <c r="F175" s="1"/>
      <c r="G175" s="1">
        <v>15.0</v>
      </c>
      <c r="H175" s="1"/>
      <c r="I175" s="1">
        <v>1.0</v>
      </c>
      <c r="K175" s="1">
        <v>1.0</v>
      </c>
      <c r="O175" s="19"/>
    </row>
    <row r="176" ht="15.75" customHeight="1">
      <c r="A176" s="29"/>
      <c r="B176" s="12" t="s">
        <v>57</v>
      </c>
      <c r="C176" s="13" t="s">
        <v>45</v>
      </c>
      <c r="D176" s="3"/>
      <c r="E176" s="1"/>
      <c r="F176" s="1"/>
      <c r="G176" s="1"/>
      <c r="H176" s="1"/>
      <c r="I176" s="1">
        <v>1.0</v>
      </c>
      <c r="J176" s="1"/>
      <c r="K176" s="1"/>
      <c r="L176" s="1"/>
      <c r="M176" s="1"/>
      <c r="N176" s="1"/>
      <c r="O176" s="19"/>
    </row>
    <row r="177" ht="15.75" customHeight="1">
      <c r="A177" s="29"/>
      <c r="B177" s="12" t="s">
        <v>57</v>
      </c>
      <c r="C177" s="13" t="s">
        <v>54</v>
      </c>
      <c r="D177" s="3"/>
      <c r="E177" s="1"/>
      <c r="F177" s="1"/>
      <c r="G177" s="1"/>
      <c r="H177" s="1"/>
      <c r="J177" s="1">
        <v>1.0</v>
      </c>
      <c r="K177" s="1">
        <v>1.0</v>
      </c>
      <c r="L177" s="1"/>
      <c r="M177" s="1"/>
      <c r="N177" s="1"/>
      <c r="O177" s="19"/>
    </row>
    <row r="178" ht="15.75" customHeight="1">
      <c r="A178" s="30"/>
      <c r="B178" s="31" t="s">
        <v>57</v>
      </c>
      <c r="C178" s="13" t="s">
        <v>58</v>
      </c>
      <c r="D178" s="25"/>
      <c r="E178" s="22"/>
      <c r="F178" s="22"/>
      <c r="G178" s="22"/>
      <c r="H178" s="22"/>
      <c r="I178" s="22"/>
      <c r="J178" s="22">
        <v>1.0</v>
      </c>
      <c r="K178" s="22"/>
      <c r="L178" s="22"/>
      <c r="M178" s="22"/>
      <c r="N178" s="22"/>
      <c r="O178" s="23"/>
    </row>
    <row r="179" ht="15.75" customHeight="1">
      <c r="A179" s="28">
        <v>45311.0</v>
      </c>
      <c r="B179" s="12" t="s">
        <v>57</v>
      </c>
      <c r="C179" s="13" t="s">
        <v>43</v>
      </c>
      <c r="D179" s="24">
        <v>514.71</v>
      </c>
      <c r="E179" s="15">
        <v>3.0</v>
      </c>
      <c r="F179" s="15"/>
      <c r="G179" s="15">
        <v>2.0</v>
      </c>
      <c r="H179" s="15"/>
      <c r="I179" s="15"/>
      <c r="J179" s="15"/>
      <c r="K179" s="15"/>
      <c r="L179" s="15"/>
      <c r="M179" s="15"/>
      <c r="N179" s="15"/>
      <c r="O179" s="16"/>
    </row>
    <row r="180" ht="15.75" customHeight="1">
      <c r="A180" s="29"/>
      <c r="B180" s="12" t="s">
        <v>57</v>
      </c>
      <c r="C180" s="13" t="s">
        <v>44</v>
      </c>
      <c r="D180" s="3">
        <v>496.6</v>
      </c>
      <c r="E180" s="1">
        <v>6.0</v>
      </c>
      <c r="F180" s="1">
        <v>2.0</v>
      </c>
      <c r="G180" s="1">
        <v>3.0</v>
      </c>
      <c r="H180" s="1">
        <v>1.0</v>
      </c>
      <c r="O180" s="19"/>
    </row>
    <row r="181" ht="15.75" customHeight="1">
      <c r="A181" s="29"/>
      <c r="B181" s="12" t="s">
        <v>57</v>
      </c>
      <c r="C181" s="13" t="s">
        <v>42</v>
      </c>
      <c r="D181" s="3"/>
      <c r="O181" s="19"/>
    </row>
    <row r="182" ht="15.75" customHeight="1">
      <c r="A182" s="29"/>
      <c r="B182" s="12" t="s">
        <v>57</v>
      </c>
      <c r="C182" s="13" t="s">
        <v>39</v>
      </c>
      <c r="D182" s="3"/>
      <c r="O182" s="19"/>
    </row>
    <row r="183" ht="15.75" customHeight="1">
      <c r="A183" s="29"/>
      <c r="B183" s="12" t="s">
        <v>57</v>
      </c>
      <c r="C183" s="13" t="s">
        <v>40</v>
      </c>
      <c r="D183" s="3"/>
      <c r="O183" s="19"/>
    </row>
    <row r="184" ht="15.75" customHeight="1">
      <c r="A184" s="29"/>
      <c r="B184" s="12" t="s">
        <v>57</v>
      </c>
      <c r="C184" s="13" t="s">
        <v>41</v>
      </c>
      <c r="D184" s="3"/>
      <c r="F184" s="1">
        <v>13.0</v>
      </c>
      <c r="H184" s="1">
        <v>7.0</v>
      </c>
      <c r="O184" s="19"/>
    </row>
    <row r="185" ht="15.75" customHeight="1">
      <c r="A185" s="29"/>
      <c r="B185" s="12" t="s">
        <v>57</v>
      </c>
      <c r="C185" s="27" t="s">
        <v>38</v>
      </c>
      <c r="D185" s="3">
        <v>282.07</v>
      </c>
      <c r="E185" s="1">
        <v>61.0</v>
      </c>
      <c r="F185" s="1"/>
      <c r="G185" s="1"/>
      <c r="H185" s="1"/>
      <c r="O185" s="19"/>
    </row>
    <row r="186" ht="15.75" customHeight="1">
      <c r="A186" s="30"/>
      <c r="B186" s="12" t="s">
        <v>57</v>
      </c>
      <c r="C186" s="13" t="s">
        <v>58</v>
      </c>
      <c r="D186" s="25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3"/>
    </row>
    <row r="187" ht="15.75" customHeight="1">
      <c r="A187" s="11">
        <v>45312.0</v>
      </c>
      <c r="B187" s="12" t="s">
        <v>57</v>
      </c>
      <c r="C187" s="13" t="s">
        <v>43</v>
      </c>
      <c r="D187" s="24">
        <v>610.07</v>
      </c>
      <c r="E187" s="15">
        <v>1.0</v>
      </c>
      <c r="F187" s="15">
        <v>4.0</v>
      </c>
      <c r="G187" s="15"/>
      <c r="H187" s="15">
        <v>4.0</v>
      </c>
      <c r="I187" s="15"/>
      <c r="J187" s="15"/>
      <c r="K187" s="15"/>
      <c r="L187" s="15"/>
      <c r="M187" s="15"/>
      <c r="N187" s="15"/>
      <c r="O187" s="16"/>
    </row>
    <row r="188" ht="15.75" customHeight="1">
      <c r="A188" s="17"/>
      <c r="B188" s="12" t="s">
        <v>57</v>
      </c>
      <c r="C188" s="13" t="s">
        <v>44</v>
      </c>
      <c r="D188" s="3">
        <v>693.0</v>
      </c>
      <c r="E188" s="1">
        <v>3.0</v>
      </c>
      <c r="F188" s="1">
        <v>1.0</v>
      </c>
      <c r="G188" s="1">
        <v>2.0</v>
      </c>
      <c r="H188" s="1">
        <v>1.0</v>
      </c>
      <c r="O188" s="19"/>
    </row>
    <row r="189" ht="15.75" customHeight="1">
      <c r="A189" s="17"/>
      <c r="B189" s="12" t="s">
        <v>57</v>
      </c>
      <c r="C189" s="13" t="s">
        <v>42</v>
      </c>
      <c r="D189" s="3"/>
      <c r="O189" s="19"/>
    </row>
    <row r="190" ht="15.75" customHeight="1">
      <c r="A190" s="17"/>
      <c r="B190" s="12" t="s">
        <v>57</v>
      </c>
      <c r="C190" s="13" t="s">
        <v>39</v>
      </c>
      <c r="D190" s="3"/>
      <c r="O190" s="19"/>
    </row>
    <row r="191" ht="15.75" customHeight="1">
      <c r="A191" s="17"/>
      <c r="B191" s="12" t="s">
        <v>57</v>
      </c>
      <c r="C191" s="13" t="s">
        <v>40</v>
      </c>
      <c r="D191" s="3"/>
      <c r="O191" s="19"/>
    </row>
    <row r="192" ht="15.75" customHeight="1">
      <c r="A192" s="17"/>
      <c r="B192" s="12" t="s">
        <v>57</v>
      </c>
      <c r="C192" s="13" t="s">
        <v>41</v>
      </c>
      <c r="D192" s="3"/>
      <c r="F192" s="1">
        <v>10.0</v>
      </c>
      <c r="H192" s="1">
        <v>4.0</v>
      </c>
      <c r="O192" s="19"/>
    </row>
    <row r="193" ht="15.75" customHeight="1">
      <c r="A193" s="20"/>
      <c r="B193" s="12" t="s">
        <v>57</v>
      </c>
      <c r="C193" s="13" t="s">
        <v>38</v>
      </c>
      <c r="D193" s="25">
        <v>250.88</v>
      </c>
      <c r="E193" s="22">
        <v>63.0</v>
      </c>
      <c r="F193" s="22"/>
      <c r="G193" s="22"/>
      <c r="H193" s="22"/>
      <c r="I193" s="22"/>
      <c r="J193" s="22"/>
      <c r="K193" s="22"/>
      <c r="L193" s="22"/>
      <c r="M193" s="22"/>
      <c r="N193" s="22"/>
      <c r="O193" s="23"/>
    </row>
    <row r="194" ht="15.75" customHeight="1">
      <c r="A194" s="11">
        <v>45313.0</v>
      </c>
      <c r="B194" s="12" t="s">
        <v>57</v>
      </c>
      <c r="C194" s="13" t="s">
        <v>43</v>
      </c>
      <c r="D194" s="24">
        <v>867.29</v>
      </c>
      <c r="E194" s="15">
        <v>3.0</v>
      </c>
      <c r="F194" s="15">
        <v>5.0</v>
      </c>
      <c r="G194" s="15">
        <v>2.0</v>
      </c>
      <c r="H194" s="15">
        <v>1.0</v>
      </c>
      <c r="I194" s="15">
        <v>2.0</v>
      </c>
      <c r="J194" s="15">
        <v>2.0</v>
      </c>
      <c r="K194" s="15">
        <v>3.0</v>
      </c>
      <c r="L194" s="15"/>
      <c r="M194" s="15"/>
      <c r="N194" s="15"/>
      <c r="O194" s="16"/>
    </row>
    <row r="195" ht="15.75" customHeight="1">
      <c r="A195" s="17"/>
      <c r="B195" s="12" t="s">
        <v>57</v>
      </c>
      <c r="C195" s="13" t="s">
        <v>44</v>
      </c>
      <c r="D195" s="3">
        <v>601.75</v>
      </c>
      <c r="E195" s="1">
        <v>4.0</v>
      </c>
      <c r="F195" s="1">
        <v>1.0</v>
      </c>
      <c r="I195" s="1">
        <v>4.0</v>
      </c>
      <c r="J195" s="1">
        <v>3.0</v>
      </c>
      <c r="K195" s="1">
        <v>1.0</v>
      </c>
      <c r="L195" s="1">
        <v>4.0</v>
      </c>
      <c r="M195" s="1"/>
      <c r="N195" s="1">
        <v>5.0</v>
      </c>
      <c r="O195" s="19"/>
    </row>
    <row r="196" ht="15.75" customHeight="1">
      <c r="A196" s="17"/>
      <c r="B196" s="12" t="s">
        <v>57</v>
      </c>
      <c r="C196" s="13" t="s">
        <v>42</v>
      </c>
      <c r="D196" s="3"/>
      <c r="F196" s="1">
        <v>1.0</v>
      </c>
      <c r="O196" s="19"/>
    </row>
    <row r="197" ht="15.75" customHeight="1">
      <c r="A197" s="17"/>
      <c r="B197" s="12" t="s">
        <v>57</v>
      </c>
      <c r="C197" s="13" t="s">
        <v>39</v>
      </c>
      <c r="D197" s="3"/>
      <c r="O197" s="19"/>
    </row>
    <row r="198" ht="15.75" customHeight="1">
      <c r="A198" s="17"/>
      <c r="B198" s="12" t="s">
        <v>57</v>
      </c>
      <c r="C198" s="13" t="s">
        <v>40</v>
      </c>
      <c r="D198" s="3"/>
      <c r="F198" s="1">
        <v>1.0</v>
      </c>
      <c r="H198" s="1">
        <v>1.0</v>
      </c>
      <c r="L198" s="1">
        <v>1.0</v>
      </c>
      <c r="O198" s="19"/>
    </row>
    <row r="199" ht="15.75" customHeight="1">
      <c r="A199" s="17"/>
      <c r="B199" s="12" t="s">
        <v>57</v>
      </c>
      <c r="C199" s="13" t="s">
        <v>41</v>
      </c>
      <c r="D199" s="3"/>
      <c r="F199" s="1">
        <v>9.0</v>
      </c>
      <c r="H199" s="1">
        <v>3.0</v>
      </c>
      <c r="I199" s="1">
        <v>5.0</v>
      </c>
      <c r="J199" s="1"/>
      <c r="K199" s="1">
        <v>2.0</v>
      </c>
      <c r="L199" s="1">
        <v>4.0</v>
      </c>
      <c r="M199" s="1">
        <v>2.0</v>
      </c>
      <c r="O199" s="19"/>
    </row>
    <row r="200" ht="15.75" customHeight="1">
      <c r="A200" s="17"/>
      <c r="B200" s="12" t="s">
        <v>57</v>
      </c>
      <c r="C200" s="13" t="s">
        <v>45</v>
      </c>
      <c r="D200" s="3"/>
      <c r="E200" s="1"/>
      <c r="F200" s="1"/>
      <c r="G200" s="1"/>
      <c r="H200" s="1"/>
      <c r="J200" s="1">
        <v>2.0</v>
      </c>
      <c r="K200" s="1">
        <v>1.0</v>
      </c>
      <c r="L200" s="1">
        <v>1.0</v>
      </c>
      <c r="O200" s="19"/>
    </row>
    <row r="201" ht="15.75" customHeight="1">
      <c r="A201" s="17"/>
      <c r="B201" s="12" t="s">
        <v>57</v>
      </c>
      <c r="C201" s="13" t="s">
        <v>38</v>
      </c>
      <c r="D201" s="3">
        <v>152.83</v>
      </c>
      <c r="E201" s="1">
        <v>92.0</v>
      </c>
      <c r="F201" s="1"/>
      <c r="G201" s="1">
        <v>23.0</v>
      </c>
      <c r="H201" s="1"/>
      <c r="O201" s="19"/>
    </row>
    <row r="202" ht="15.75" customHeight="1">
      <c r="A202" s="20"/>
      <c r="B202" s="12" t="s">
        <v>57</v>
      </c>
      <c r="C202" s="13" t="s">
        <v>54</v>
      </c>
      <c r="D202" s="3"/>
      <c r="E202" s="1"/>
      <c r="F202" s="1"/>
      <c r="G202" s="1"/>
      <c r="H202" s="1"/>
      <c r="J202" s="1">
        <v>1.0</v>
      </c>
      <c r="K202" s="1">
        <v>1.0</v>
      </c>
      <c r="L202" s="1"/>
      <c r="M202" s="1"/>
      <c r="N202" s="1"/>
      <c r="O202" s="1"/>
    </row>
    <row r="203" ht="15.75" customHeight="1">
      <c r="A203" s="32"/>
      <c r="B203" s="33" t="s">
        <v>57</v>
      </c>
      <c r="C203" s="34" t="s">
        <v>49</v>
      </c>
      <c r="D203" s="35"/>
      <c r="E203" s="36"/>
      <c r="F203" s="36"/>
      <c r="G203" s="36"/>
      <c r="H203" s="36"/>
      <c r="I203" s="36"/>
      <c r="J203" s="36"/>
      <c r="K203" s="36"/>
      <c r="L203" s="36"/>
      <c r="M203" s="36"/>
      <c r="N203" s="36">
        <v>2.0</v>
      </c>
      <c r="O203" s="37"/>
    </row>
    <row r="204" ht="15.75" customHeight="1">
      <c r="A204" s="11">
        <v>45314.0</v>
      </c>
      <c r="B204" s="12" t="s">
        <v>57</v>
      </c>
      <c r="C204" s="13" t="s">
        <v>43</v>
      </c>
      <c r="D204" s="24">
        <v>1024.54</v>
      </c>
      <c r="E204" s="15">
        <v>6.0</v>
      </c>
      <c r="F204" s="15">
        <v>4.0</v>
      </c>
      <c r="G204" s="15"/>
      <c r="H204" s="15">
        <v>2.0</v>
      </c>
      <c r="I204" s="15"/>
      <c r="J204" s="15">
        <v>1.0</v>
      </c>
      <c r="K204" s="15">
        <v>1.0</v>
      </c>
      <c r="L204" s="15"/>
      <c r="M204" s="15"/>
      <c r="N204" s="15"/>
      <c r="O204" s="16"/>
    </row>
    <row r="205" ht="15.75" customHeight="1">
      <c r="A205" s="17"/>
      <c r="B205" s="12" t="s">
        <v>57</v>
      </c>
      <c r="C205" s="13" t="s">
        <v>44</v>
      </c>
      <c r="D205" s="3">
        <v>748.77</v>
      </c>
      <c r="E205" s="1">
        <v>3.0</v>
      </c>
      <c r="F205" s="1">
        <v>2.0</v>
      </c>
      <c r="H205" s="1">
        <v>1.0</v>
      </c>
      <c r="I205" s="1">
        <v>1.0</v>
      </c>
      <c r="J205" s="1">
        <v>1.0</v>
      </c>
      <c r="K205" s="1"/>
      <c r="L205" s="1">
        <v>3.0</v>
      </c>
      <c r="M205" s="1"/>
      <c r="N205" s="1">
        <v>3.0</v>
      </c>
      <c r="O205" s="19"/>
    </row>
    <row r="206" ht="15.75" customHeight="1">
      <c r="A206" s="17"/>
      <c r="B206" s="12" t="s">
        <v>57</v>
      </c>
      <c r="C206" s="13" t="s">
        <v>42</v>
      </c>
      <c r="D206" s="3"/>
      <c r="F206" s="1">
        <v>1.0</v>
      </c>
      <c r="O206" s="19"/>
    </row>
    <row r="207" ht="15.75" customHeight="1">
      <c r="A207" s="17"/>
      <c r="B207" s="12" t="s">
        <v>57</v>
      </c>
      <c r="C207" s="13" t="s">
        <v>39</v>
      </c>
      <c r="D207" s="3"/>
      <c r="O207" s="19"/>
    </row>
    <row r="208" ht="15.75" customHeight="1">
      <c r="A208" s="17"/>
      <c r="B208" s="12" t="s">
        <v>57</v>
      </c>
      <c r="C208" s="13" t="s">
        <v>40</v>
      </c>
      <c r="D208" s="3"/>
      <c r="O208" s="19"/>
    </row>
    <row r="209" ht="15.75" customHeight="1">
      <c r="A209" s="17"/>
      <c r="B209" s="12" t="s">
        <v>57</v>
      </c>
      <c r="C209" s="13" t="s">
        <v>41</v>
      </c>
      <c r="D209" s="3"/>
      <c r="F209" s="1">
        <v>16.0</v>
      </c>
      <c r="H209" s="1">
        <v>4.0</v>
      </c>
      <c r="J209" s="1">
        <v>1.0</v>
      </c>
      <c r="K209" s="1"/>
      <c r="L209" s="1"/>
      <c r="M209" s="1"/>
      <c r="N209" s="1"/>
      <c r="O209" s="19"/>
    </row>
    <row r="210" ht="15.75" customHeight="1">
      <c r="A210" s="17"/>
      <c r="B210" s="12" t="s">
        <v>57</v>
      </c>
      <c r="C210" s="13" t="s">
        <v>38</v>
      </c>
      <c r="D210" s="3">
        <v>208.5</v>
      </c>
      <c r="E210" s="1">
        <v>99.0</v>
      </c>
      <c r="F210" s="1"/>
      <c r="G210" s="1">
        <v>22.0</v>
      </c>
      <c r="H210" s="1"/>
      <c r="I210" s="1">
        <v>3.0</v>
      </c>
      <c r="K210" s="1">
        <v>2.0</v>
      </c>
      <c r="L210" s="1">
        <v>2.0</v>
      </c>
      <c r="O210" s="19"/>
    </row>
    <row r="211" ht="15.75" customHeight="1">
      <c r="A211" s="20"/>
      <c r="B211" s="12" t="s">
        <v>57</v>
      </c>
      <c r="C211" s="13" t="s">
        <v>59</v>
      </c>
      <c r="D211" s="25"/>
      <c r="E211" s="22"/>
      <c r="F211" s="22">
        <v>1.0</v>
      </c>
      <c r="G211" s="22"/>
      <c r="H211" s="22"/>
      <c r="I211" s="22"/>
      <c r="J211" s="22"/>
      <c r="K211" s="22"/>
      <c r="L211" s="22"/>
      <c r="M211" s="22"/>
      <c r="N211" s="22"/>
      <c r="O211" s="23"/>
    </row>
    <row r="212" ht="15.75" customHeight="1">
      <c r="A212" s="28">
        <v>45315.0</v>
      </c>
      <c r="B212" s="12" t="s">
        <v>57</v>
      </c>
      <c r="C212" s="13" t="s">
        <v>43</v>
      </c>
      <c r="D212" s="24">
        <v>1037.0</v>
      </c>
      <c r="E212" s="15">
        <v>10.0</v>
      </c>
      <c r="F212" s="15">
        <v>5.0</v>
      </c>
      <c r="G212" s="15">
        <v>2.0</v>
      </c>
      <c r="H212" s="15">
        <v>3.0</v>
      </c>
      <c r="I212" s="15">
        <v>3.0</v>
      </c>
      <c r="J212" s="15">
        <v>2.0</v>
      </c>
      <c r="K212" s="15">
        <v>2.0</v>
      </c>
      <c r="L212" s="15">
        <v>3.0</v>
      </c>
      <c r="M212" s="15"/>
      <c r="N212" s="15"/>
      <c r="O212" s="16"/>
    </row>
    <row r="213" ht="15.75" customHeight="1">
      <c r="A213" s="29"/>
      <c r="B213" s="12" t="s">
        <v>57</v>
      </c>
      <c r="C213" s="13" t="s">
        <v>44</v>
      </c>
      <c r="D213" s="3">
        <v>442.53</v>
      </c>
      <c r="E213" s="1">
        <v>6.0</v>
      </c>
      <c r="F213" s="1">
        <v>1.0</v>
      </c>
      <c r="G213" s="1">
        <v>4.0</v>
      </c>
      <c r="N213" s="1">
        <v>2.0</v>
      </c>
      <c r="O213" s="19"/>
    </row>
    <row r="214" ht="15.75" customHeight="1">
      <c r="A214" s="29"/>
      <c r="B214" s="12" t="s">
        <v>57</v>
      </c>
      <c r="C214" s="13" t="s">
        <v>42</v>
      </c>
      <c r="D214" s="3"/>
      <c r="O214" s="19"/>
    </row>
    <row r="215" ht="15.75" customHeight="1">
      <c r="A215" s="29"/>
      <c r="B215" s="12" t="s">
        <v>57</v>
      </c>
      <c r="C215" s="13" t="s">
        <v>39</v>
      </c>
      <c r="D215" s="3"/>
      <c r="I215" s="1">
        <v>1.0</v>
      </c>
      <c r="K215" s="1">
        <v>1.0</v>
      </c>
      <c r="O215" s="19"/>
    </row>
    <row r="216" ht="15.75" customHeight="1">
      <c r="A216" s="29"/>
      <c r="B216" s="12" t="s">
        <v>57</v>
      </c>
      <c r="C216" s="13" t="s">
        <v>40</v>
      </c>
      <c r="D216" s="3"/>
      <c r="O216" s="19"/>
    </row>
    <row r="217" ht="15.75" customHeight="1">
      <c r="A217" s="29"/>
      <c r="B217" s="12" t="s">
        <v>57</v>
      </c>
      <c r="C217" s="13" t="s">
        <v>41</v>
      </c>
      <c r="D217" s="3"/>
      <c r="F217" s="1">
        <v>5.0</v>
      </c>
      <c r="J217" s="1">
        <v>2.0</v>
      </c>
      <c r="K217" s="1"/>
      <c r="L217" s="1">
        <v>2.0</v>
      </c>
      <c r="M217" s="1"/>
      <c r="N217" s="1"/>
      <c r="O217" s="19"/>
    </row>
    <row r="218" ht="15.75" customHeight="1">
      <c r="A218" s="29"/>
      <c r="B218" s="12" t="s">
        <v>57</v>
      </c>
      <c r="C218" s="13" t="s">
        <v>45</v>
      </c>
      <c r="D218" s="3"/>
      <c r="E218" s="1"/>
      <c r="F218" s="1"/>
      <c r="G218" s="1"/>
      <c r="H218" s="1"/>
      <c r="J218" s="1">
        <v>3.0</v>
      </c>
      <c r="K218" s="1">
        <v>2.0</v>
      </c>
      <c r="L218" s="1">
        <v>1.0</v>
      </c>
      <c r="O218" s="19"/>
    </row>
    <row r="219" ht="15.75" customHeight="1">
      <c r="A219" s="29"/>
      <c r="B219" s="12" t="s">
        <v>57</v>
      </c>
      <c r="C219" s="13" t="s">
        <v>38</v>
      </c>
      <c r="D219" s="3">
        <v>258.53</v>
      </c>
      <c r="E219" s="1">
        <v>90.0</v>
      </c>
      <c r="F219" s="1"/>
      <c r="G219" s="1">
        <v>25.0</v>
      </c>
      <c r="H219" s="1"/>
      <c r="I219" s="1">
        <v>2.0</v>
      </c>
      <c r="L219" s="1">
        <v>1.0</v>
      </c>
      <c r="O219" s="19"/>
    </row>
    <row r="220" ht="15.75" customHeight="1">
      <c r="A220" s="29"/>
      <c r="B220" s="31" t="s">
        <v>57</v>
      </c>
      <c r="C220" s="13" t="s">
        <v>59</v>
      </c>
      <c r="D220" s="3"/>
      <c r="E220" s="1"/>
      <c r="F220" s="1">
        <v>2.0</v>
      </c>
      <c r="G220" s="1"/>
      <c r="H220" s="1"/>
      <c r="O220" s="19"/>
    </row>
    <row r="221" ht="15.75" customHeight="1">
      <c r="A221" s="30"/>
      <c r="B221" s="12" t="s">
        <v>57</v>
      </c>
      <c r="C221" s="13" t="s">
        <v>54</v>
      </c>
      <c r="D221" s="3"/>
      <c r="E221" s="1"/>
      <c r="F221" s="1"/>
      <c r="G221" s="1"/>
      <c r="H221" s="1"/>
      <c r="J221" s="1">
        <v>1.0</v>
      </c>
      <c r="K221" s="1"/>
      <c r="L221" s="1"/>
      <c r="M221" s="1"/>
      <c r="N221" s="1"/>
      <c r="O221" s="1"/>
    </row>
    <row r="222" ht="15.75" customHeight="1">
      <c r="A222" s="38"/>
      <c r="B222" s="31" t="s">
        <v>57</v>
      </c>
      <c r="C222" s="13" t="s">
        <v>49</v>
      </c>
      <c r="D222" s="3"/>
      <c r="E222" s="1"/>
      <c r="F222" s="1"/>
      <c r="G222" s="1"/>
      <c r="H222" s="1"/>
      <c r="J222" s="1"/>
      <c r="K222" s="1"/>
      <c r="L222" s="1"/>
      <c r="M222" s="1"/>
      <c r="N222" s="1">
        <v>1.0</v>
      </c>
      <c r="O222" s="19"/>
    </row>
    <row r="223" ht="15.75" customHeight="1">
      <c r="A223" s="28">
        <v>45316.0</v>
      </c>
      <c r="B223" s="31" t="s">
        <v>57</v>
      </c>
      <c r="C223" s="13" t="s">
        <v>43</v>
      </c>
      <c r="D223" s="24">
        <v>2128.75</v>
      </c>
      <c r="E223" s="15">
        <v>17.0</v>
      </c>
      <c r="F223" s="15">
        <v>1.0</v>
      </c>
      <c r="G223" s="15">
        <v>10.0</v>
      </c>
      <c r="H223" s="15">
        <v>1.0</v>
      </c>
      <c r="I223" s="15">
        <v>3.0</v>
      </c>
      <c r="J223" s="15">
        <v>1.0</v>
      </c>
      <c r="K223" s="15">
        <v>1.0</v>
      </c>
      <c r="L223" s="15">
        <v>1.0</v>
      </c>
      <c r="M223" s="15"/>
      <c r="N223" s="15">
        <v>2.0</v>
      </c>
      <c r="O223" s="16"/>
    </row>
    <row r="224" ht="15.75" customHeight="1">
      <c r="A224" s="29"/>
      <c r="B224" s="31" t="s">
        <v>57</v>
      </c>
      <c r="C224" s="13" t="s">
        <v>44</v>
      </c>
      <c r="D224" s="3">
        <v>1819.94</v>
      </c>
      <c r="E224" s="1">
        <v>30.0</v>
      </c>
      <c r="G224" s="1">
        <v>15.0</v>
      </c>
      <c r="I224" s="1">
        <v>10.0</v>
      </c>
      <c r="K224" s="1">
        <v>3.0</v>
      </c>
      <c r="L224" s="1">
        <v>2.0</v>
      </c>
      <c r="N224" s="1">
        <v>3.0</v>
      </c>
      <c r="O224" s="19"/>
    </row>
    <row r="225" ht="15.75" customHeight="1">
      <c r="A225" s="29"/>
      <c r="B225" s="31" t="s">
        <v>57</v>
      </c>
      <c r="C225" s="13" t="s">
        <v>42</v>
      </c>
      <c r="D225" s="3"/>
      <c r="O225" s="19"/>
    </row>
    <row r="226" ht="15.75" customHeight="1">
      <c r="A226" s="29"/>
      <c r="B226" s="31" t="s">
        <v>57</v>
      </c>
      <c r="C226" s="13" t="s">
        <v>39</v>
      </c>
      <c r="D226" s="3"/>
      <c r="O226" s="19"/>
    </row>
    <row r="227" ht="15.75" customHeight="1">
      <c r="A227" s="29"/>
      <c r="B227" s="31" t="s">
        <v>57</v>
      </c>
      <c r="C227" s="13" t="s">
        <v>40</v>
      </c>
      <c r="D227" s="3"/>
      <c r="J227" s="1">
        <v>1.0</v>
      </c>
      <c r="K227" s="1"/>
      <c r="L227" s="1"/>
      <c r="M227" s="1"/>
      <c r="N227" s="1"/>
      <c r="O227" s="19"/>
    </row>
    <row r="228" ht="15.75" customHeight="1">
      <c r="A228" s="29"/>
      <c r="B228" s="31" t="s">
        <v>57</v>
      </c>
      <c r="C228" s="13" t="s">
        <v>41</v>
      </c>
      <c r="D228" s="3"/>
      <c r="J228" s="1">
        <v>1.0</v>
      </c>
      <c r="K228" s="1">
        <v>1.0</v>
      </c>
      <c r="O228" s="19"/>
    </row>
    <row r="229" ht="15.75" customHeight="1">
      <c r="A229" s="29"/>
      <c r="B229" s="31" t="s">
        <v>57</v>
      </c>
      <c r="C229" s="13" t="s">
        <v>38</v>
      </c>
      <c r="D229" s="3">
        <v>458.66</v>
      </c>
      <c r="E229" s="1">
        <v>91.0</v>
      </c>
      <c r="F229" s="1"/>
      <c r="G229" s="1">
        <v>28.0</v>
      </c>
      <c r="H229" s="1"/>
      <c r="I229" s="1">
        <v>3.0</v>
      </c>
      <c r="L229" s="1">
        <v>2.0</v>
      </c>
      <c r="M229" s="1">
        <v>1.0</v>
      </c>
      <c r="O229" s="19"/>
    </row>
    <row r="230" ht="15.75" customHeight="1">
      <c r="A230" s="29"/>
      <c r="B230" s="31" t="s">
        <v>57</v>
      </c>
      <c r="C230" s="13" t="s">
        <v>45</v>
      </c>
      <c r="D230" s="3"/>
      <c r="F230" s="1"/>
      <c r="G230" s="1"/>
      <c r="H230" s="1"/>
      <c r="J230" s="1">
        <v>1.0</v>
      </c>
      <c r="L230" s="1">
        <v>1.0</v>
      </c>
      <c r="O230" s="19"/>
    </row>
    <row r="231" ht="15.75" customHeight="1">
      <c r="A231" s="29"/>
      <c r="B231" s="31" t="s">
        <v>57</v>
      </c>
      <c r="C231" s="13" t="s">
        <v>59</v>
      </c>
      <c r="D231" s="3"/>
      <c r="F231" s="1">
        <v>1.0</v>
      </c>
      <c r="G231" s="1"/>
      <c r="H231" s="1"/>
      <c r="J231" s="1">
        <v>1.0</v>
      </c>
      <c r="O231" s="19"/>
    </row>
    <row r="232" ht="15.75" customHeight="1">
      <c r="A232" s="30"/>
      <c r="B232" s="12" t="s">
        <v>57</v>
      </c>
      <c r="C232" s="13" t="s">
        <v>48</v>
      </c>
      <c r="D232" s="3"/>
      <c r="F232" s="1"/>
      <c r="G232" s="1"/>
      <c r="H232" s="1"/>
      <c r="J232" s="1"/>
    </row>
    <row r="233" ht="15.75" customHeight="1">
      <c r="A233" s="26"/>
      <c r="B233" s="12" t="s">
        <v>57</v>
      </c>
      <c r="C233" s="13" t="s">
        <v>49</v>
      </c>
      <c r="D233" s="25"/>
      <c r="E233" s="22"/>
      <c r="F233" s="22"/>
      <c r="G233" s="22"/>
      <c r="H233" s="22"/>
      <c r="I233" s="22"/>
      <c r="J233" s="22"/>
      <c r="K233" s="22"/>
      <c r="L233" s="22"/>
      <c r="M233" s="22"/>
      <c r="N233" s="22">
        <v>1.0</v>
      </c>
      <c r="O233" s="23"/>
    </row>
    <row r="234" ht="15.75" customHeight="1">
      <c r="A234" s="11">
        <v>45317.0</v>
      </c>
      <c r="B234" s="12" t="s">
        <v>60</v>
      </c>
      <c r="C234" s="13" t="s">
        <v>43</v>
      </c>
      <c r="D234" s="24">
        <v>2604.76</v>
      </c>
      <c r="E234" s="15">
        <v>10.0</v>
      </c>
      <c r="F234" s="15">
        <v>7.0</v>
      </c>
      <c r="G234" s="15">
        <v>6.0</v>
      </c>
      <c r="H234" s="15">
        <v>4.0</v>
      </c>
      <c r="I234" s="15">
        <v>4.0</v>
      </c>
      <c r="J234" s="15"/>
      <c r="K234" s="15">
        <v>1.0</v>
      </c>
      <c r="L234" s="15">
        <v>1.0</v>
      </c>
      <c r="M234" s="15"/>
      <c r="N234" s="15">
        <v>2.0</v>
      </c>
      <c r="O234" s="16"/>
    </row>
    <row r="235" ht="15.75" customHeight="1">
      <c r="A235" s="17"/>
      <c r="B235" s="12" t="s">
        <v>60</v>
      </c>
      <c r="C235" s="13" t="s">
        <v>44</v>
      </c>
      <c r="D235" s="3">
        <v>2961.9</v>
      </c>
      <c r="E235" s="1">
        <v>44.0</v>
      </c>
      <c r="F235" s="1">
        <v>1.0</v>
      </c>
      <c r="G235" s="1">
        <v>20.0</v>
      </c>
      <c r="H235" s="1">
        <v>1.0</v>
      </c>
      <c r="I235" s="1">
        <v>7.0</v>
      </c>
      <c r="L235" s="1">
        <v>1.0</v>
      </c>
      <c r="N235" s="1">
        <v>2.0</v>
      </c>
      <c r="O235" s="19"/>
    </row>
    <row r="236" ht="15.75" customHeight="1">
      <c r="A236" s="17"/>
      <c r="B236" s="12" t="s">
        <v>60</v>
      </c>
      <c r="C236" s="13" t="s">
        <v>42</v>
      </c>
      <c r="D236" s="3"/>
      <c r="O236" s="19"/>
    </row>
    <row r="237" ht="15.75" customHeight="1">
      <c r="A237" s="17"/>
      <c r="B237" s="12" t="s">
        <v>60</v>
      </c>
      <c r="C237" s="13" t="s">
        <v>39</v>
      </c>
      <c r="D237" s="3"/>
      <c r="I237" s="1">
        <v>1.0</v>
      </c>
      <c r="O237" s="19"/>
    </row>
    <row r="238" ht="15.75" customHeight="1">
      <c r="A238" s="17"/>
      <c r="B238" s="12" t="s">
        <v>60</v>
      </c>
      <c r="C238" s="13" t="s">
        <v>40</v>
      </c>
      <c r="D238" s="3"/>
      <c r="F238" s="1">
        <v>2.0</v>
      </c>
      <c r="H238" s="1">
        <v>1.0</v>
      </c>
      <c r="J238" s="1">
        <v>1.0</v>
      </c>
      <c r="O238" s="19"/>
    </row>
    <row r="239" ht="15.75" customHeight="1">
      <c r="A239" s="17"/>
      <c r="B239" s="12" t="s">
        <v>60</v>
      </c>
      <c r="C239" s="13" t="s">
        <v>41</v>
      </c>
      <c r="D239" s="3"/>
      <c r="F239" s="1">
        <v>1.0</v>
      </c>
      <c r="H239" s="1">
        <v>1.0</v>
      </c>
      <c r="O239" s="19"/>
    </row>
    <row r="240" ht="15.75" customHeight="1">
      <c r="A240" s="17"/>
      <c r="B240" s="12" t="s">
        <v>60</v>
      </c>
      <c r="C240" s="13" t="s">
        <v>45</v>
      </c>
      <c r="D240" s="3"/>
      <c r="F240" s="1"/>
      <c r="H240" s="1"/>
      <c r="J240" s="1">
        <v>1.0</v>
      </c>
      <c r="O240" s="19"/>
    </row>
    <row r="241" ht="15.75" customHeight="1">
      <c r="A241" s="17"/>
      <c r="B241" s="12" t="s">
        <v>60</v>
      </c>
      <c r="C241" s="13" t="s">
        <v>59</v>
      </c>
      <c r="D241" s="3"/>
      <c r="F241" s="1">
        <v>10.0</v>
      </c>
      <c r="H241" s="1">
        <v>3.0</v>
      </c>
      <c r="O241" s="19"/>
    </row>
    <row r="242" ht="15.75" customHeight="1">
      <c r="A242" s="17"/>
      <c r="B242" s="12" t="s">
        <v>60</v>
      </c>
      <c r="C242" s="13" t="s">
        <v>38</v>
      </c>
      <c r="D242" s="3">
        <v>614.72</v>
      </c>
      <c r="F242" s="1"/>
      <c r="H242" s="1"/>
      <c r="I242" s="1">
        <v>3.0</v>
      </c>
      <c r="O242" s="19"/>
    </row>
    <row r="243" ht="15.75" customHeight="1">
      <c r="A243" s="20"/>
      <c r="B243" s="12" t="s">
        <v>60</v>
      </c>
      <c r="C243" s="13" t="s">
        <v>51</v>
      </c>
      <c r="D243" s="25"/>
      <c r="E243" s="22"/>
      <c r="F243" s="22"/>
      <c r="G243" s="22"/>
      <c r="H243" s="22"/>
      <c r="I243" s="22"/>
      <c r="J243" s="22"/>
      <c r="K243" s="22">
        <v>1.0</v>
      </c>
      <c r="L243" s="22"/>
      <c r="M243" s="22"/>
      <c r="N243" s="22"/>
      <c r="O243" s="23"/>
    </row>
    <row r="244" ht="15.75" customHeight="1">
      <c r="A244" s="11">
        <v>45318.0</v>
      </c>
      <c r="B244" s="12" t="s">
        <v>60</v>
      </c>
      <c r="C244" s="13" t="s">
        <v>43</v>
      </c>
      <c r="D244" s="24">
        <v>939.01</v>
      </c>
      <c r="E244" s="15">
        <v>1.0</v>
      </c>
      <c r="F244" s="15">
        <v>4.0</v>
      </c>
      <c r="G244" s="15"/>
      <c r="H244" s="15">
        <v>1.0</v>
      </c>
      <c r="I244" s="15"/>
      <c r="J244" s="15"/>
      <c r="K244" s="15"/>
      <c r="L244" s="15"/>
      <c r="M244" s="15"/>
      <c r="N244" s="15"/>
      <c r="O244" s="16"/>
    </row>
    <row r="245" ht="15.75" customHeight="1">
      <c r="A245" s="17"/>
      <c r="B245" s="12" t="s">
        <v>60</v>
      </c>
      <c r="C245" s="13" t="s">
        <v>44</v>
      </c>
      <c r="D245" s="3">
        <v>2465.76</v>
      </c>
      <c r="E245" s="1">
        <v>54.0</v>
      </c>
      <c r="F245" s="1">
        <v>6.0</v>
      </c>
      <c r="G245" s="1">
        <v>18.0</v>
      </c>
      <c r="H245" s="1">
        <v>5.0</v>
      </c>
      <c r="O245" s="19"/>
    </row>
    <row r="246" ht="15.75" customHeight="1">
      <c r="A246" s="17"/>
      <c r="B246" s="12" t="s">
        <v>60</v>
      </c>
      <c r="C246" s="13" t="s">
        <v>42</v>
      </c>
      <c r="D246" s="3"/>
      <c r="F246" s="1">
        <v>1.0</v>
      </c>
      <c r="H246" s="1">
        <v>1.0</v>
      </c>
      <c r="O246" s="19"/>
    </row>
    <row r="247" ht="15.75" customHeight="1">
      <c r="A247" s="17"/>
      <c r="B247" s="12" t="s">
        <v>60</v>
      </c>
      <c r="C247" s="13" t="s">
        <v>39</v>
      </c>
      <c r="D247" s="3"/>
      <c r="O247" s="19"/>
    </row>
    <row r="248" ht="15.75" customHeight="1">
      <c r="A248" s="17"/>
      <c r="B248" s="12" t="s">
        <v>60</v>
      </c>
      <c r="C248" s="13" t="s">
        <v>40</v>
      </c>
      <c r="D248" s="3"/>
      <c r="F248" s="1">
        <v>1.0</v>
      </c>
      <c r="O248" s="19"/>
    </row>
    <row r="249" ht="15.75" customHeight="1">
      <c r="A249" s="17"/>
      <c r="B249" s="12" t="s">
        <v>60</v>
      </c>
      <c r="C249" s="13" t="s">
        <v>41</v>
      </c>
      <c r="D249" s="3"/>
      <c r="F249" s="1">
        <v>2.0</v>
      </c>
      <c r="H249" s="1">
        <v>1.0</v>
      </c>
      <c r="O249" s="19"/>
    </row>
    <row r="250" ht="15.75" customHeight="1">
      <c r="A250" s="17"/>
      <c r="B250" s="12" t="s">
        <v>60</v>
      </c>
      <c r="C250" s="13" t="s">
        <v>59</v>
      </c>
      <c r="D250" s="3"/>
      <c r="F250" s="1">
        <v>7.0</v>
      </c>
      <c r="O250" s="19"/>
    </row>
    <row r="251" ht="15.75" customHeight="1">
      <c r="A251" s="20"/>
      <c r="B251" s="12" t="s">
        <v>60</v>
      </c>
      <c r="C251" s="13" t="s">
        <v>38</v>
      </c>
      <c r="D251" s="25">
        <v>673.09</v>
      </c>
      <c r="E251" s="22"/>
      <c r="F251" s="22"/>
      <c r="G251" s="22"/>
      <c r="H251" s="22"/>
      <c r="I251" s="22">
        <v>1.0</v>
      </c>
      <c r="J251" s="22"/>
      <c r="K251" s="22"/>
      <c r="L251" s="22"/>
      <c r="M251" s="22"/>
      <c r="N251" s="22"/>
      <c r="O251" s="23"/>
    </row>
    <row r="252" ht="15.75" customHeight="1">
      <c r="A252" s="11">
        <v>45319.0</v>
      </c>
      <c r="B252" s="12" t="s">
        <v>60</v>
      </c>
      <c r="C252" s="13" t="s">
        <v>43</v>
      </c>
      <c r="D252" s="24">
        <v>641.63</v>
      </c>
      <c r="E252" s="15">
        <v>4.0</v>
      </c>
      <c r="F252" s="15">
        <v>4.0</v>
      </c>
      <c r="G252" s="15">
        <v>2.0</v>
      </c>
      <c r="H252" s="15">
        <v>2.0</v>
      </c>
      <c r="I252" s="15"/>
      <c r="J252" s="15"/>
      <c r="K252" s="15"/>
      <c r="L252" s="15"/>
      <c r="M252" s="15"/>
      <c r="N252" s="15"/>
      <c r="O252" s="16"/>
    </row>
    <row r="253" ht="15.75" customHeight="1">
      <c r="A253" s="17"/>
      <c r="B253" s="12" t="s">
        <v>60</v>
      </c>
      <c r="C253" s="13" t="s">
        <v>44</v>
      </c>
      <c r="D253" s="3">
        <v>1828.65</v>
      </c>
      <c r="E253" s="1">
        <v>44.0</v>
      </c>
      <c r="F253" s="1">
        <v>1.0</v>
      </c>
      <c r="G253" s="1">
        <v>19.0</v>
      </c>
      <c r="I253" s="1">
        <v>2.0</v>
      </c>
      <c r="O253" s="19"/>
    </row>
    <row r="254" ht="15.75" customHeight="1">
      <c r="A254" s="17"/>
      <c r="B254" s="12" t="s">
        <v>60</v>
      </c>
      <c r="C254" s="13" t="s">
        <v>42</v>
      </c>
      <c r="D254" s="3"/>
      <c r="O254" s="19"/>
    </row>
    <row r="255" ht="15.75" customHeight="1">
      <c r="A255" s="17"/>
      <c r="B255" s="12" t="s">
        <v>60</v>
      </c>
      <c r="C255" s="13" t="s">
        <v>39</v>
      </c>
      <c r="D255" s="3"/>
      <c r="O255" s="19"/>
    </row>
    <row r="256" ht="15.75" customHeight="1">
      <c r="A256" s="17"/>
      <c r="B256" s="12" t="s">
        <v>60</v>
      </c>
      <c r="C256" s="13" t="s">
        <v>40</v>
      </c>
      <c r="D256" s="3"/>
      <c r="O256" s="19"/>
    </row>
    <row r="257" ht="15.75" customHeight="1">
      <c r="A257" s="17"/>
      <c r="B257" s="12" t="s">
        <v>60</v>
      </c>
      <c r="C257" s="13" t="s">
        <v>41</v>
      </c>
      <c r="D257" s="3"/>
      <c r="F257" s="1">
        <v>2.0</v>
      </c>
      <c r="H257" s="1">
        <v>1.0</v>
      </c>
      <c r="O257" s="19"/>
    </row>
    <row r="258" ht="15.75" customHeight="1">
      <c r="A258" s="17"/>
      <c r="B258" s="12" t="s">
        <v>60</v>
      </c>
      <c r="C258" s="13" t="s">
        <v>59</v>
      </c>
      <c r="D258" s="3"/>
      <c r="F258" s="1">
        <v>1.0</v>
      </c>
      <c r="H258" s="1"/>
      <c r="O258" s="19"/>
    </row>
    <row r="259" ht="15.75" customHeight="1">
      <c r="A259" s="20"/>
      <c r="B259" s="12" t="s">
        <v>60</v>
      </c>
      <c r="C259" s="13" t="s">
        <v>38</v>
      </c>
      <c r="D259" s="25">
        <v>275.81</v>
      </c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3"/>
    </row>
    <row r="260" ht="15.75" customHeight="1">
      <c r="A260" s="28">
        <v>45320.0</v>
      </c>
      <c r="B260" s="12" t="s">
        <v>60</v>
      </c>
      <c r="C260" s="13" t="s">
        <v>43</v>
      </c>
      <c r="D260" s="24">
        <v>149.39</v>
      </c>
      <c r="E260" s="15"/>
      <c r="F260" s="15">
        <v>1.0</v>
      </c>
      <c r="G260" s="15"/>
      <c r="H260" s="15">
        <v>1.0</v>
      </c>
      <c r="I260" s="15">
        <v>2.0</v>
      </c>
      <c r="J260" s="15"/>
      <c r="K260" s="15">
        <v>1.0</v>
      </c>
      <c r="L260" s="15"/>
      <c r="M260" s="15"/>
      <c r="N260" s="15"/>
      <c r="O260" s="16"/>
    </row>
    <row r="261" ht="15.75" customHeight="1">
      <c r="A261" s="29"/>
      <c r="B261" s="12" t="s">
        <v>60</v>
      </c>
      <c r="C261" s="13" t="s">
        <v>44</v>
      </c>
      <c r="D261" s="3">
        <v>241.17</v>
      </c>
      <c r="E261" s="1">
        <v>9.0</v>
      </c>
      <c r="G261" s="1">
        <v>4.0</v>
      </c>
      <c r="I261" s="1">
        <v>11.0</v>
      </c>
      <c r="J261" s="1">
        <v>1.0</v>
      </c>
      <c r="K261" s="1">
        <v>1.0</v>
      </c>
      <c r="N261" s="1">
        <v>3.0</v>
      </c>
      <c r="O261" s="19"/>
    </row>
    <row r="262" ht="15.75" customHeight="1">
      <c r="A262" s="29"/>
      <c r="B262" s="12" t="s">
        <v>60</v>
      </c>
      <c r="C262" s="13" t="s">
        <v>40</v>
      </c>
      <c r="D262" s="3"/>
      <c r="F262" s="1">
        <v>2.0</v>
      </c>
      <c r="H262" s="1">
        <v>1.0</v>
      </c>
      <c r="I262" s="1">
        <v>2.0</v>
      </c>
      <c r="K262" s="1">
        <v>1.0</v>
      </c>
      <c r="L262" s="1">
        <v>1.0</v>
      </c>
      <c r="O262" s="19"/>
    </row>
    <row r="263" ht="15.75" customHeight="1">
      <c r="A263" s="29"/>
      <c r="B263" s="12" t="s">
        <v>60</v>
      </c>
      <c r="C263" s="13" t="s">
        <v>41</v>
      </c>
      <c r="D263" s="3"/>
      <c r="F263" s="1">
        <v>1.0</v>
      </c>
      <c r="J263" s="1">
        <v>1.0</v>
      </c>
      <c r="O263" s="19"/>
    </row>
    <row r="264" ht="15.75" customHeight="1">
      <c r="A264" s="29"/>
      <c r="B264" s="12" t="s">
        <v>60</v>
      </c>
      <c r="C264" s="13" t="s">
        <v>38</v>
      </c>
      <c r="D264" s="3">
        <v>93.4</v>
      </c>
      <c r="F264" s="1"/>
      <c r="H264" s="1"/>
      <c r="I264" s="1">
        <v>3.0</v>
      </c>
      <c r="O264" s="19"/>
    </row>
    <row r="265" ht="15.75" customHeight="1">
      <c r="A265" s="30"/>
      <c r="B265" s="12" t="s">
        <v>60</v>
      </c>
      <c r="C265" s="13" t="s">
        <v>59</v>
      </c>
      <c r="D265" s="3"/>
      <c r="F265" s="1">
        <v>11.0</v>
      </c>
      <c r="H265" s="1">
        <v>4.0</v>
      </c>
      <c r="O265" s="19"/>
    </row>
    <row r="266" ht="15.75" customHeight="1">
      <c r="A266" s="38"/>
      <c r="B266" s="12" t="s">
        <v>60</v>
      </c>
      <c r="C266" s="13" t="s">
        <v>49</v>
      </c>
      <c r="D266" s="3"/>
      <c r="F266" s="1"/>
      <c r="H266" s="1"/>
      <c r="N266" s="1">
        <v>1.0</v>
      </c>
      <c r="O266" s="19"/>
    </row>
    <row r="267" ht="15.75" customHeight="1">
      <c r="A267" s="28">
        <v>45321.0</v>
      </c>
      <c r="B267" s="12" t="s">
        <v>60</v>
      </c>
      <c r="C267" s="13" t="s">
        <v>43</v>
      </c>
      <c r="D267" s="24"/>
      <c r="E267" s="15"/>
      <c r="F267" s="15"/>
      <c r="G267" s="15"/>
      <c r="H267" s="15"/>
      <c r="I267" s="15"/>
      <c r="J267" s="15">
        <v>1.0</v>
      </c>
      <c r="K267" s="15"/>
      <c r="L267" s="15"/>
      <c r="M267" s="15"/>
      <c r="N267" s="15"/>
      <c r="O267" s="16"/>
    </row>
    <row r="268" ht="15.75" customHeight="1">
      <c r="A268" s="29"/>
      <c r="B268" s="12" t="s">
        <v>60</v>
      </c>
      <c r="C268" s="13" t="s">
        <v>44</v>
      </c>
      <c r="D268" s="3"/>
      <c r="I268" s="1">
        <v>11.0</v>
      </c>
      <c r="K268" s="1">
        <v>1.0</v>
      </c>
      <c r="O268" s="19"/>
    </row>
    <row r="269" ht="15.75" customHeight="1">
      <c r="A269" s="29"/>
      <c r="B269" s="12" t="s">
        <v>60</v>
      </c>
      <c r="C269" s="13" t="s">
        <v>42</v>
      </c>
      <c r="D269" s="3"/>
      <c r="O269" s="19"/>
    </row>
    <row r="270" ht="15.75" customHeight="1">
      <c r="A270" s="29"/>
      <c r="B270" s="12" t="s">
        <v>60</v>
      </c>
      <c r="C270" s="13" t="s">
        <v>39</v>
      </c>
      <c r="D270" s="3"/>
      <c r="O270" s="19"/>
    </row>
    <row r="271" ht="15.75" customHeight="1">
      <c r="A271" s="29"/>
      <c r="B271" s="12" t="s">
        <v>60</v>
      </c>
      <c r="C271" s="13" t="s">
        <v>40</v>
      </c>
      <c r="D271" s="3"/>
      <c r="J271" s="1">
        <v>1.0</v>
      </c>
      <c r="O271" s="19"/>
    </row>
    <row r="272" ht="15.75" customHeight="1">
      <c r="A272" s="29"/>
      <c r="B272" s="12" t="s">
        <v>60</v>
      </c>
      <c r="C272" s="13" t="s">
        <v>41</v>
      </c>
      <c r="D272" s="3"/>
      <c r="O272" s="19"/>
    </row>
    <row r="273" ht="15.75" customHeight="1">
      <c r="A273" s="30"/>
      <c r="B273" s="12" t="s">
        <v>60</v>
      </c>
      <c r="C273" s="13" t="s">
        <v>38</v>
      </c>
      <c r="D273" s="25">
        <v>50.04</v>
      </c>
      <c r="E273" s="22"/>
      <c r="F273" s="22"/>
      <c r="G273" s="22"/>
      <c r="H273" s="22"/>
      <c r="I273" s="22">
        <v>1.0</v>
      </c>
      <c r="J273" s="22"/>
      <c r="K273" s="22"/>
      <c r="L273" s="22"/>
      <c r="M273" s="22"/>
      <c r="N273" s="22"/>
      <c r="O273" s="23"/>
    </row>
    <row r="274" ht="15.75" customHeight="1">
      <c r="A274" s="11">
        <v>45322.0</v>
      </c>
      <c r="B274" s="12" t="s">
        <v>60</v>
      </c>
      <c r="C274" s="13" t="s">
        <v>43</v>
      </c>
      <c r="D274" s="24"/>
      <c r="E274" s="15"/>
      <c r="F274" s="15"/>
      <c r="G274" s="15"/>
      <c r="H274" s="15"/>
      <c r="I274" s="15">
        <v>1.0</v>
      </c>
      <c r="J274" s="15">
        <v>1.0</v>
      </c>
      <c r="K274" s="15"/>
      <c r="L274" s="15"/>
      <c r="M274" s="15"/>
      <c r="N274" s="15"/>
      <c r="O274" s="16"/>
    </row>
    <row r="275" ht="15.75" customHeight="1">
      <c r="A275" s="17"/>
      <c r="B275" s="12" t="s">
        <v>60</v>
      </c>
      <c r="C275" s="13" t="s">
        <v>44</v>
      </c>
      <c r="D275" s="3"/>
      <c r="I275" s="1">
        <v>1.0</v>
      </c>
      <c r="N275" s="1">
        <v>1.0</v>
      </c>
      <c r="O275" s="19"/>
    </row>
    <row r="276" ht="15.75" customHeight="1">
      <c r="A276" s="17"/>
      <c r="B276" s="12" t="s">
        <v>60</v>
      </c>
      <c r="C276" s="13" t="s">
        <v>42</v>
      </c>
      <c r="D276" s="3"/>
      <c r="O276" s="19"/>
    </row>
    <row r="277" ht="15.75" customHeight="1">
      <c r="A277" s="17"/>
      <c r="B277" s="12" t="s">
        <v>60</v>
      </c>
      <c r="C277" s="13" t="s">
        <v>39</v>
      </c>
      <c r="D277" s="3"/>
      <c r="O277" s="19"/>
    </row>
    <row r="278" ht="15.75" customHeight="1">
      <c r="A278" s="17"/>
      <c r="B278" s="12" t="s">
        <v>60</v>
      </c>
      <c r="C278" s="13" t="s">
        <v>40</v>
      </c>
      <c r="D278" s="3"/>
      <c r="O278" s="19"/>
    </row>
    <row r="279" ht="15.75" customHeight="1">
      <c r="A279" s="17"/>
      <c r="B279" s="12" t="s">
        <v>60</v>
      </c>
      <c r="C279" s="13" t="s">
        <v>41</v>
      </c>
      <c r="D279" s="3"/>
      <c r="J279" s="1">
        <v>1.0</v>
      </c>
      <c r="O279" s="19"/>
    </row>
    <row r="280" ht="15.75" customHeight="1">
      <c r="A280" s="20"/>
      <c r="B280" s="12" t="s">
        <v>60</v>
      </c>
      <c r="C280" s="13" t="s">
        <v>38</v>
      </c>
      <c r="D280" s="25">
        <v>16.4</v>
      </c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3"/>
    </row>
    <row r="281" ht="15.75" customHeight="1">
      <c r="A281" s="11">
        <v>45323.0</v>
      </c>
      <c r="B281" s="12" t="s">
        <v>60</v>
      </c>
      <c r="C281" s="13" t="s">
        <v>43</v>
      </c>
      <c r="D281" s="24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6"/>
    </row>
    <row r="282" ht="15.75" customHeight="1">
      <c r="A282" s="17"/>
      <c r="B282" s="12" t="s">
        <v>60</v>
      </c>
      <c r="C282" s="13" t="s">
        <v>44</v>
      </c>
      <c r="D282" s="3"/>
      <c r="O282" s="19"/>
    </row>
    <row r="283" ht="15.75" customHeight="1">
      <c r="A283" s="17"/>
      <c r="B283" s="12" t="s">
        <v>60</v>
      </c>
      <c r="C283" s="13" t="s">
        <v>42</v>
      </c>
      <c r="D283" s="3"/>
      <c r="O283" s="19"/>
    </row>
    <row r="284" ht="15.75" customHeight="1">
      <c r="A284" s="17"/>
      <c r="B284" s="12" t="s">
        <v>60</v>
      </c>
      <c r="C284" s="13" t="s">
        <v>39</v>
      </c>
      <c r="D284" s="3"/>
      <c r="O284" s="19"/>
    </row>
    <row r="285" ht="15.75" customHeight="1">
      <c r="A285" s="17"/>
      <c r="B285" s="12" t="s">
        <v>57</v>
      </c>
      <c r="C285" s="13" t="s">
        <v>40</v>
      </c>
      <c r="D285" s="3"/>
      <c r="O285" s="19"/>
    </row>
    <row r="286" ht="15.75" customHeight="1">
      <c r="A286" s="17"/>
      <c r="B286" s="12" t="s">
        <v>60</v>
      </c>
      <c r="C286" s="13" t="s">
        <v>41</v>
      </c>
      <c r="D286" s="3"/>
      <c r="J286" s="1"/>
      <c r="O286" s="19"/>
    </row>
    <row r="287" ht="15.75" customHeight="1">
      <c r="A287" s="20"/>
      <c r="B287" s="12" t="s">
        <v>60</v>
      </c>
      <c r="C287" s="13" t="s">
        <v>38</v>
      </c>
      <c r="D287" s="25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3"/>
    </row>
    <row r="288" ht="15.75" customHeight="1">
      <c r="A288" s="11">
        <v>45324.0</v>
      </c>
      <c r="B288" s="12" t="s">
        <v>60</v>
      </c>
      <c r="C288" s="13" t="s">
        <v>43</v>
      </c>
      <c r="D288" s="24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6"/>
    </row>
    <row r="289" ht="15.75" customHeight="1">
      <c r="A289" s="17"/>
      <c r="B289" s="12" t="s">
        <v>60</v>
      </c>
      <c r="C289" s="13" t="s">
        <v>44</v>
      </c>
      <c r="D289" s="3"/>
      <c r="O289" s="19"/>
    </row>
    <row r="290" ht="15.75" customHeight="1">
      <c r="A290" s="17"/>
      <c r="B290" s="12" t="s">
        <v>60</v>
      </c>
      <c r="C290" s="13" t="s">
        <v>42</v>
      </c>
      <c r="D290" s="3"/>
      <c r="O290" s="19"/>
    </row>
    <row r="291" ht="15.75" customHeight="1">
      <c r="A291" s="17"/>
      <c r="B291" s="12" t="s">
        <v>60</v>
      </c>
      <c r="C291" s="13" t="s">
        <v>39</v>
      </c>
      <c r="D291" s="3"/>
      <c r="O291" s="19"/>
    </row>
    <row r="292" ht="15.75" customHeight="1">
      <c r="A292" s="17"/>
      <c r="B292" s="12" t="s">
        <v>57</v>
      </c>
      <c r="C292" s="13" t="s">
        <v>40</v>
      </c>
      <c r="D292" s="3"/>
      <c r="O292" s="19"/>
    </row>
    <row r="293" ht="15.75" customHeight="1">
      <c r="A293" s="17"/>
      <c r="B293" s="12" t="s">
        <v>60</v>
      </c>
      <c r="C293" s="13" t="s">
        <v>41</v>
      </c>
      <c r="D293" s="3"/>
      <c r="J293" s="1"/>
      <c r="O293" s="19"/>
    </row>
    <row r="294" ht="15.75" customHeight="1">
      <c r="A294" s="20"/>
      <c r="B294" s="12" t="s">
        <v>60</v>
      </c>
      <c r="C294" s="13" t="s">
        <v>38</v>
      </c>
      <c r="D294" s="25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3"/>
    </row>
    <row r="295" ht="15.75" customHeight="1">
      <c r="A295" s="11">
        <v>45325.0</v>
      </c>
      <c r="B295" s="12" t="s">
        <v>60</v>
      </c>
      <c r="C295" s="13" t="s">
        <v>43</v>
      </c>
      <c r="D295" s="24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6"/>
    </row>
    <row r="296" ht="15.75" customHeight="1">
      <c r="A296" s="17"/>
      <c r="B296" s="12" t="s">
        <v>60</v>
      </c>
      <c r="C296" s="13" t="s">
        <v>44</v>
      </c>
      <c r="D296" s="3"/>
      <c r="O296" s="19"/>
    </row>
    <row r="297" ht="15.75" customHeight="1">
      <c r="A297" s="17"/>
      <c r="B297" s="12" t="s">
        <v>60</v>
      </c>
      <c r="C297" s="13" t="s">
        <v>42</v>
      </c>
      <c r="D297" s="3"/>
      <c r="O297" s="19"/>
    </row>
    <row r="298" ht="15.75" customHeight="1">
      <c r="A298" s="17"/>
      <c r="B298" s="12" t="s">
        <v>60</v>
      </c>
      <c r="C298" s="13" t="s">
        <v>39</v>
      </c>
      <c r="D298" s="3"/>
      <c r="O298" s="19"/>
    </row>
    <row r="299" ht="15.75" customHeight="1">
      <c r="A299" s="17"/>
      <c r="B299" s="12" t="s">
        <v>57</v>
      </c>
      <c r="C299" s="13" t="s">
        <v>40</v>
      </c>
      <c r="D299" s="3"/>
      <c r="O299" s="19"/>
    </row>
    <row r="300" ht="15.75" customHeight="1">
      <c r="A300" s="17"/>
      <c r="B300" s="12" t="s">
        <v>60</v>
      </c>
      <c r="C300" s="13" t="s">
        <v>41</v>
      </c>
      <c r="D300" s="3"/>
      <c r="J300" s="1"/>
      <c r="O300" s="19"/>
    </row>
    <row r="301" ht="15.75" customHeight="1">
      <c r="A301" s="20"/>
      <c r="B301" s="12" t="s">
        <v>60</v>
      </c>
      <c r="C301" s="13" t="s">
        <v>38</v>
      </c>
      <c r="D301" s="25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3"/>
    </row>
    <row r="302" ht="15.75" customHeight="1">
      <c r="A302" s="11">
        <v>45326.0</v>
      </c>
      <c r="B302" s="12" t="s">
        <v>60</v>
      </c>
      <c r="C302" s="13" t="s">
        <v>43</v>
      </c>
      <c r="D302" s="24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6"/>
    </row>
    <row r="303" ht="15.75" customHeight="1">
      <c r="A303" s="17"/>
      <c r="B303" s="12" t="s">
        <v>60</v>
      </c>
      <c r="C303" s="13" t="s">
        <v>44</v>
      </c>
      <c r="D303" s="3"/>
      <c r="O303" s="19"/>
    </row>
    <row r="304" ht="15.75" customHeight="1">
      <c r="A304" s="17"/>
      <c r="B304" s="12" t="s">
        <v>60</v>
      </c>
      <c r="C304" s="13" t="s">
        <v>42</v>
      </c>
      <c r="D304" s="3"/>
      <c r="O304" s="19"/>
    </row>
    <row r="305" ht="15.75" customHeight="1">
      <c r="A305" s="17"/>
      <c r="B305" s="12" t="s">
        <v>60</v>
      </c>
      <c r="C305" s="13" t="s">
        <v>39</v>
      </c>
      <c r="D305" s="3"/>
      <c r="O305" s="19"/>
    </row>
    <row r="306" ht="15.75" customHeight="1">
      <c r="A306" s="17"/>
      <c r="B306" s="12" t="s">
        <v>57</v>
      </c>
      <c r="C306" s="13" t="s">
        <v>40</v>
      </c>
      <c r="D306" s="3"/>
      <c r="O306" s="19"/>
    </row>
    <row r="307" ht="15.75" customHeight="1">
      <c r="A307" s="17"/>
      <c r="B307" s="12" t="s">
        <v>60</v>
      </c>
      <c r="C307" s="13" t="s">
        <v>41</v>
      </c>
      <c r="D307" s="3"/>
      <c r="J307" s="1"/>
      <c r="O307" s="19"/>
    </row>
    <row r="308" ht="15.75" customHeight="1">
      <c r="A308" s="20"/>
      <c r="B308" s="12" t="s">
        <v>60</v>
      </c>
      <c r="C308" s="13" t="s">
        <v>38</v>
      </c>
      <c r="D308" s="25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3"/>
    </row>
    <row r="309" ht="15.75" customHeight="1">
      <c r="A309" s="11">
        <v>45327.0</v>
      </c>
      <c r="B309" s="12" t="s">
        <v>60</v>
      </c>
      <c r="C309" s="13" t="s">
        <v>43</v>
      </c>
      <c r="D309" s="24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6"/>
    </row>
    <row r="310" ht="15.75" customHeight="1">
      <c r="A310" s="17"/>
      <c r="B310" s="12" t="s">
        <v>60</v>
      </c>
      <c r="C310" s="13" t="s">
        <v>44</v>
      </c>
      <c r="D310" s="3"/>
      <c r="O310" s="19"/>
    </row>
    <row r="311" ht="15.75" customHeight="1">
      <c r="A311" s="17"/>
      <c r="B311" s="12" t="s">
        <v>60</v>
      </c>
      <c r="C311" s="13" t="s">
        <v>42</v>
      </c>
      <c r="D311" s="3"/>
      <c r="O311" s="19"/>
    </row>
    <row r="312" ht="15.75" customHeight="1">
      <c r="A312" s="17"/>
      <c r="B312" s="12" t="s">
        <v>60</v>
      </c>
      <c r="C312" s="13" t="s">
        <v>39</v>
      </c>
      <c r="D312" s="3"/>
      <c r="O312" s="19"/>
    </row>
    <row r="313" ht="15.75" customHeight="1">
      <c r="A313" s="17"/>
      <c r="B313" s="12" t="s">
        <v>57</v>
      </c>
      <c r="C313" s="13" t="s">
        <v>40</v>
      </c>
      <c r="D313" s="3"/>
      <c r="O313" s="19"/>
    </row>
    <row r="314" ht="15.75" customHeight="1">
      <c r="A314" s="17"/>
      <c r="B314" s="12" t="s">
        <v>60</v>
      </c>
      <c r="C314" s="13" t="s">
        <v>41</v>
      </c>
      <c r="D314" s="3"/>
      <c r="J314" s="1"/>
      <c r="O314" s="19"/>
    </row>
    <row r="315" ht="15.75" customHeight="1">
      <c r="A315" s="20"/>
      <c r="B315" s="12" t="s">
        <v>60</v>
      </c>
      <c r="C315" s="13" t="s">
        <v>38</v>
      </c>
      <c r="D315" s="25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3"/>
    </row>
    <row r="316" ht="15.75" customHeight="1">
      <c r="A316" s="11">
        <v>45328.0</v>
      </c>
      <c r="B316" s="12" t="s">
        <v>60</v>
      </c>
      <c r="C316" s="13" t="s">
        <v>43</v>
      </c>
      <c r="D316" s="24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6"/>
    </row>
    <row r="317" ht="15.75" customHeight="1">
      <c r="A317" s="17"/>
      <c r="B317" s="12" t="s">
        <v>60</v>
      </c>
      <c r="C317" s="13" t="s">
        <v>44</v>
      </c>
      <c r="D317" s="3"/>
      <c r="O317" s="19"/>
    </row>
    <row r="318" ht="15.75" customHeight="1">
      <c r="A318" s="17"/>
      <c r="B318" s="12" t="s">
        <v>60</v>
      </c>
      <c r="C318" s="13" t="s">
        <v>42</v>
      </c>
      <c r="D318" s="3"/>
      <c r="O318" s="19"/>
    </row>
    <row r="319" ht="15.75" customHeight="1">
      <c r="A319" s="17"/>
      <c r="B319" s="12" t="s">
        <v>60</v>
      </c>
      <c r="C319" s="13" t="s">
        <v>39</v>
      </c>
      <c r="D319" s="3"/>
      <c r="O319" s="19"/>
    </row>
    <row r="320" ht="15.75" customHeight="1">
      <c r="A320" s="17"/>
      <c r="B320" s="12" t="s">
        <v>57</v>
      </c>
      <c r="C320" s="13" t="s">
        <v>40</v>
      </c>
      <c r="D320" s="3"/>
      <c r="O320" s="19"/>
    </row>
    <row r="321" ht="15.75" customHeight="1">
      <c r="A321" s="17"/>
      <c r="B321" s="12" t="s">
        <v>60</v>
      </c>
      <c r="C321" s="13" t="s">
        <v>41</v>
      </c>
      <c r="D321" s="3"/>
      <c r="J321" s="1"/>
      <c r="O321" s="19"/>
    </row>
    <row r="322" ht="15.75" customHeight="1">
      <c r="A322" s="20"/>
      <c r="B322" s="12" t="s">
        <v>60</v>
      </c>
      <c r="C322" s="13" t="s">
        <v>38</v>
      </c>
      <c r="D322" s="25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3"/>
    </row>
    <row r="323" ht="15.75" customHeight="1">
      <c r="A323" s="11">
        <v>45329.0</v>
      </c>
      <c r="B323" s="12" t="s">
        <v>60</v>
      </c>
      <c r="C323" s="13" t="s">
        <v>43</v>
      </c>
      <c r="D323" s="24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6"/>
    </row>
    <row r="324" ht="15.75" customHeight="1">
      <c r="A324" s="17"/>
      <c r="B324" s="12" t="s">
        <v>60</v>
      </c>
      <c r="C324" s="13" t="s">
        <v>44</v>
      </c>
      <c r="D324" s="3"/>
      <c r="O324" s="19"/>
    </row>
    <row r="325" ht="15.75" customHeight="1">
      <c r="A325" s="17"/>
      <c r="B325" s="12" t="s">
        <v>60</v>
      </c>
      <c r="C325" s="13" t="s">
        <v>42</v>
      </c>
      <c r="D325" s="3"/>
      <c r="O325" s="19"/>
    </row>
    <row r="326" ht="15.75" customHeight="1">
      <c r="A326" s="17"/>
      <c r="B326" s="12" t="s">
        <v>60</v>
      </c>
      <c r="C326" s="13" t="s">
        <v>39</v>
      </c>
      <c r="D326" s="3"/>
      <c r="O326" s="19"/>
    </row>
    <row r="327" ht="15.75" customHeight="1">
      <c r="A327" s="17"/>
      <c r="B327" s="12" t="s">
        <v>57</v>
      </c>
      <c r="C327" s="13" t="s">
        <v>40</v>
      </c>
      <c r="D327" s="3"/>
      <c r="O327" s="19"/>
    </row>
    <row r="328" ht="15.75" customHeight="1">
      <c r="A328" s="17"/>
      <c r="B328" s="12" t="s">
        <v>60</v>
      </c>
      <c r="C328" s="13" t="s">
        <v>41</v>
      </c>
      <c r="D328" s="3"/>
      <c r="J328" s="1"/>
      <c r="O328" s="19"/>
    </row>
    <row r="329" ht="15.75" customHeight="1">
      <c r="A329" s="20"/>
      <c r="B329" s="12" t="s">
        <v>60</v>
      </c>
      <c r="C329" s="13" t="s">
        <v>38</v>
      </c>
      <c r="D329" s="25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3"/>
    </row>
    <row r="330" ht="15.75" customHeight="1">
      <c r="A330" s="11">
        <v>45330.0</v>
      </c>
      <c r="B330" s="12" t="s">
        <v>60</v>
      </c>
      <c r="C330" s="13" t="s">
        <v>43</v>
      </c>
      <c r="D330" s="24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6"/>
    </row>
    <row r="331" ht="15.75" customHeight="1">
      <c r="A331" s="17"/>
      <c r="B331" s="12" t="s">
        <v>60</v>
      </c>
      <c r="C331" s="13" t="s">
        <v>44</v>
      </c>
      <c r="D331" s="3"/>
      <c r="O331" s="19"/>
    </row>
    <row r="332" ht="15.75" customHeight="1">
      <c r="A332" s="17"/>
      <c r="B332" s="12" t="s">
        <v>60</v>
      </c>
      <c r="C332" s="13" t="s">
        <v>42</v>
      </c>
      <c r="D332" s="3"/>
      <c r="O332" s="19"/>
    </row>
    <row r="333" ht="15.75" customHeight="1">
      <c r="A333" s="17"/>
      <c r="B333" s="12" t="s">
        <v>60</v>
      </c>
      <c r="C333" s="13" t="s">
        <v>39</v>
      </c>
      <c r="D333" s="3"/>
      <c r="O333" s="19"/>
    </row>
    <row r="334" ht="15.75" customHeight="1">
      <c r="A334" s="17"/>
      <c r="B334" s="12" t="s">
        <v>57</v>
      </c>
      <c r="C334" s="13" t="s">
        <v>40</v>
      </c>
      <c r="D334" s="3"/>
      <c r="O334" s="19"/>
    </row>
    <row r="335" ht="15.75" customHeight="1">
      <c r="A335" s="17"/>
      <c r="B335" s="12" t="s">
        <v>60</v>
      </c>
      <c r="C335" s="13" t="s">
        <v>41</v>
      </c>
      <c r="D335" s="3"/>
      <c r="J335" s="1"/>
      <c r="O335" s="19"/>
    </row>
    <row r="336" ht="15.75" customHeight="1">
      <c r="A336" s="20"/>
      <c r="B336" s="12" t="s">
        <v>60</v>
      </c>
      <c r="C336" s="13" t="s">
        <v>38</v>
      </c>
      <c r="D336" s="25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3"/>
    </row>
    <row r="337" ht="15.75" customHeight="1">
      <c r="A337" s="11">
        <v>45331.0</v>
      </c>
      <c r="B337" s="12" t="s">
        <v>60</v>
      </c>
      <c r="C337" s="13" t="s">
        <v>43</v>
      </c>
      <c r="D337" s="24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6"/>
    </row>
    <row r="338" ht="15.75" customHeight="1">
      <c r="A338" s="17"/>
      <c r="B338" s="12" t="s">
        <v>60</v>
      </c>
      <c r="C338" s="13" t="s">
        <v>44</v>
      </c>
      <c r="D338" s="3"/>
      <c r="O338" s="19"/>
    </row>
    <row r="339" ht="15.75" customHeight="1">
      <c r="A339" s="17"/>
      <c r="B339" s="12" t="s">
        <v>60</v>
      </c>
      <c r="C339" s="13" t="s">
        <v>42</v>
      </c>
      <c r="D339" s="3"/>
      <c r="O339" s="19"/>
    </row>
    <row r="340" ht="15.75" customHeight="1">
      <c r="A340" s="17"/>
      <c r="B340" s="12" t="s">
        <v>60</v>
      </c>
      <c r="C340" s="13" t="s">
        <v>39</v>
      </c>
      <c r="D340" s="3"/>
      <c r="O340" s="19"/>
    </row>
    <row r="341" ht="15.75" customHeight="1">
      <c r="A341" s="17"/>
      <c r="B341" s="12" t="s">
        <v>57</v>
      </c>
      <c r="C341" s="13" t="s">
        <v>40</v>
      </c>
      <c r="D341" s="3"/>
      <c r="O341" s="19"/>
    </row>
    <row r="342" ht="15.75" customHeight="1">
      <c r="A342" s="17"/>
      <c r="B342" s="12" t="s">
        <v>60</v>
      </c>
      <c r="C342" s="13" t="s">
        <v>41</v>
      </c>
      <c r="D342" s="3"/>
      <c r="J342" s="1"/>
      <c r="O342" s="19"/>
    </row>
    <row r="343" ht="15.75" customHeight="1">
      <c r="A343" s="20"/>
      <c r="B343" s="12" t="s">
        <v>60</v>
      </c>
      <c r="C343" s="13" t="s">
        <v>38</v>
      </c>
      <c r="D343" s="25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3"/>
    </row>
    <row r="344" ht="15.75" customHeight="1">
      <c r="A344" s="11">
        <v>45332.0</v>
      </c>
      <c r="B344" s="12" t="s">
        <v>60</v>
      </c>
      <c r="C344" s="13" t="s">
        <v>43</v>
      </c>
      <c r="D344" s="24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6"/>
    </row>
    <row r="345" ht="15.75" customHeight="1">
      <c r="A345" s="17"/>
      <c r="B345" s="12" t="s">
        <v>60</v>
      </c>
      <c r="C345" s="13" t="s">
        <v>44</v>
      </c>
      <c r="D345" s="3"/>
      <c r="O345" s="19"/>
    </row>
    <row r="346" ht="15.75" customHeight="1">
      <c r="A346" s="17"/>
      <c r="B346" s="12" t="s">
        <v>60</v>
      </c>
      <c r="C346" s="13" t="s">
        <v>42</v>
      </c>
      <c r="D346" s="3"/>
      <c r="O346" s="19"/>
    </row>
    <row r="347" ht="15.75" customHeight="1">
      <c r="A347" s="17"/>
      <c r="B347" s="12" t="s">
        <v>60</v>
      </c>
      <c r="C347" s="13" t="s">
        <v>39</v>
      </c>
      <c r="D347" s="3"/>
      <c r="O347" s="19"/>
    </row>
    <row r="348" ht="15.75" customHeight="1">
      <c r="A348" s="17"/>
      <c r="B348" s="12" t="s">
        <v>57</v>
      </c>
      <c r="C348" s="13" t="s">
        <v>40</v>
      </c>
      <c r="D348" s="3"/>
      <c r="O348" s="19"/>
    </row>
    <row r="349" ht="15.75" customHeight="1">
      <c r="A349" s="17"/>
      <c r="B349" s="12" t="s">
        <v>60</v>
      </c>
      <c r="C349" s="13" t="s">
        <v>41</v>
      </c>
      <c r="D349" s="3"/>
      <c r="J349" s="1"/>
      <c r="O349" s="19"/>
    </row>
    <row r="350" ht="15.75" customHeight="1">
      <c r="A350" s="20"/>
      <c r="B350" s="12" t="s">
        <v>60</v>
      </c>
      <c r="C350" s="13" t="s">
        <v>38</v>
      </c>
      <c r="D350" s="25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3"/>
    </row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18:$O$350"/>
  <customSheetViews>
    <customSheetView guid="{3C9928E7-9DF1-4F86-A0DB-6BDC1CE811A5}" filter="1" showAutoFilter="1">
      <autoFilter ref="$B$18:$O$350">
        <filterColumn colId="1">
          <filters>
            <filter val="IESF"/>
          </filters>
        </filterColumn>
      </autoFilter>
    </customSheetView>
  </customSheetViews>
  <mergeCells count="41">
    <mergeCell ref="A19:A25"/>
    <mergeCell ref="A26:A35"/>
    <mergeCell ref="A36:A43"/>
    <mergeCell ref="A44:A50"/>
    <mergeCell ref="A52:A58"/>
    <mergeCell ref="A60:A66"/>
    <mergeCell ref="A67:A73"/>
    <mergeCell ref="A74:A82"/>
    <mergeCell ref="A83:A91"/>
    <mergeCell ref="A92:A99"/>
    <mergeCell ref="A100:A106"/>
    <mergeCell ref="A107:A116"/>
    <mergeCell ref="A118:A126"/>
    <mergeCell ref="A127:A133"/>
    <mergeCell ref="A134:A141"/>
    <mergeCell ref="A143:A149"/>
    <mergeCell ref="A151:A158"/>
    <mergeCell ref="A159:A167"/>
    <mergeCell ref="A169:A178"/>
    <mergeCell ref="A179:A186"/>
    <mergeCell ref="A187:A193"/>
    <mergeCell ref="A194:A202"/>
    <mergeCell ref="A204:A211"/>
    <mergeCell ref="A212:A221"/>
    <mergeCell ref="A223:A232"/>
    <mergeCell ref="A234:A243"/>
    <mergeCell ref="A244:A251"/>
    <mergeCell ref="A252:A259"/>
    <mergeCell ref="A309:A315"/>
    <mergeCell ref="A316:A322"/>
    <mergeCell ref="A323:A329"/>
    <mergeCell ref="A330:A336"/>
    <mergeCell ref="A337:A343"/>
    <mergeCell ref="A344:A350"/>
    <mergeCell ref="A260:A265"/>
    <mergeCell ref="A267:A273"/>
    <mergeCell ref="A274:A280"/>
    <mergeCell ref="A281:A287"/>
    <mergeCell ref="A288:A294"/>
    <mergeCell ref="A295:A301"/>
    <mergeCell ref="A302:A30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