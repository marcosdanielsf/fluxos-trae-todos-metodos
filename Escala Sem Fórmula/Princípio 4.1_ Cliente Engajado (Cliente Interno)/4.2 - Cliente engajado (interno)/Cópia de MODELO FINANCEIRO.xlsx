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as " sheetId="1" r:id="rId4"/>
    <sheet state="visible" name="Fluxo de Caixa " sheetId="2" r:id="rId5"/>
    <sheet state="visible" name="Junho23" sheetId="3" r:id="rId6"/>
    <sheet state="visible" name="Anual" sheetId="4" r:id="rId7"/>
  </sheets>
  <definedNames/>
  <calcPr/>
</workbook>
</file>

<file path=xl/sharedStrings.xml><?xml version="1.0" encoding="utf-8"?>
<sst xmlns="http://schemas.openxmlformats.org/spreadsheetml/2006/main" count="295" uniqueCount="181">
  <si>
    <t xml:space="preserve">Despesas Recorrentes </t>
  </si>
  <si>
    <t xml:space="preserve">Descrição </t>
  </si>
  <si>
    <t xml:space="preserve">Categoria </t>
  </si>
  <si>
    <t xml:space="preserve">Janeiro </t>
  </si>
  <si>
    <t xml:space="preserve">Fevereiro </t>
  </si>
  <si>
    <t xml:space="preserve">Março </t>
  </si>
  <si>
    <t xml:space="preserve">Abril </t>
  </si>
  <si>
    <t xml:space="preserve">Maio </t>
  </si>
  <si>
    <t xml:space="preserve">Junho </t>
  </si>
  <si>
    <t xml:space="preserve">Julho </t>
  </si>
  <si>
    <t xml:space="preserve">Agosto </t>
  </si>
  <si>
    <t xml:space="preserve">Setembro </t>
  </si>
  <si>
    <t xml:space="preserve">Outubro </t>
  </si>
  <si>
    <t>Novembro</t>
  </si>
  <si>
    <t>Dezembro</t>
  </si>
  <si>
    <t xml:space="preserve">Total - Anual por Item </t>
  </si>
  <si>
    <t xml:space="preserve">Copy </t>
  </si>
  <si>
    <t xml:space="preserve">Serviços </t>
  </si>
  <si>
    <t xml:space="preserve">Designer </t>
  </si>
  <si>
    <t xml:space="preserve">Edição de Video </t>
  </si>
  <si>
    <t xml:space="preserve">Suporte </t>
  </si>
  <si>
    <t xml:space="preserve">Revisão </t>
  </si>
  <si>
    <t xml:space="preserve">Active </t>
  </si>
  <si>
    <t xml:space="preserve">Gestor de Tráfego </t>
  </si>
  <si>
    <t xml:space="preserve">Tráfego - Investimento </t>
  </si>
  <si>
    <t xml:space="preserve">Insumos </t>
  </si>
  <si>
    <t>TESTE</t>
  </si>
  <si>
    <t xml:space="preserve">Automação </t>
  </si>
  <si>
    <t xml:space="preserve">Gerente de Projetos </t>
  </si>
  <si>
    <t>Domínio</t>
  </si>
  <si>
    <t xml:space="preserve">Ferramentas </t>
  </si>
  <si>
    <t>Hospedagem</t>
  </si>
  <si>
    <t xml:space="preserve">Total </t>
  </si>
  <si>
    <t xml:space="preserve">Total Anual - Acumulado </t>
  </si>
  <si>
    <t xml:space="preserve">Porcentagem Expert </t>
  </si>
  <si>
    <t xml:space="preserve">Valor Expert </t>
  </si>
  <si>
    <t xml:space="preserve">Porcentagem Co - Produtor </t>
  </si>
  <si>
    <t xml:space="preserve">Valor Co - Produtor </t>
  </si>
  <si>
    <t xml:space="preserve">Fluxo de Caixa </t>
  </si>
  <si>
    <t>ENTRADAS</t>
  </si>
  <si>
    <t xml:space="preserve">Produtos </t>
  </si>
  <si>
    <t>Previsto -  01</t>
  </si>
  <si>
    <t>Realizado - 01</t>
  </si>
  <si>
    <t>Previsto - 02</t>
  </si>
  <si>
    <t>Realizado - 02</t>
  </si>
  <si>
    <t>Previsto - 03</t>
  </si>
  <si>
    <t>Realizado - 03</t>
  </si>
  <si>
    <t>Previsto -  04</t>
  </si>
  <si>
    <t>Realizado - 04</t>
  </si>
  <si>
    <t>Previsto - 05</t>
  </si>
  <si>
    <t>Realizado - 05</t>
  </si>
  <si>
    <t>Previsto -  06</t>
  </si>
  <si>
    <t>Realizado - 06</t>
  </si>
  <si>
    <t>Previsto -  07</t>
  </si>
  <si>
    <t>Realizado - 07</t>
  </si>
  <si>
    <t>Previsto -  08</t>
  </si>
  <si>
    <t>Realizado - 08</t>
  </si>
  <si>
    <t>Previsto -  09</t>
  </si>
  <si>
    <t>Realizado - 09</t>
  </si>
  <si>
    <t>Previsto -  10</t>
  </si>
  <si>
    <t>Realizado - 10</t>
  </si>
  <si>
    <t>Previsto -  11</t>
  </si>
  <si>
    <t>Realizado - 11</t>
  </si>
  <si>
    <t>Previsto -  12</t>
  </si>
  <si>
    <t xml:space="preserve">Previsão de recebimento - Lançamentos </t>
  </si>
  <si>
    <t xml:space="preserve">Previsão de recebimento - Perpétuo </t>
  </si>
  <si>
    <t xml:space="preserve">Mentoria </t>
  </si>
  <si>
    <t>TOTAL DAS ENTRADAS</t>
  </si>
  <si>
    <t xml:space="preserve">SAÍDAS </t>
  </si>
  <si>
    <t xml:space="preserve">Impostos </t>
  </si>
  <si>
    <t xml:space="preserve">Taxa hotmart </t>
  </si>
  <si>
    <t xml:space="preserve">Cursos e Treinamentos </t>
  </si>
  <si>
    <t xml:space="preserve">Total de Saídas </t>
  </si>
  <si>
    <t>Entradas (menos) saídas</t>
  </si>
  <si>
    <t>Saídas</t>
  </si>
  <si>
    <t>Entrada - Saída</t>
  </si>
  <si>
    <t xml:space="preserve">Despesas de Serviços </t>
  </si>
  <si>
    <t xml:space="preserve">Taxas - Plataforma </t>
  </si>
  <si>
    <t xml:space="preserve">Total de Despesas </t>
  </si>
  <si>
    <t xml:space="preserve">Despesa </t>
  </si>
  <si>
    <t>Valor Mensal</t>
  </si>
  <si>
    <t>Dias Trabalhados</t>
  </si>
  <si>
    <t>Valor proporcional</t>
  </si>
  <si>
    <t xml:space="preserve">Tipo de Despesa </t>
  </si>
  <si>
    <t>Taxa - Green</t>
  </si>
  <si>
    <t>Total Fat</t>
  </si>
  <si>
    <t>Total lucro</t>
  </si>
  <si>
    <t xml:space="preserve">Valor </t>
  </si>
  <si>
    <t>Total</t>
  </si>
  <si>
    <t>Expert</t>
  </si>
  <si>
    <t>Co-produtor</t>
  </si>
  <si>
    <t xml:space="preserve"> Infra + Suporte Operacional</t>
  </si>
  <si>
    <t>Mensal</t>
  </si>
  <si>
    <t>Social Media + Social Selling</t>
  </si>
  <si>
    <t xml:space="preserve">Total Taxa </t>
  </si>
  <si>
    <t>Impostos</t>
  </si>
  <si>
    <t>Editor de vídeo</t>
  </si>
  <si>
    <t>Ferramentas</t>
  </si>
  <si>
    <t>Gestora de projetos</t>
  </si>
  <si>
    <t>Tráfego + Extras</t>
  </si>
  <si>
    <t>copy</t>
  </si>
  <si>
    <t>SDR</t>
  </si>
  <si>
    <t>Gestor de trafego</t>
  </si>
  <si>
    <t xml:space="preserve">% Imposto  </t>
  </si>
  <si>
    <t xml:space="preserve">Valor Faturamento </t>
  </si>
  <si>
    <t>Contador</t>
  </si>
  <si>
    <t>Closer JR</t>
  </si>
  <si>
    <t xml:space="preserve">Total de Receitas </t>
  </si>
  <si>
    <t>CSCX</t>
  </si>
  <si>
    <t>Estrategita</t>
  </si>
  <si>
    <t>Designer</t>
  </si>
  <si>
    <t>Webdesigner</t>
  </si>
  <si>
    <t>Juridico</t>
  </si>
  <si>
    <t xml:space="preserve">Vendas </t>
  </si>
  <si>
    <t xml:space="preserve">Quantidade </t>
  </si>
  <si>
    <t xml:space="preserve">Ticket </t>
  </si>
  <si>
    <t xml:space="preserve">Caixa Parcial </t>
  </si>
  <si>
    <t xml:space="preserve">Competencia </t>
  </si>
  <si>
    <t>Social seller</t>
  </si>
  <si>
    <t>Green (novas vendas)</t>
  </si>
  <si>
    <t>Financeiro</t>
  </si>
  <si>
    <t>Pix recorrencia</t>
  </si>
  <si>
    <t>Total:</t>
  </si>
  <si>
    <t>Pix novas vendas</t>
  </si>
  <si>
    <t xml:space="preserve">Custos Tráfego e Extras </t>
  </si>
  <si>
    <t>Obs</t>
  </si>
  <si>
    <t>Despesas de Ferramentas</t>
  </si>
  <si>
    <t xml:space="preserve">Tráfego </t>
  </si>
  <si>
    <t xml:space="preserve">Resultados - Liquido </t>
  </si>
  <si>
    <t xml:space="preserve">Esporádica </t>
  </si>
  <si>
    <t>Devzapp</t>
  </si>
  <si>
    <t xml:space="preserve">Receita </t>
  </si>
  <si>
    <t>Panda</t>
  </si>
  <si>
    <t>Despesas + taxa</t>
  </si>
  <si>
    <t>Typeform</t>
  </si>
  <si>
    <t xml:space="preserve">Saldo </t>
  </si>
  <si>
    <t>Loom</t>
  </si>
  <si>
    <t>Cademi</t>
  </si>
  <si>
    <t>Manychat</t>
  </si>
  <si>
    <t xml:space="preserve">Divisão </t>
  </si>
  <si>
    <t xml:space="preserve">Porcentagem </t>
  </si>
  <si>
    <t>R - D</t>
  </si>
  <si>
    <t>Stape.io+geoloc</t>
  </si>
  <si>
    <t>Zoom</t>
  </si>
  <si>
    <t xml:space="preserve">Expert </t>
  </si>
  <si>
    <t>TurboCloud</t>
  </si>
  <si>
    <t>Enotas</t>
  </si>
  <si>
    <t>Conta azul</t>
  </si>
  <si>
    <t>Calendly</t>
  </si>
  <si>
    <t>Clicksign</t>
  </si>
  <si>
    <t>Projeto</t>
  </si>
  <si>
    <t xml:space="preserve">Faturamento </t>
  </si>
  <si>
    <t xml:space="preserve">Despesas </t>
  </si>
  <si>
    <t xml:space="preserve">Saldo Final </t>
  </si>
  <si>
    <t xml:space="preserve">Custos - Divisão </t>
  </si>
  <si>
    <t xml:space="preserve">Lucros - Divisão </t>
  </si>
  <si>
    <t>Porcentagem Expert</t>
  </si>
  <si>
    <t xml:space="preserve">Porcentagem - Co Produtor </t>
  </si>
  <si>
    <t xml:space="preserve">Lançamento 01 </t>
  </si>
  <si>
    <t xml:space="preserve">Lançamento 2 </t>
  </si>
  <si>
    <t xml:space="preserve">Lançamento 03 </t>
  </si>
  <si>
    <t xml:space="preserve">Lançamento 04 </t>
  </si>
  <si>
    <t xml:space="preserve">Lançamento 05 </t>
  </si>
  <si>
    <t xml:space="preserve">Lançamento 06 </t>
  </si>
  <si>
    <t xml:space="preserve">Anual </t>
  </si>
  <si>
    <t xml:space="preserve">Custos  - Anual </t>
  </si>
  <si>
    <t xml:space="preserve">Tráfego pago </t>
  </si>
  <si>
    <t xml:space="preserve">Investimento </t>
  </si>
  <si>
    <t xml:space="preserve">ROI </t>
  </si>
  <si>
    <t>Lançamento 02</t>
  </si>
  <si>
    <t xml:space="preserve">Insumos e Extras </t>
  </si>
  <si>
    <t>Lançamento 03</t>
  </si>
  <si>
    <t xml:space="preserve">Taxas </t>
  </si>
  <si>
    <t>Lançamento 04</t>
  </si>
  <si>
    <t>Lançamento 05</t>
  </si>
  <si>
    <t xml:space="preserve">Outros </t>
  </si>
  <si>
    <t>Lançamento 06</t>
  </si>
  <si>
    <t>Despesas</t>
  </si>
  <si>
    <t xml:space="preserve">Coprodutor </t>
  </si>
  <si>
    <t xml:space="preserve">Saldo  Final </t>
  </si>
  <si>
    <t xml:space="preserve">CO produtor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</si>
</sst>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[$R$ -416]#,##0.00"/>
    <numFmt numFmtId="166" formatCode="d/m"/>
  </numFmts>
  <fonts count="18">
    <font>
      <sz val="11.0"/>
      <color theme="1"/>
      <name val="Calibri"/>
      <scheme val="minor"/>
    </font>
    <font>
      <b/>
      <sz val="11.0"/>
      <color rgb="FF171616"/>
      <name val="Calibri"/>
    </font>
    <font/>
    <font>
      <b/>
      <sz val="11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theme="0"/>
      <name val="Calibri"/>
    </font>
    <font>
      <b/>
      <sz val="12.0"/>
      <color theme="0"/>
      <name val="Calibri"/>
    </font>
    <font>
      <b/>
      <color theme="0"/>
      <name val="Calibri"/>
    </font>
    <font>
      <color rgb="FFFFFFFF"/>
      <name val="Calibri"/>
    </font>
    <font>
      <color theme="1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sz val="11.0"/>
      <color theme="0"/>
      <name val="Calibri"/>
    </font>
    <font>
      <sz val="11.0"/>
      <color rgb="FF000000"/>
      <name val="Calibri"/>
    </font>
    <font>
      <b/>
      <color theme="1"/>
      <name val="Calibri"/>
    </font>
    <font>
      <sz val="11.0"/>
      <color rgb="FF000000"/>
      <name val="Roboto"/>
    </font>
    <font>
      <b/>
      <sz val="16.0"/>
      <color theme="1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C55A11"/>
        <bgColor rgb="FFC55A11"/>
      </patternFill>
    </fill>
    <fill>
      <patternFill patternType="solid">
        <fgColor rgb="FF333F4F"/>
        <bgColor rgb="FF333F4F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8496B0"/>
        <bgColor rgb="FF8496B0"/>
      </patternFill>
    </fill>
    <fill>
      <patternFill patternType="solid">
        <fgColor rgb="FFA8D08D"/>
        <bgColor rgb="FFA8D08D"/>
      </patternFill>
    </fill>
    <fill>
      <patternFill patternType="solid">
        <fgColor theme="5"/>
        <bgColor theme="5"/>
      </patternFill>
    </fill>
    <fill>
      <patternFill patternType="solid">
        <fgColor rgb="FFBF9000"/>
        <bgColor rgb="FFBF9000"/>
      </patternFill>
    </fill>
    <fill>
      <patternFill patternType="solid">
        <fgColor rgb="FF1E4E79"/>
        <bgColor rgb="FF1E4E79"/>
      </patternFill>
    </fill>
    <fill>
      <patternFill patternType="solid">
        <fgColor rgb="FF3A3838"/>
        <bgColor rgb="FF3A3838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3F3F3F"/>
        <bgColor rgb="FF3F3F3F"/>
      </patternFill>
    </fill>
    <fill>
      <patternFill patternType="solid">
        <fgColor theme="0"/>
        <bgColor theme="0"/>
      </patternFill>
    </fill>
    <fill>
      <patternFill patternType="solid">
        <fgColor rgb="FFAE1E1E"/>
        <bgColor rgb="FFAE1E1E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ADB9CA"/>
        <bgColor rgb="FFADB9CA"/>
      </patternFill>
    </fill>
    <fill>
      <patternFill patternType="solid">
        <fgColor rgb="FFFEDEFB"/>
        <bgColor rgb="FFFEDEFB"/>
      </patternFill>
    </fill>
    <fill>
      <patternFill patternType="solid">
        <fgColor rgb="FFBFBFBF"/>
        <bgColor rgb="FFBFBFBF"/>
      </patternFill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222A35"/>
        <bgColor rgb="FF222A35"/>
      </patternFill>
    </fill>
    <fill>
      <patternFill patternType="solid">
        <fgColor rgb="FFED7D31"/>
        <bgColor rgb="FFED7D31"/>
      </patternFill>
    </fill>
    <fill>
      <patternFill patternType="solid">
        <fgColor rgb="FFF7EED7"/>
        <bgColor rgb="FFF7EED7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8C0C0"/>
        <bgColor rgb="FFF8C0C0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</fills>
  <borders count="105">
    <border/>
    <border>
      <left/>
      <top/>
    </border>
    <border>
      <top/>
    </border>
    <border>
      <left/>
      <bottom style="thin">
        <color rgb="FFF2F2F2"/>
      </bottom>
    </border>
    <border>
      <bottom style="thin">
        <color rgb="FFF2F2F2"/>
      </bottom>
    </border>
    <border>
      <left/>
      <right style="thin">
        <color rgb="FFF2F2F2"/>
      </right>
      <top/>
    </border>
    <border>
      <left style="thin">
        <color rgb="FFF2F2F2"/>
      </left>
      <right style="thin">
        <color rgb="FFF2F2F2"/>
      </right>
      <top/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/>
      <right/>
      <top style="thin">
        <color rgb="FFF2F2F2"/>
      </top>
    </border>
    <border>
      <left style="thin">
        <color rgb="FFF2F2F2"/>
      </left>
      <right/>
      <top style="thin">
        <color rgb="FFF2F2F2"/>
      </top>
    </border>
    <border>
      <left/>
      <right/>
      <top/>
    </border>
    <border>
      <left/>
      <right style="thin">
        <color rgb="FFF2F2F2"/>
      </right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</border>
    <border>
      <left/>
      <right/>
    </border>
    <border>
      <left style="thin">
        <color rgb="FFF2F2F2"/>
      </left>
      <right/>
    </border>
    <border>
      <left style="thin">
        <color rgb="FFF2F2F2"/>
      </left>
      <top style="thin">
        <color rgb="FFF2F2F2"/>
      </top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/>
    </border>
    <border>
      <left style="thin">
        <color theme="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/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theme="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/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top style="thin">
        <color rgb="FFD8D8D8"/>
      </top>
      <bottom/>
    </border>
    <border>
      <top style="thin">
        <color rgb="FFD8D8D8"/>
      </top>
      <bottom/>
    </border>
    <border>
      <left/>
    </border>
    <border>
      <left/>
      <right/>
      <top/>
      <bottom/>
    </border>
    <border>
      <left/>
      <right/>
      <top/>
      <bottom style="thin">
        <color rgb="FFF2F2F2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/>
      <right style="thin">
        <color rgb="FFF2F2F2"/>
      </right>
      <top style="thin">
        <color rgb="FFF2F2F2"/>
      </top>
    </border>
    <border>
      <left style="thin">
        <color theme="0"/>
      </left>
      <right/>
      <top style="thin">
        <color theme="0"/>
      </top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rgb="FFF2F2F2"/>
      </left>
      <right/>
      <bottom style="thin">
        <color rgb="FFF2F2F2"/>
      </bottom>
    </border>
    <border>
      <left style="thin">
        <color theme="0"/>
      </left>
      <right/>
      <bottom style="thin">
        <color theme="0"/>
      </bottom>
    </border>
    <border>
      <left style="thin">
        <color rgb="FFF2F2F2"/>
      </left>
      <bottom style="thin">
        <color rgb="FFF2F2F2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 style="thin">
        <color theme="0"/>
      </left>
    </border>
    <border>
      <left/>
      <right/>
      <top style="thin">
        <color theme="0"/>
      </top>
      <bottom/>
    </border>
    <border>
      <left/>
      <right/>
      <top style="thin">
        <color theme="0"/>
      </top>
    </border>
    <border>
      <left/>
      <right/>
      <top/>
      <bottom style="thin">
        <color theme="0"/>
      </bottom>
    </border>
    <border>
      <left/>
      <right/>
      <bottom style="thin">
        <color theme="0"/>
      </bottom>
    </border>
    <border>
      <left style="thin">
        <color rgb="FFF2F2F2"/>
      </left>
      <right style="thin">
        <color rgb="FFF2F2F2"/>
      </right>
      <top style="thin">
        <color theme="0"/>
      </top>
      <bottom style="thin">
        <color rgb="FFF2F2F2"/>
      </bottom>
    </border>
    <border>
      <left style="thin">
        <color rgb="FFF2F2F2"/>
      </left>
      <right/>
      <top style="thin">
        <color theme="0"/>
      </top>
      <bottom style="thin">
        <color rgb="FFF2F2F2"/>
      </bottom>
    </border>
    <border>
      <left style="thin">
        <color rgb="FFF2F2F2"/>
      </left>
      <right style="thin">
        <color rgb="FFF2F2F2"/>
      </right>
      <top/>
      <bottom style="thin">
        <color theme="0"/>
      </bottom>
    </border>
    <border>
      <left style="thin">
        <color rgb="FFF2F2F2"/>
      </left>
      <right style="thin">
        <color rgb="FFF2F2F2"/>
      </right>
      <bottom style="thin">
        <color theme="0"/>
      </bottom>
    </border>
    <border>
      <left style="thin">
        <color rgb="FFF2F2F2"/>
      </left>
      <right/>
      <top/>
      <bottom style="thin">
        <color theme="0"/>
      </bottom>
    </border>
    <border>
      <left style="thin">
        <color rgb="FFF2F2F2"/>
      </left>
      <right style="thin">
        <color rgb="FFF2F2F2"/>
      </right>
      <top/>
      <bottom style="thin">
        <color rgb="FFF2F2F2"/>
      </bottom>
    </border>
    <border>
      <left style="thin">
        <color rgb="FFF2F2F2"/>
      </left>
      <right/>
      <top/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theme="0"/>
      </top>
    </border>
    <border>
      <left style="thin">
        <color rgb="FFF2F2F2"/>
      </left>
      <right style="thin">
        <color rgb="FFF2F2F2"/>
      </right>
      <top/>
      <bottom/>
    </border>
    <border>
      <left style="thin">
        <color rgb="FFF2F2F2"/>
      </left>
      <right/>
      <top/>
      <bottom/>
    </border>
    <border>
      <left/>
      <top style="thin">
        <color rgb="FFF2F2F2"/>
      </top>
      <bottom/>
    </border>
    <border>
      <right style="thin">
        <color rgb="FFF2F2F2"/>
      </right>
      <top style="thin">
        <color rgb="FFF2F2F2"/>
      </top>
      <bottom/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/>
      <bottom/>
    </border>
    <border>
      <left/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theme="0"/>
      </top>
    </border>
    <border>
      <bottom style="thin">
        <color theme="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right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F2F2F2"/>
      </left>
      <top style="thin">
        <color rgb="FFF2F2F2"/>
      </top>
      <bottom/>
    </border>
    <border>
      <left style="thin">
        <color rgb="FFF2F2F2"/>
      </left>
    </border>
    <border>
      <right style="thin">
        <color rgb="FFF2F2F2"/>
      </right>
    </border>
    <border>
      <left/>
      <bottom style="thin">
        <color theme="0"/>
      </bottom>
    </border>
    <border>
      <right style="thin">
        <color rgb="FFF2F2F2"/>
      </right>
      <bottom style="thin">
        <color rgb="FFF2F2F2"/>
      </bottom>
    </border>
    <border>
      <right style="thin">
        <color rgb="FFF2F2F2"/>
      </right>
      <top style="thin">
        <color rgb="FFF2F2F2"/>
      </top>
    </border>
    <border>
      <left style="thin">
        <color rgb="FFBFBFBF"/>
      </left>
      <top/>
    </border>
    <border>
      <left style="thin">
        <color rgb="FFBFBFBF"/>
      </left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2F2F2"/>
      </left>
      <top style="thin">
        <color rgb="FFF2F2F2"/>
      </top>
    </border>
    <border>
      <top style="thin">
        <color rgb="FFF2F2F2"/>
      </top>
    </border>
    <border>
      <left style="thin">
        <color rgb="FFF2F2F2"/>
      </left>
      <top/>
    </border>
    <border>
      <left style="thin">
        <color rgb="FFF2F2F2"/>
      </left>
      <bottom style="thin">
        <color theme="0"/>
      </bottom>
    </border>
    <border>
      <left style="thin">
        <color theme="0"/>
      </left>
      <top style="thin">
        <color theme="0"/>
      </top>
      <bottom/>
    </border>
    <border>
      <right style="thin">
        <color theme="0"/>
      </right>
      <top style="thin">
        <color theme="0"/>
      </top>
      <bottom/>
    </border>
    <border>
      <left/>
      <top/>
      <bottom/>
    </border>
    <border>
      <top/>
      <bottom/>
    </border>
    <border>
      <left style="thin">
        <color rgb="FFF2F2F2"/>
      </left>
      <top/>
      <bottom style="thin">
        <color rgb="FFF2F2F2"/>
      </bottom>
    </border>
    <border>
      <right style="thin">
        <color rgb="FFF2F2F2"/>
      </right>
      <top/>
      <bottom style="thin">
        <color rgb="FFF2F2F2"/>
      </bottom>
    </border>
    <border>
      <left style="thin">
        <color rgb="FFF2F2F2"/>
      </left>
      <right/>
      <top/>
    </border>
    <border>
      <left/>
      <right style="thin">
        <color rgb="FFF2F2F2"/>
      </right>
      <top style="thin">
        <color theme="0"/>
      </top>
    </border>
    <border>
      <left/>
      <top style="thin">
        <color rgb="FFF2F2F2"/>
      </top>
    </border>
    <border>
      <left/>
      <right/>
      <bottom style="thin">
        <color rgb="FFF2F2F2"/>
      </bottom>
    </border>
    <border>
      <left/>
      <right style="thin">
        <color rgb="FFF2F2F2"/>
      </right>
      <bottom style="thin">
        <color rgb="FFF2F2F2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4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0" fillId="0" fontId="4" numFmtId="0" xfId="0" applyAlignment="1" applyFont="1">
      <alignment horizontal="center"/>
    </xf>
    <xf borderId="19" fillId="0" fontId="4" numFmtId="0" xfId="0" applyAlignment="1" applyBorder="1" applyFont="1">
      <alignment horizontal="left"/>
    </xf>
    <xf borderId="19" fillId="0" fontId="5" numFmtId="0" xfId="0" applyAlignment="1" applyBorder="1" applyFont="1">
      <alignment horizontal="center"/>
    </xf>
    <xf borderId="19" fillId="0" fontId="4" numFmtId="164" xfId="0" applyBorder="1" applyFont="1" applyNumberFormat="1"/>
    <xf borderId="0" fillId="0" fontId="4" numFmtId="164" xfId="0" applyFont="1" applyNumberFormat="1"/>
    <xf borderId="0" fillId="0" fontId="4" numFmtId="0" xfId="0" applyFont="1"/>
    <xf borderId="16" fillId="6" fontId="3" numFmtId="0" xfId="0" applyAlignment="1" applyBorder="1" applyFill="1" applyFont="1">
      <alignment horizontal="center"/>
    </xf>
    <xf borderId="19" fillId="6" fontId="3" numFmtId="164" xfId="0" applyBorder="1" applyFont="1" applyNumberFormat="1"/>
    <xf borderId="20" fillId="6" fontId="3" numFmtId="164" xfId="0" applyBorder="1" applyFont="1" applyNumberFormat="1"/>
    <xf borderId="0" fillId="0" fontId="3" numFmtId="164" xfId="0" applyFont="1" applyNumberFormat="1"/>
    <xf borderId="21" fillId="3" fontId="3" numFmtId="0" xfId="0" applyAlignment="1" applyBorder="1" applyFont="1">
      <alignment horizontal="center" vertical="center"/>
    </xf>
    <xf borderId="22" fillId="0" fontId="2" numFmtId="0" xfId="0" applyBorder="1" applyFont="1"/>
    <xf borderId="23" fillId="6" fontId="3" numFmtId="164" xfId="0" applyAlignment="1" applyBorder="1" applyFont="1" applyNumberFormat="1">
      <alignment horizontal="center" vertical="center"/>
    </xf>
    <xf borderId="24" fillId="0" fontId="2" numFmtId="0" xfId="0" applyBorder="1" applyFont="1"/>
    <xf borderId="0" fillId="0" fontId="6" numFmtId="0" xfId="0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0" fillId="0" fontId="6" numFmtId="0" xfId="0" applyAlignment="1" applyFont="1">
      <alignment horizontal="center"/>
    </xf>
    <xf borderId="29" fillId="7" fontId="3" numFmtId="0" xfId="0" applyAlignment="1" applyBorder="1" applyFill="1" applyFont="1">
      <alignment horizontal="center"/>
    </xf>
    <xf borderId="29" fillId="8" fontId="5" numFmtId="9" xfId="0" applyAlignment="1" applyBorder="1" applyFill="1" applyFont="1" applyNumberFormat="1">
      <alignment horizontal="center"/>
    </xf>
    <xf borderId="29" fillId="7" fontId="3" numFmtId="164" xfId="0" applyBorder="1" applyFont="1" applyNumberFormat="1"/>
    <xf borderId="30" fillId="7" fontId="3" numFmtId="0" xfId="0" applyAlignment="1" applyBorder="1" applyFont="1">
      <alignment horizontal="center"/>
    </xf>
    <xf borderId="31" fillId="0" fontId="2" numFmtId="0" xfId="0" applyBorder="1" applyFont="1"/>
    <xf borderId="32" fillId="9" fontId="3" numFmtId="164" xfId="0" applyAlignment="1" applyBorder="1" applyFill="1" applyFont="1" applyNumberFormat="1">
      <alignment horizontal="center"/>
    </xf>
    <xf borderId="33" fillId="0" fontId="2" numFmtId="0" xfId="0" applyBorder="1" applyFont="1"/>
    <xf borderId="29" fillId="4" fontId="3" numFmtId="0" xfId="0" applyBorder="1" applyFont="1"/>
    <xf borderId="29" fillId="4" fontId="3" numFmtId="164" xfId="0" applyBorder="1" applyFont="1" applyNumberFormat="1"/>
    <xf borderId="30" fillId="4" fontId="3" numFmtId="0" xfId="0" applyAlignment="1" applyBorder="1" applyFont="1">
      <alignment horizontal="center"/>
    </xf>
    <xf borderId="34" fillId="0" fontId="2" numFmtId="0" xfId="0" applyBorder="1" applyFont="1"/>
    <xf borderId="35" fillId="4" fontId="4" numFmtId="0" xfId="0" applyBorder="1" applyFont="1"/>
    <xf borderId="36" fillId="4" fontId="1" numFmtId="0" xfId="0" applyAlignment="1" applyBorder="1" applyFont="1">
      <alignment vertical="center"/>
    </xf>
    <xf borderId="35" fillId="4" fontId="1" numFmtId="0" xfId="0" applyAlignment="1" applyBorder="1" applyFont="1">
      <alignment vertical="center"/>
    </xf>
    <xf borderId="37" fillId="5" fontId="3" numFmtId="0" xfId="0" applyAlignment="1" applyBorder="1" applyFont="1">
      <alignment horizontal="center" vertical="center"/>
    </xf>
    <xf borderId="37" fillId="4" fontId="3" numFmtId="0" xfId="0" applyAlignment="1" applyBorder="1" applyFont="1">
      <alignment horizontal="center" vertical="center"/>
    </xf>
    <xf borderId="38" fillId="10" fontId="3" numFmtId="0" xfId="0" applyAlignment="1" applyBorder="1" applyFill="1" applyFont="1">
      <alignment horizontal="center" vertical="center"/>
    </xf>
    <xf borderId="9" fillId="10" fontId="3" numFmtId="0" xfId="0" applyAlignment="1" applyBorder="1" applyFont="1">
      <alignment horizontal="center" vertical="center"/>
    </xf>
    <xf borderId="37" fillId="3" fontId="3" numFmtId="0" xfId="0" applyAlignment="1" applyBorder="1" applyFont="1">
      <alignment horizontal="center" vertical="center"/>
    </xf>
    <xf borderId="37" fillId="11" fontId="3" numFmtId="0" xfId="0" applyAlignment="1" applyBorder="1" applyFill="1" applyFont="1">
      <alignment horizontal="center" vertical="center"/>
    </xf>
    <xf borderId="37" fillId="12" fontId="3" numFmtId="0" xfId="0" applyAlignment="1" applyBorder="1" applyFill="1" applyFont="1">
      <alignment horizontal="center" vertical="center"/>
    </xf>
    <xf borderId="37" fillId="13" fontId="3" numFmtId="0" xfId="0" applyAlignment="1" applyBorder="1" applyFill="1" applyFont="1">
      <alignment horizontal="center" vertical="center"/>
    </xf>
    <xf borderId="37" fillId="14" fontId="5" numFmtId="0" xfId="0" applyAlignment="1" applyBorder="1" applyFill="1" applyFont="1">
      <alignment horizontal="center" vertical="center"/>
    </xf>
    <xf borderId="37" fillId="15" fontId="5" numFmtId="0" xfId="0" applyAlignment="1" applyBorder="1" applyFill="1" applyFont="1">
      <alignment horizontal="center" vertical="center"/>
    </xf>
    <xf borderId="37" fillId="10" fontId="3" numFmtId="0" xfId="0" applyAlignment="1" applyBorder="1" applyFont="1">
      <alignment horizontal="center" vertical="center"/>
    </xf>
    <xf borderId="37" fillId="16" fontId="3" numFmtId="0" xfId="0" applyAlignment="1" applyBorder="1" applyFill="1" applyFont="1">
      <alignment horizontal="center" vertical="center"/>
    </xf>
    <xf borderId="39" fillId="16" fontId="3" numFmtId="0" xfId="0" applyAlignment="1" applyBorder="1" applyFont="1">
      <alignment horizontal="center" vertical="center"/>
    </xf>
    <xf borderId="10" fillId="17" fontId="3" numFmtId="0" xfId="0" applyAlignment="1" applyBorder="1" applyFill="1" applyFont="1">
      <alignment horizontal="center" vertical="center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4" numFmtId="0" xfId="0" applyAlignment="1" applyBorder="1" applyFont="1">
      <alignment horizontal="center"/>
    </xf>
    <xf borderId="35" fillId="17" fontId="4" numFmtId="0" xfId="0" applyAlignment="1" applyBorder="1" applyFont="1">
      <alignment horizontal="center"/>
    </xf>
    <xf borderId="18" fillId="0" fontId="4" numFmtId="164" xfId="0" applyBorder="1" applyFont="1" applyNumberFormat="1"/>
    <xf borderId="17" fillId="0" fontId="4" numFmtId="164" xfId="0" applyBorder="1" applyFont="1" applyNumberFormat="1"/>
    <xf borderId="35" fillId="17" fontId="4" numFmtId="164" xfId="0" applyBorder="1" applyFont="1" applyNumberFormat="1"/>
    <xf borderId="7" fillId="0" fontId="4" numFmtId="164" xfId="0" applyBorder="1" applyFont="1" applyNumberFormat="1"/>
    <xf borderId="37" fillId="0" fontId="4" numFmtId="49" xfId="0" applyAlignment="1" applyBorder="1" applyFont="1" applyNumberFormat="1">
      <alignment horizontal="left"/>
    </xf>
    <xf borderId="0" fillId="0" fontId="4" numFmtId="49" xfId="0" applyAlignment="1" applyFont="1" applyNumberFormat="1">
      <alignment horizontal="left"/>
    </xf>
    <xf borderId="29" fillId="5" fontId="3" numFmtId="0" xfId="0" applyAlignment="1" applyBorder="1" applyFont="1">
      <alignment horizontal="center"/>
    </xf>
    <xf borderId="44" fillId="5" fontId="3" numFmtId="0" xfId="0" applyAlignment="1" applyBorder="1" applyFont="1">
      <alignment horizontal="left"/>
    </xf>
    <xf borderId="44" fillId="5" fontId="3" numFmtId="164" xfId="0" applyBorder="1" applyFont="1" applyNumberFormat="1"/>
    <xf borderId="45" fillId="5" fontId="3" numFmtId="164" xfId="0" applyBorder="1" applyFont="1" applyNumberFormat="1"/>
    <xf borderId="35" fillId="17" fontId="3" numFmtId="164" xfId="0" applyBorder="1" applyFont="1" applyNumberFormat="1"/>
    <xf borderId="46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39" fillId="18" fontId="3" numFmtId="0" xfId="0" applyAlignment="1" applyBorder="1" applyFill="1" applyFont="1">
      <alignment horizontal="center" vertical="center"/>
    </xf>
    <xf borderId="47" fillId="19" fontId="4" numFmtId="164" xfId="0" applyBorder="1" applyFill="1" applyFont="1" applyNumberFormat="1"/>
    <xf borderId="48" fillId="19" fontId="4" numFmtId="164" xfId="0" applyAlignment="1" applyBorder="1" applyFont="1" applyNumberFormat="1">
      <alignment horizontal="center"/>
    </xf>
    <xf borderId="10" fillId="17" fontId="4" numFmtId="164" xfId="0" applyAlignment="1" applyBorder="1" applyFont="1" applyNumberFormat="1">
      <alignment horizontal="center"/>
    </xf>
    <xf borderId="49" fillId="19" fontId="4" numFmtId="164" xfId="0" applyBorder="1" applyFont="1" applyNumberFormat="1"/>
    <xf borderId="50" fillId="0" fontId="2" numFmtId="0" xfId="0" applyBorder="1" applyFont="1"/>
    <xf borderId="43" fillId="0" fontId="4" numFmtId="164" xfId="0" applyBorder="1" applyFont="1" applyNumberFormat="1"/>
    <xf borderId="51" fillId="0" fontId="4" numFmtId="164" xfId="0" applyBorder="1" applyFont="1" applyNumberFormat="1"/>
    <xf borderId="51" fillId="20" fontId="4" numFmtId="164" xfId="0" applyBorder="1" applyFill="1" applyFont="1" applyNumberFormat="1"/>
    <xf borderId="51" fillId="21" fontId="4" numFmtId="164" xfId="0" applyBorder="1" applyFill="1" applyFont="1" applyNumberFormat="1"/>
    <xf borderId="51" fillId="22" fontId="4" numFmtId="164" xfId="0" applyBorder="1" applyFill="1" applyFont="1" applyNumberFormat="1"/>
    <xf borderId="51" fillId="23" fontId="4" numFmtId="164" xfId="0" applyBorder="1" applyFill="1" applyFont="1" applyNumberFormat="1"/>
    <xf borderId="51" fillId="24" fontId="4" numFmtId="164" xfId="0" applyBorder="1" applyFill="1" applyFont="1" applyNumberFormat="1"/>
    <xf borderId="51" fillId="19" fontId="4" numFmtId="164" xfId="0" applyBorder="1" applyFont="1" applyNumberFormat="1"/>
    <xf borderId="52" fillId="25" fontId="4" numFmtId="164" xfId="0" applyBorder="1" applyFill="1" applyFont="1" applyNumberFormat="1"/>
    <xf borderId="16" fillId="0" fontId="4" numFmtId="164" xfId="0" applyBorder="1" applyFont="1" applyNumberFormat="1"/>
    <xf borderId="53" fillId="21" fontId="4" numFmtId="164" xfId="0" applyBorder="1" applyFont="1" applyNumberFormat="1"/>
    <xf borderId="53" fillId="22" fontId="4" numFmtId="164" xfId="0" applyBorder="1" applyFont="1" applyNumberFormat="1"/>
    <xf borderId="53" fillId="23" fontId="4" numFmtId="164" xfId="0" applyBorder="1" applyFont="1" applyNumberFormat="1"/>
    <xf borderId="53" fillId="24" fontId="4" numFmtId="164" xfId="0" applyBorder="1" applyFont="1" applyNumberFormat="1"/>
    <xf borderId="53" fillId="20" fontId="4" numFmtId="164" xfId="0" applyBorder="1" applyFont="1" applyNumberFormat="1"/>
    <xf borderId="53" fillId="19" fontId="4" numFmtId="164" xfId="0" applyBorder="1" applyFont="1" applyNumberFormat="1"/>
    <xf borderId="54" fillId="0" fontId="4" numFmtId="164" xfId="0" applyBorder="1" applyFont="1" applyNumberFormat="1"/>
    <xf borderId="55" fillId="25" fontId="4" numFmtId="164" xfId="0" applyBorder="1" applyFont="1" applyNumberFormat="1"/>
    <xf borderId="12" fillId="0" fontId="4" numFmtId="164" xfId="0" applyBorder="1" applyFont="1" applyNumberFormat="1"/>
    <xf borderId="56" fillId="21" fontId="4" numFmtId="164" xfId="0" applyBorder="1" applyFont="1" applyNumberFormat="1"/>
    <xf borderId="56" fillId="22" fontId="4" numFmtId="164" xfId="0" applyBorder="1" applyFont="1" applyNumberFormat="1"/>
    <xf borderId="56" fillId="23" fontId="4" numFmtId="164" xfId="0" applyBorder="1" applyFont="1" applyNumberFormat="1"/>
    <xf borderId="56" fillId="24" fontId="4" numFmtId="164" xfId="0" applyBorder="1" applyFont="1" applyNumberFormat="1"/>
    <xf borderId="56" fillId="20" fontId="4" numFmtId="164" xfId="0" applyBorder="1" applyFont="1" applyNumberFormat="1"/>
    <xf borderId="56" fillId="19" fontId="4" numFmtId="164" xfId="0" applyBorder="1" applyFont="1" applyNumberFormat="1"/>
    <xf borderId="57" fillId="25" fontId="4" numFmtId="164" xfId="0" applyBorder="1" applyFont="1" applyNumberFormat="1"/>
    <xf borderId="58" fillId="0" fontId="4" numFmtId="164" xfId="0" applyBorder="1" applyFont="1" applyNumberFormat="1"/>
    <xf borderId="59" fillId="21" fontId="4" numFmtId="164" xfId="0" applyBorder="1" applyFont="1" applyNumberFormat="1"/>
    <xf borderId="59" fillId="22" fontId="4" numFmtId="164" xfId="0" applyBorder="1" applyFont="1" applyNumberFormat="1"/>
    <xf borderId="59" fillId="23" fontId="4" numFmtId="164" xfId="0" applyBorder="1" applyFont="1" applyNumberFormat="1"/>
    <xf borderId="59" fillId="24" fontId="4" numFmtId="164" xfId="0" applyBorder="1" applyFont="1" applyNumberFormat="1"/>
    <xf borderId="59" fillId="20" fontId="4" numFmtId="164" xfId="0" applyBorder="1" applyFont="1" applyNumberFormat="1"/>
    <xf borderId="59" fillId="19" fontId="4" numFmtId="164" xfId="0" applyBorder="1" applyFont="1" applyNumberFormat="1"/>
    <xf borderId="13" fillId="0" fontId="4" numFmtId="164" xfId="0" applyBorder="1" applyFont="1" applyNumberFormat="1"/>
    <xf borderId="60" fillId="25" fontId="4" numFmtId="164" xfId="0" applyBorder="1" applyFont="1" applyNumberFormat="1"/>
    <xf borderId="61" fillId="26" fontId="3" numFmtId="0" xfId="0" applyAlignment="1" applyBorder="1" applyFill="1" applyFont="1">
      <alignment horizontal="center"/>
    </xf>
    <xf borderId="62" fillId="0" fontId="2" numFmtId="0" xfId="0" applyBorder="1" applyFont="1"/>
    <xf borderId="29" fillId="26" fontId="3" numFmtId="164" xfId="0" applyAlignment="1" applyBorder="1" applyFont="1" applyNumberFormat="1">
      <alignment horizontal="center"/>
    </xf>
    <xf borderId="63" fillId="26" fontId="3" numFmtId="164" xfId="0" applyAlignment="1" applyBorder="1" applyFont="1" applyNumberFormat="1">
      <alignment horizontal="center"/>
    </xf>
    <xf borderId="35" fillId="17" fontId="3" numFmtId="164" xfId="0" applyAlignment="1" applyBorder="1" applyFont="1" applyNumberFormat="1">
      <alignment horizontal="center"/>
    </xf>
    <xf borderId="30" fillId="27" fontId="3" numFmtId="0" xfId="0" applyAlignment="1" applyBorder="1" applyFill="1" applyFont="1">
      <alignment horizontal="center"/>
    </xf>
    <xf borderId="64" fillId="27" fontId="3" numFmtId="164" xfId="0" applyAlignment="1" applyBorder="1" applyFont="1" applyNumberFormat="1">
      <alignment horizontal="center"/>
    </xf>
    <xf borderId="65" fillId="27" fontId="3" numFmtId="164" xfId="0" applyAlignment="1" applyBorder="1" applyFont="1" applyNumberFormat="1">
      <alignment horizontal="center"/>
    </xf>
    <xf borderId="35" fillId="17" fontId="5" numFmtId="0" xfId="0" applyAlignment="1" applyBorder="1" applyFont="1">
      <alignment horizontal="center"/>
    </xf>
    <xf borderId="66" fillId="17" fontId="3" numFmtId="0" xfId="0" applyAlignment="1" applyBorder="1" applyFont="1">
      <alignment vertical="center"/>
    </xf>
    <xf borderId="67" fillId="17" fontId="3" numFmtId="164" xfId="0" applyAlignment="1" applyBorder="1" applyFont="1" applyNumberFormat="1">
      <alignment vertical="center"/>
    </xf>
    <xf borderId="68" fillId="17" fontId="3" numFmtId="0" xfId="0" applyAlignment="1" applyBorder="1" applyFont="1">
      <alignment vertical="center"/>
    </xf>
    <xf borderId="29" fillId="18" fontId="7" numFmtId="0" xfId="0" applyAlignment="1" applyBorder="1" applyFont="1">
      <alignment horizontal="center"/>
    </xf>
    <xf borderId="29" fillId="27" fontId="7" numFmtId="0" xfId="0" applyBorder="1" applyFont="1"/>
    <xf borderId="35" fillId="27" fontId="7" numFmtId="0" xfId="0" applyBorder="1" applyFont="1"/>
    <xf borderId="35" fillId="18" fontId="7" numFmtId="0" xfId="0" applyAlignment="1" applyBorder="1" applyFont="1">
      <alignment horizontal="center"/>
    </xf>
    <xf borderId="63" fillId="7" fontId="3" numFmtId="9" xfId="0" applyAlignment="1" applyBorder="1" applyFont="1" applyNumberFormat="1">
      <alignment horizontal="center"/>
    </xf>
    <xf borderId="63" fillId="7" fontId="3" numFmtId="164" xfId="0" applyBorder="1" applyFont="1" applyNumberFormat="1"/>
    <xf borderId="69" fillId="7" fontId="3" numFmtId="164" xfId="0" applyBorder="1" applyFont="1" applyNumberFormat="1"/>
    <xf borderId="29" fillId="6" fontId="3" numFmtId="0" xfId="0" applyAlignment="1" applyBorder="1" applyFont="1">
      <alignment horizontal="center"/>
    </xf>
    <xf borderId="63" fillId="6" fontId="3" numFmtId="9" xfId="0" applyAlignment="1" applyBorder="1" applyFont="1" applyNumberFormat="1">
      <alignment horizontal="center"/>
    </xf>
    <xf borderId="29" fillId="6" fontId="3" numFmtId="164" xfId="0" applyBorder="1" applyFont="1" applyNumberFormat="1"/>
    <xf borderId="63" fillId="6" fontId="3" numFmtId="164" xfId="0" applyBorder="1" applyFont="1" applyNumberFormat="1"/>
    <xf borderId="0" fillId="17" fontId="8" numFmtId="0" xfId="0" applyAlignment="1" applyFont="1">
      <alignment horizontal="center"/>
    </xf>
    <xf borderId="0" fillId="17" fontId="9" numFmtId="165" xfId="0" applyAlignment="1" applyFont="1" applyNumberFormat="1">
      <alignment horizontal="center"/>
    </xf>
    <xf borderId="0" fillId="17" fontId="4" numFmtId="0" xfId="0" applyAlignment="1" applyFont="1">
      <alignment horizontal="center"/>
    </xf>
    <xf borderId="0" fillId="0" fontId="10" numFmtId="165" xfId="0" applyFont="1" applyNumberFormat="1"/>
    <xf borderId="1" fillId="28" fontId="11" numFmtId="0" xfId="0" applyAlignment="1" applyBorder="1" applyFill="1" applyFont="1">
      <alignment horizontal="center" vertical="center"/>
    </xf>
    <xf borderId="1" fillId="28" fontId="7" numFmtId="0" xfId="0" applyAlignment="1" applyBorder="1" applyFont="1">
      <alignment horizontal="center" vertical="center"/>
    </xf>
    <xf borderId="21" fillId="28" fontId="7" numFmtId="0" xfId="0" applyAlignment="1" applyBorder="1" applyFont="1">
      <alignment horizontal="center" vertical="center"/>
    </xf>
    <xf borderId="70" fillId="0" fontId="2" numFmtId="0" xfId="0" applyBorder="1" applyFont="1"/>
    <xf borderId="71" fillId="0" fontId="2" numFmtId="0" xfId="0" applyBorder="1" applyFont="1"/>
    <xf borderId="7" fillId="9" fontId="3" numFmtId="0" xfId="0" applyAlignment="1" applyBorder="1" applyFont="1">
      <alignment horizontal="center" vertical="center"/>
    </xf>
    <xf borderId="19" fillId="9" fontId="12" numFmtId="165" xfId="0" applyAlignment="1" applyBorder="1" applyFont="1" applyNumberFormat="1">
      <alignment horizontal="center" vertical="center"/>
    </xf>
    <xf borderId="19" fillId="9" fontId="12" numFmtId="0" xfId="0" applyAlignment="1" applyBorder="1" applyFont="1">
      <alignment horizontal="center" vertical="center"/>
    </xf>
    <xf borderId="19" fillId="9" fontId="3" numFmtId="0" xfId="0" applyAlignment="1" applyBorder="1" applyFont="1">
      <alignment horizontal="center" vertical="center"/>
    </xf>
    <xf borderId="72" fillId="9" fontId="12" numFmtId="0" xfId="0" applyAlignment="1" applyBorder="1" applyFont="1">
      <alignment horizontal="center" vertical="center"/>
    </xf>
    <xf borderId="72" fillId="9" fontId="3" numFmtId="0" xfId="0" applyAlignment="1" applyBorder="1" applyFont="1">
      <alignment horizontal="center" vertical="center"/>
    </xf>
    <xf borderId="0" fillId="0" fontId="13" numFmtId="0" xfId="0" applyFont="1"/>
    <xf borderId="37" fillId="9" fontId="3" numFmtId="0" xfId="0" applyAlignment="1" applyBorder="1" applyFont="1">
      <alignment horizontal="center" vertical="center"/>
    </xf>
    <xf borderId="44" fillId="9" fontId="3" numFmtId="0" xfId="0" applyAlignment="1" applyBorder="1" applyFont="1">
      <alignment horizontal="center" vertical="center"/>
    </xf>
    <xf borderId="29" fillId="9" fontId="12" numFmtId="0" xfId="0" applyAlignment="1" applyBorder="1" applyFont="1">
      <alignment horizontal="center" vertical="center"/>
    </xf>
    <xf borderId="73" fillId="29" fontId="12" numFmtId="0" xfId="0" applyAlignment="1" applyBorder="1" applyFill="1" applyFont="1">
      <alignment horizontal="center"/>
    </xf>
    <xf borderId="0" fillId="29" fontId="12" numFmtId="0" xfId="0" applyAlignment="1" applyFont="1">
      <alignment horizontal="center"/>
    </xf>
    <xf borderId="74" fillId="30" fontId="5" numFmtId="0" xfId="0" applyBorder="1" applyFill="1" applyFont="1"/>
    <xf borderId="18" fillId="0" fontId="4" numFmtId="165" xfId="0" applyBorder="1" applyFont="1" applyNumberFormat="1"/>
    <xf borderId="0" fillId="0" fontId="10" numFmtId="0" xfId="0" applyFont="1"/>
    <xf borderId="12" fillId="0" fontId="5" numFmtId="0" xfId="0" applyAlignment="1" applyBorder="1" applyFont="1">
      <alignment horizontal="center"/>
    </xf>
    <xf borderId="72" fillId="17" fontId="5" numFmtId="10" xfId="0" applyAlignment="1" applyBorder="1" applyFont="1" applyNumberFormat="1">
      <alignment horizontal="center"/>
    </xf>
    <xf borderId="72" fillId="17" fontId="5" numFmtId="164" xfId="0" applyAlignment="1" applyBorder="1" applyFont="1" applyNumberFormat="1">
      <alignment horizontal="center"/>
    </xf>
    <xf borderId="0" fillId="0" fontId="14" numFmtId="165" xfId="0" applyAlignment="1" applyFont="1" applyNumberFormat="1">
      <alignment horizontal="right" shrinkToFit="0" vertical="bottom" wrapText="0"/>
    </xf>
    <xf borderId="47" fillId="17" fontId="5" numFmtId="164" xfId="0" applyAlignment="1" applyBorder="1" applyFont="1" applyNumberFormat="1">
      <alignment vertical="center"/>
    </xf>
    <xf borderId="75" fillId="17" fontId="12" numFmtId="164" xfId="0" applyAlignment="1" applyBorder="1" applyFont="1" applyNumberFormat="1">
      <alignment horizontal="right"/>
    </xf>
    <xf borderId="76" fillId="17" fontId="12" numFmtId="164" xfId="0" applyBorder="1" applyFont="1" applyNumberFormat="1"/>
    <xf borderId="0" fillId="0" fontId="5" numFmtId="0" xfId="0" applyFont="1"/>
    <xf borderId="77" fillId="26" fontId="3" numFmtId="0" xfId="0" applyAlignment="1" applyBorder="1" applyFont="1">
      <alignment horizontal="center"/>
    </xf>
    <xf borderId="77" fillId="26" fontId="3" numFmtId="164" xfId="0" applyBorder="1" applyFont="1" applyNumberFormat="1"/>
    <xf borderId="35" fillId="17" fontId="3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15" numFmtId="165" xfId="0" applyAlignment="1" applyFont="1" applyNumberFormat="1">
      <alignment horizontal="left"/>
    </xf>
    <xf borderId="78" fillId="9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vertical="center"/>
    </xf>
    <xf borderId="59" fillId="30" fontId="5" numFmtId="9" xfId="0" applyAlignment="1" applyBorder="1" applyFont="1" applyNumberFormat="1">
      <alignment horizontal="center"/>
    </xf>
    <xf borderId="79" fillId="0" fontId="5" numFmtId="164" xfId="0" applyAlignment="1" applyBorder="1" applyFont="1" applyNumberFormat="1">
      <alignment horizontal="center"/>
    </xf>
    <xf borderId="80" fillId="0" fontId="2" numFmtId="0" xfId="0" applyBorder="1" applyFont="1"/>
    <xf borderId="81" fillId="0" fontId="2" numFmtId="0" xfId="0" applyBorder="1" applyFont="1"/>
    <xf borderId="29" fillId="9" fontId="3" numFmtId="0" xfId="0" applyAlignment="1" applyBorder="1" applyFont="1">
      <alignment horizontal="center" vertical="center"/>
    </xf>
    <xf borderId="74" fillId="30" fontId="5" numFmtId="0" xfId="0" applyAlignment="1" applyBorder="1" applyFont="1">
      <alignment shrinkToFit="0" wrapText="1"/>
    </xf>
    <xf borderId="18" fillId="0" fontId="5" numFmtId="0" xfId="0" applyAlignment="1" applyBorder="1" applyFont="1">
      <alignment horizontal="center" shrinkToFit="0" wrapText="1"/>
    </xf>
    <xf borderId="72" fillId="0" fontId="4" numFmtId="164" xfId="0" applyBorder="1" applyFont="1" applyNumberFormat="1"/>
    <xf borderId="18" fillId="0" fontId="5" numFmtId="0" xfId="0" applyAlignment="1" applyBorder="1" applyFont="1">
      <alignment horizontal="center"/>
    </xf>
    <xf borderId="43" fillId="6" fontId="3" numFmtId="0" xfId="0" applyAlignment="1" applyBorder="1" applyFont="1">
      <alignment horizontal="center"/>
    </xf>
    <xf borderId="82" fillId="6" fontId="3" numFmtId="165" xfId="0" applyAlignment="1" applyBorder="1" applyFont="1" applyNumberFormat="1">
      <alignment horizontal="center"/>
    </xf>
    <xf borderId="0" fillId="0" fontId="4" numFmtId="165" xfId="0" applyFont="1" applyNumberFormat="1"/>
    <xf borderId="0" fillId="28" fontId="11" numFmtId="0" xfId="0" applyAlignment="1" applyFont="1">
      <alignment horizontal="center" vertical="center"/>
    </xf>
    <xf borderId="83" fillId="0" fontId="5" numFmtId="0" xfId="0" applyAlignment="1" applyBorder="1" applyFont="1">
      <alignment horizontal="center"/>
    </xf>
    <xf borderId="7" fillId="9" fontId="12" numFmtId="0" xfId="0" applyAlignment="1" applyBorder="1" applyFont="1">
      <alignment horizontal="center" vertical="center"/>
    </xf>
    <xf borderId="25" fillId="6" fontId="3" numFmtId="0" xfId="0" applyAlignment="1" applyBorder="1" applyFont="1">
      <alignment horizontal="center"/>
    </xf>
    <xf borderId="29" fillId="6" fontId="3" numFmtId="164" xfId="0" applyAlignment="1" applyBorder="1" applyFont="1" applyNumberFormat="1">
      <alignment horizontal="center"/>
    </xf>
    <xf borderId="1" fillId="28" fontId="12" numFmtId="0" xfId="0" applyAlignment="1" applyBorder="1" applyFont="1">
      <alignment horizontal="center" vertical="center"/>
    </xf>
    <xf borderId="0" fillId="31" fontId="16" numFmtId="164" xfId="0" applyAlignment="1" applyFill="1" applyFont="1" applyNumberFormat="1">
      <alignment horizontal="left"/>
    </xf>
    <xf borderId="74" fillId="30" fontId="5" numFmtId="166" xfId="0" applyBorder="1" applyFont="1" applyNumberFormat="1"/>
    <xf borderId="19" fillId="9" fontId="3" numFmtId="165" xfId="0" applyAlignment="1" applyBorder="1" applyFont="1" applyNumberFormat="1">
      <alignment horizontal="center" vertical="center"/>
    </xf>
    <xf borderId="84" fillId="28" fontId="7" numFmtId="0" xfId="0" applyAlignment="1" applyBorder="1" applyFont="1">
      <alignment horizontal="center" vertical="center"/>
    </xf>
    <xf borderId="82" fillId="17" fontId="4" numFmtId="165" xfId="0" applyBorder="1" applyFont="1" applyNumberFormat="1"/>
    <xf borderId="7" fillId="0" fontId="5" numFmtId="0" xfId="0" applyAlignment="1" applyBorder="1" applyFont="1">
      <alignment horizontal="center"/>
    </xf>
    <xf borderId="85" fillId="0" fontId="2" numFmtId="0" xfId="0" applyBorder="1" applyFont="1"/>
    <xf borderId="18" fillId="17" fontId="4" numFmtId="165" xfId="0" applyBorder="1" applyFont="1" applyNumberFormat="1"/>
    <xf borderId="86" fillId="30" fontId="5" numFmtId="0" xfId="0" applyBorder="1" applyFont="1"/>
    <xf borderId="87" fillId="0" fontId="4" numFmtId="164" xfId="0" applyAlignment="1" applyBorder="1" applyFont="1" applyNumberFormat="1">
      <alignment horizontal="center"/>
    </xf>
    <xf borderId="72" fillId="30" fontId="5" numFmtId="0" xfId="0" applyBorder="1" applyFont="1"/>
    <xf borderId="88" fillId="0" fontId="4" numFmtId="164" xfId="0" applyAlignment="1" applyBorder="1" applyFont="1" applyNumberFormat="1">
      <alignment horizontal="center"/>
    </xf>
    <xf borderId="89" fillId="0" fontId="2" numFmtId="0" xfId="0" applyBorder="1" applyFont="1"/>
    <xf borderId="83" fillId="0" fontId="4" numFmtId="164" xfId="0" applyBorder="1" applyFont="1" applyNumberFormat="1"/>
    <xf borderId="72" fillId="27" fontId="3" numFmtId="0" xfId="0" applyBorder="1" applyFont="1"/>
    <xf borderId="88" fillId="27" fontId="3" numFmtId="164" xfId="0" applyAlignment="1" applyBorder="1" applyFont="1" applyNumberFormat="1">
      <alignment horizont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10" fillId="17" fontId="3" numFmtId="0" xfId="0" applyAlignment="1" applyBorder="1" applyFont="1">
      <alignment vertical="center"/>
    </xf>
    <xf borderId="7" fillId="12" fontId="7" numFmtId="0" xfId="0" applyAlignment="1" applyBorder="1" applyFont="1">
      <alignment horizontal="center" vertical="center"/>
    </xf>
    <xf borderId="7" fillId="12" fontId="3" numFmtId="164" xfId="0" applyAlignment="1" applyBorder="1" applyFont="1" applyNumberFormat="1">
      <alignment horizontal="center" vertical="center"/>
    </xf>
    <xf borderId="7" fillId="12" fontId="3" numFmtId="0" xfId="0" applyAlignment="1" applyBorder="1" applyFont="1">
      <alignment horizontal="center" vertical="center"/>
    </xf>
    <xf borderId="82" fillId="0" fontId="2" numFmtId="0" xfId="0" applyBorder="1" applyFont="1"/>
    <xf borderId="7" fillId="4" fontId="11" numFmtId="0" xfId="0" applyAlignment="1" applyBorder="1" applyFont="1">
      <alignment horizontal="center" vertical="center"/>
    </xf>
    <xf borderId="19" fillId="6" fontId="3" numFmtId="0" xfId="0" applyAlignment="1" applyBorder="1" applyFont="1">
      <alignment horizontal="center"/>
    </xf>
    <xf borderId="7" fillId="32" fontId="5" numFmtId="9" xfId="0" applyAlignment="1" applyBorder="1" applyFill="1" applyFont="1" applyNumberFormat="1">
      <alignment horizontal="center" vertical="center"/>
    </xf>
    <xf borderId="19" fillId="5" fontId="3" numFmtId="164" xfId="0" applyBorder="1" applyFont="1" applyNumberFormat="1"/>
    <xf borderId="7" fillId="4" fontId="3" numFmtId="164" xfId="0" applyAlignment="1" applyBorder="1" applyFont="1" applyNumberFormat="1">
      <alignment horizontal="center" vertical="center"/>
    </xf>
    <xf borderId="19" fillId="26" fontId="3" numFmtId="0" xfId="0" applyAlignment="1" applyBorder="1" applyFont="1">
      <alignment horizontal="center"/>
    </xf>
    <xf borderId="19" fillId="33" fontId="5" numFmtId="164" xfId="0" applyBorder="1" applyFill="1" applyFont="1" applyNumberFormat="1"/>
    <xf borderId="83" fillId="0" fontId="4" numFmtId="165" xfId="0" applyBorder="1" applyFont="1" applyNumberFormat="1"/>
    <xf borderId="0" fillId="0" fontId="5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6" fillId="28" fontId="3" numFmtId="0" xfId="0" applyAlignment="1" applyBorder="1" applyFont="1">
      <alignment horizontal="center" vertical="center"/>
    </xf>
    <xf borderId="7" fillId="28" fontId="3" numFmtId="0" xfId="0" applyAlignment="1" applyBorder="1" applyFont="1">
      <alignment horizontal="center" vertical="center"/>
    </xf>
    <xf borderId="90" fillId="28" fontId="3" numFmtId="0" xfId="0" applyAlignment="1" applyBorder="1" applyFont="1">
      <alignment horizontal="center" vertical="center"/>
    </xf>
    <xf borderId="91" fillId="0" fontId="2" numFmtId="0" xfId="0" applyBorder="1" applyFont="1"/>
    <xf borderId="83" fillId="0" fontId="2" numFmtId="0" xfId="0" applyBorder="1" applyFont="1"/>
    <xf borderId="92" fillId="28" fontId="3" numFmtId="0" xfId="0" applyAlignment="1" applyBorder="1" applyFont="1">
      <alignment horizontal="center" vertical="center"/>
    </xf>
    <xf borderId="79" fillId="0" fontId="2" numFmtId="0" xfId="0" applyBorder="1" applyFont="1"/>
    <xf borderId="93" fillId="0" fontId="2" numFmtId="0" xfId="0" applyBorder="1" applyFont="1"/>
    <xf borderId="44" fillId="3" fontId="3" numFmtId="0" xfId="0" applyAlignment="1" applyBorder="1" applyFont="1">
      <alignment horizontal="center" vertical="center"/>
    </xf>
    <xf borderId="94" fillId="3" fontId="3" numFmtId="0" xfId="0" applyAlignment="1" applyBorder="1" applyFont="1">
      <alignment horizontal="center" vertical="center"/>
    </xf>
    <xf borderId="95" fillId="0" fontId="2" numFmtId="0" xfId="0" applyBorder="1" applyFont="1"/>
    <xf borderId="29" fillId="3" fontId="3" numFmtId="0" xfId="0" applyAlignment="1" applyBorder="1" applyFont="1">
      <alignment horizontal="center" vertical="center"/>
    </xf>
    <xf borderId="63" fillId="3" fontId="3" numFmtId="0" xfId="0" applyAlignment="1" applyBorder="1" applyFont="1">
      <alignment horizontal="center" vertical="center"/>
    </xf>
    <xf borderId="37" fillId="17" fontId="5" numFmtId="0" xfId="0" applyAlignment="1" applyBorder="1" applyFont="1">
      <alignment horizontal="center" vertical="center"/>
    </xf>
    <xf borderId="37" fillId="0" fontId="5" numFmtId="164" xfId="0" applyAlignment="1" applyBorder="1" applyFont="1" applyNumberFormat="1">
      <alignment horizontal="center" vertical="center"/>
    </xf>
    <xf borderId="35" fillId="34" fontId="5" numFmtId="9" xfId="0" applyAlignment="1" applyBorder="1" applyFill="1" applyFont="1" applyNumberFormat="1">
      <alignment horizontal="center"/>
    </xf>
    <xf borderId="96" fillId="34" fontId="5" numFmtId="9" xfId="0" applyAlignment="1" applyBorder="1" applyFont="1" applyNumberFormat="1">
      <alignment horizontal="center"/>
    </xf>
    <xf borderId="97" fillId="0" fontId="2" numFmtId="0" xfId="0" applyBorder="1" applyFont="1"/>
    <xf borderId="0" fillId="0" fontId="5" numFmtId="164" xfId="0" applyFont="1" applyNumberFormat="1"/>
    <xf borderId="56" fillId="17" fontId="5" numFmtId="164" xfId="0" applyBorder="1" applyFont="1" applyNumberFormat="1"/>
    <xf borderId="98" fillId="17" fontId="5" numFmtId="164" xfId="0" applyAlignment="1" applyBorder="1" applyFont="1" applyNumberFormat="1">
      <alignment horizontal="center"/>
    </xf>
    <xf borderId="99" fillId="0" fontId="2" numFmtId="0" xfId="0" applyBorder="1" applyFont="1"/>
    <xf borderId="19" fillId="17" fontId="5" numFmtId="164" xfId="0" applyBorder="1" applyFont="1" applyNumberFormat="1"/>
    <xf borderId="100" fillId="30" fontId="5" numFmtId="0" xfId="0" applyAlignment="1" applyBorder="1" applyFont="1">
      <alignment horizontal="center" vertical="center"/>
    </xf>
    <xf borderId="48" fillId="30" fontId="5" numFmtId="164" xfId="0" applyAlignment="1" applyBorder="1" applyFont="1" applyNumberFormat="1">
      <alignment horizontal="center" vertical="center"/>
    </xf>
    <xf borderId="101" fillId="30" fontId="5" numFmtId="0" xfId="0" applyAlignment="1" applyBorder="1" applyFont="1">
      <alignment horizontal="center" vertical="center"/>
    </xf>
    <xf borderId="9" fillId="30" fontId="5" numFmtId="164" xfId="0" applyAlignment="1" applyBorder="1" applyFont="1" applyNumberFormat="1">
      <alignment horizontal="center" vertical="center"/>
    </xf>
    <xf borderId="102" fillId="30" fontId="5" numFmtId="164" xfId="0" applyAlignment="1" applyBorder="1" applyFont="1" applyNumberFormat="1">
      <alignment horizontal="center"/>
    </xf>
    <xf borderId="7" fillId="30" fontId="5" numFmtId="164" xfId="0" applyAlignment="1" applyBorder="1" applyFont="1" applyNumberFormat="1">
      <alignment horizontal="center" vertical="center"/>
    </xf>
    <xf borderId="103" fillId="0" fontId="2" numFmtId="0" xfId="0" applyBorder="1" applyFont="1"/>
    <xf borderId="104" fillId="0" fontId="2" numFmtId="0" xfId="0" applyBorder="1" applyFont="1"/>
    <xf borderId="9" fillId="17" fontId="5" numFmtId="0" xfId="0" applyAlignment="1" applyBorder="1" applyFont="1">
      <alignment horizontal="center" vertical="center"/>
    </xf>
    <xf borderId="91" fillId="0" fontId="5" numFmtId="164" xfId="0" applyAlignment="1" applyBorder="1" applyFont="1" applyNumberFormat="1">
      <alignment horizontal="center" vertical="center"/>
    </xf>
    <xf borderId="83" fillId="0" fontId="5" numFmtId="0" xfId="0" applyAlignment="1" applyBorder="1" applyFont="1">
      <alignment horizontal="center" vertical="center"/>
    </xf>
    <xf borderId="9" fillId="17" fontId="5" numFmtId="164" xfId="0" applyAlignment="1" applyBorder="1" applyFont="1" applyNumberFormat="1">
      <alignment horizontal="center" vertical="center"/>
    </xf>
    <xf borderId="7" fillId="0" fontId="5" numFmtId="164" xfId="0" applyAlignment="1" applyBorder="1" applyFont="1" applyNumberFormat="1">
      <alignment horizontal="center"/>
    </xf>
    <xf borderId="9" fillId="30" fontId="5" numFmtId="0" xfId="0" applyAlignment="1" applyBorder="1" applyFont="1">
      <alignment horizontal="center" vertical="center"/>
    </xf>
    <xf borderId="8" fillId="30" fontId="5" numFmtId="164" xfId="0" applyAlignment="1" applyBorder="1" applyFont="1" applyNumberFormat="1">
      <alignment horizontal="center" vertical="center"/>
    </xf>
    <xf borderId="38" fillId="30" fontId="5" numFmtId="0" xfId="0" applyAlignment="1" applyBorder="1" applyFont="1">
      <alignment horizontal="center" vertical="center"/>
    </xf>
    <xf borderId="7" fillId="30" fontId="5" numFmtId="164" xfId="0" applyAlignment="1" applyBorder="1" applyFont="1" applyNumberFormat="1">
      <alignment horizontal="center"/>
    </xf>
    <xf borderId="90" fillId="30" fontId="5" numFmtId="164" xfId="0" applyAlignment="1" applyBorder="1" applyFont="1" applyNumberFormat="1">
      <alignment horizontal="center" vertical="center"/>
    </xf>
    <xf borderId="43" fillId="0" fontId="2" numFmtId="0" xfId="0" applyBorder="1" applyFont="1"/>
    <xf borderId="91" fillId="0" fontId="5" numFmtId="164" xfId="0" applyAlignment="1" applyBorder="1" applyFont="1" applyNumberFormat="1">
      <alignment horizontal="center"/>
    </xf>
    <xf borderId="7" fillId="0" fontId="5" numFmtId="164" xfId="0" applyAlignment="1" applyBorder="1" applyFont="1" applyNumberFormat="1">
      <alignment horizontal="center" vertical="center"/>
    </xf>
    <xf borderId="90" fillId="0" fontId="5" numFmtId="164" xfId="0" applyAlignment="1" applyBorder="1" applyFont="1" applyNumberFormat="1">
      <alignment horizontal="center" vertical="center"/>
    </xf>
    <xf borderId="1" fillId="28" fontId="3" numFmtId="0" xfId="0" applyAlignment="1" applyBorder="1" applyFont="1">
      <alignment horizontal="center" vertical="center"/>
    </xf>
    <xf borderId="44" fillId="3" fontId="3" numFmtId="0" xfId="0" applyAlignment="1" applyBorder="1" applyFont="1">
      <alignment horizontal="center"/>
    </xf>
    <xf borderId="29" fillId="0" fontId="5" numFmtId="0" xfId="0" applyBorder="1" applyFont="1"/>
    <xf borderId="96" fillId="8" fontId="5" numFmtId="164" xfId="0" applyAlignment="1" applyBorder="1" applyFont="1" applyNumberFormat="1">
      <alignment horizontal="center"/>
    </xf>
    <xf borderId="29" fillId="30" fontId="5" numFmtId="0" xfId="0" applyBorder="1" applyFont="1"/>
    <xf borderId="19" fillId="30" fontId="5" numFmtId="0" xfId="0" applyBorder="1" applyFont="1"/>
    <xf borderId="19" fillId="0" fontId="4" numFmtId="1" xfId="0" applyAlignment="1" applyBorder="1" applyFont="1" applyNumberFormat="1">
      <alignment horizontal="center"/>
    </xf>
    <xf borderId="96" fillId="35" fontId="5" numFmtId="164" xfId="0" applyAlignment="1" applyBorder="1" applyFill="1" applyFont="1" applyNumberFormat="1">
      <alignment horizontal="center"/>
    </xf>
    <xf borderId="0" fillId="0" fontId="3" numFmtId="0" xfId="0" applyFont="1"/>
    <xf borderId="16" fillId="5" fontId="3" numFmtId="0" xfId="0" applyAlignment="1" applyBorder="1" applyFont="1">
      <alignment horizontal="center"/>
    </xf>
    <xf borderId="16" fillId="5" fontId="3" numFmtId="164" xfId="0" applyAlignment="1" applyBorder="1" applyFont="1" applyNumberFormat="1">
      <alignment horizontal="center"/>
    </xf>
    <xf borderId="96" fillId="17" fontId="3" numFmtId="164" xfId="0" applyAlignment="1" applyBorder="1" applyFont="1" applyNumberFormat="1">
      <alignment horizontal="center"/>
    </xf>
    <xf borderId="35" fillId="17" fontId="13" numFmtId="0" xfId="0" applyBorder="1" applyFont="1"/>
    <xf borderId="19" fillId="3" fontId="3" numFmtId="0" xfId="0" applyAlignment="1" applyBorder="1" applyFont="1">
      <alignment horizontal="center"/>
    </xf>
    <xf borderId="19" fillId="3" fontId="3" numFmtId="164" xfId="0" applyAlignment="1" applyBorder="1" applyFont="1" applyNumberFormat="1">
      <alignment horizontal="center"/>
    </xf>
    <xf borderId="0" fillId="0" fontId="5" numFmtId="9" xfId="0" applyAlignment="1" applyFont="1" applyNumberFormat="1">
      <alignment horizontal="center"/>
    </xf>
    <xf borderId="96" fillId="17" fontId="4" numFmtId="164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 vertical="center"/>
    </xf>
    <xf borderId="16" fillId="3" fontId="5" numFmtId="0" xfId="0" applyAlignment="1" applyBorder="1" applyFont="1">
      <alignment horizontal="center"/>
    </xf>
    <xf borderId="0" fillId="0" fontId="17" numFmtId="164" xfId="0" applyAlignment="1" applyFont="1" applyNumberFormat="1">
      <alignment horizont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2" width="16.57"/>
    <col customWidth="1" min="3" max="4" width="13.57"/>
    <col customWidth="1" min="5" max="5" width="12.14"/>
    <col customWidth="1" min="6" max="6" width="11.57"/>
    <col customWidth="1" min="7" max="8" width="12.57"/>
    <col customWidth="1" min="9" max="10" width="15.29"/>
    <col customWidth="1" min="11" max="11" width="13.57"/>
    <col customWidth="1" min="12" max="12" width="12.86"/>
    <col customWidth="1" min="13" max="13" width="14.86"/>
    <col customWidth="1" min="14" max="14" width="14.14"/>
    <col customWidth="1" min="15" max="15" width="3.86"/>
    <col customWidth="1" min="16" max="16" width="23.71"/>
    <col customWidth="1" min="17" max="17" width="8.71"/>
  </cols>
  <sheetData>
    <row r="1" ht="14.25" customHeight="1">
      <c r="F1" s="1" t="s">
        <v>0</v>
      </c>
      <c r="G1" s="2"/>
      <c r="H1" s="2"/>
      <c r="I1" s="2"/>
      <c r="J1" s="2"/>
    </row>
    <row r="2" ht="14.25" customHeight="1">
      <c r="F2" s="3"/>
      <c r="G2" s="4"/>
      <c r="H2" s="4"/>
      <c r="I2" s="4"/>
      <c r="J2" s="4"/>
    </row>
    <row r="3" ht="14.25" customHeight="1">
      <c r="A3" s="5" t="s">
        <v>1</v>
      </c>
      <c r="B3" s="6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9" t="s">
        <v>14</v>
      </c>
      <c r="O3" s="10"/>
      <c r="P3" s="11" t="s">
        <v>15</v>
      </c>
      <c r="Q3" s="12"/>
    </row>
    <row r="4" ht="14.25" customHeight="1">
      <c r="A4" s="13"/>
      <c r="B4" s="14"/>
      <c r="C4" s="15"/>
      <c r="D4" s="16"/>
      <c r="E4" s="15"/>
      <c r="F4" s="15"/>
      <c r="G4" s="15"/>
      <c r="H4" s="15"/>
      <c r="I4" s="15"/>
      <c r="J4" s="15"/>
      <c r="K4" s="15"/>
      <c r="L4" s="15"/>
      <c r="M4" s="15"/>
      <c r="N4" s="17"/>
      <c r="O4" s="10"/>
      <c r="P4" s="16"/>
      <c r="Q4" s="12"/>
    </row>
    <row r="5" ht="14.25" customHeight="1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1"/>
    </row>
    <row r="6" ht="14.25" customHeight="1">
      <c r="A6" s="22" t="s">
        <v>16</v>
      </c>
      <c r="B6" s="23" t="s">
        <v>17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  <c r="P6" s="25">
        <f t="shared" ref="P6:P27" si="1">SUM(C6:N6)</f>
        <v>0</v>
      </c>
    </row>
    <row r="7" ht="14.25" customHeight="1">
      <c r="A7" s="22" t="s">
        <v>18</v>
      </c>
      <c r="B7" s="23" t="s">
        <v>17</v>
      </c>
      <c r="C7" s="24"/>
      <c r="D7" s="24">
        <v>0.0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4">
        <v>0.0</v>
      </c>
      <c r="L7" s="24">
        <v>0.0</v>
      </c>
      <c r="M7" s="24">
        <v>0.0</v>
      </c>
      <c r="N7" s="24"/>
      <c r="O7" s="25"/>
      <c r="P7" s="25">
        <f t="shared" si="1"/>
        <v>0</v>
      </c>
    </row>
    <row r="8" ht="14.25" customHeight="1">
      <c r="A8" s="22" t="s">
        <v>19</v>
      </c>
      <c r="B8" s="23" t="s">
        <v>17</v>
      </c>
      <c r="C8" s="24"/>
      <c r="D8" s="24">
        <v>0.0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4">
        <v>0.0</v>
      </c>
      <c r="L8" s="24">
        <v>0.0</v>
      </c>
      <c r="M8" s="24">
        <v>0.0</v>
      </c>
      <c r="N8" s="24"/>
      <c r="O8" s="25"/>
      <c r="P8" s="25">
        <f t="shared" si="1"/>
        <v>0</v>
      </c>
    </row>
    <row r="9" ht="14.25" customHeight="1">
      <c r="A9" s="22" t="s">
        <v>20</v>
      </c>
      <c r="B9" s="23" t="s">
        <v>17</v>
      </c>
      <c r="C9" s="24"/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24">
        <v>0.0</v>
      </c>
      <c r="J9" s="24">
        <v>0.0</v>
      </c>
      <c r="K9" s="24">
        <v>0.0</v>
      </c>
      <c r="L9" s="24">
        <v>0.0</v>
      </c>
      <c r="M9" s="24">
        <v>0.0</v>
      </c>
      <c r="N9" s="24"/>
      <c r="O9" s="25"/>
      <c r="P9" s="25">
        <f t="shared" si="1"/>
        <v>0</v>
      </c>
    </row>
    <row r="10" ht="14.25" customHeight="1">
      <c r="A10" s="22" t="s">
        <v>21</v>
      </c>
      <c r="B10" s="23" t="s">
        <v>17</v>
      </c>
      <c r="C10" s="24"/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/>
      <c r="O10" s="25"/>
      <c r="P10" s="25">
        <f t="shared" si="1"/>
        <v>0</v>
      </c>
    </row>
    <row r="11" ht="14.25" customHeight="1">
      <c r="A11" s="22" t="s">
        <v>22</v>
      </c>
      <c r="B11" s="23" t="s">
        <v>17</v>
      </c>
      <c r="C11" s="24"/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/>
      <c r="O11" s="25"/>
      <c r="P11" s="25">
        <f t="shared" si="1"/>
        <v>0</v>
      </c>
    </row>
    <row r="12" ht="14.25" customHeight="1">
      <c r="A12" s="22" t="s">
        <v>23</v>
      </c>
      <c r="B12" s="23" t="s">
        <v>17</v>
      </c>
      <c r="C12" s="24"/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/>
      <c r="O12" s="25"/>
      <c r="P12" s="25">
        <f t="shared" si="1"/>
        <v>0</v>
      </c>
    </row>
    <row r="13" ht="14.25" customHeight="1">
      <c r="A13" s="22" t="s">
        <v>24</v>
      </c>
      <c r="B13" s="23" t="s">
        <v>25</v>
      </c>
      <c r="C13" s="24"/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/>
      <c r="O13" s="25"/>
      <c r="P13" s="25">
        <f t="shared" si="1"/>
        <v>0</v>
      </c>
    </row>
    <row r="14" ht="14.25" customHeight="1">
      <c r="A14" s="22" t="s">
        <v>26</v>
      </c>
      <c r="B14" s="23"/>
      <c r="C14" s="24"/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/>
      <c r="O14" s="25"/>
      <c r="P14" s="25">
        <f t="shared" si="1"/>
        <v>0</v>
      </c>
    </row>
    <row r="15" ht="14.25" customHeight="1">
      <c r="A15" s="22" t="s">
        <v>27</v>
      </c>
      <c r="B15" s="23" t="s">
        <v>17</v>
      </c>
      <c r="C15" s="24"/>
      <c r="D15" s="24">
        <v>0.0</v>
      </c>
      <c r="E15" s="24">
        <v>0.0</v>
      </c>
      <c r="F15" s="24">
        <v>0.0</v>
      </c>
      <c r="G15" s="24">
        <v>0.0</v>
      </c>
      <c r="H15" s="24">
        <v>0.0</v>
      </c>
      <c r="I15" s="24">
        <v>0.0</v>
      </c>
      <c r="J15" s="24">
        <v>0.0</v>
      </c>
      <c r="K15" s="24">
        <v>0.0</v>
      </c>
      <c r="L15" s="24">
        <v>0.0</v>
      </c>
      <c r="M15" s="24">
        <v>0.0</v>
      </c>
      <c r="N15" s="24"/>
      <c r="O15" s="25"/>
      <c r="P15" s="25">
        <f t="shared" si="1"/>
        <v>0</v>
      </c>
    </row>
    <row r="16" ht="14.25" customHeight="1">
      <c r="A16" s="22" t="s">
        <v>28</v>
      </c>
      <c r="B16" s="23" t="s">
        <v>17</v>
      </c>
      <c r="C16" s="24"/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0.0</v>
      </c>
      <c r="J16" s="24">
        <v>0.0</v>
      </c>
      <c r="K16" s="24">
        <v>0.0</v>
      </c>
      <c r="L16" s="24">
        <v>0.0</v>
      </c>
      <c r="M16" s="24">
        <v>0.0</v>
      </c>
      <c r="N16" s="24"/>
      <c r="O16" s="25"/>
      <c r="P16" s="25">
        <f t="shared" si="1"/>
        <v>0</v>
      </c>
    </row>
    <row r="17" ht="14.25" customHeight="1">
      <c r="A17" s="22" t="s">
        <v>29</v>
      </c>
      <c r="B17" s="23" t="s">
        <v>30</v>
      </c>
      <c r="C17" s="24"/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/>
      <c r="M17" s="24">
        <v>0.0</v>
      </c>
      <c r="N17" s="24"/>
      <c r="O17" s="25"/>
      <c r="P17" s="25">
        <f t="shared" si="1"/>
        <v>0</v>
      </c>
    </row>
    <row r="18" ht="14.25" customHeight="1">
      <c r="A18" s="22" t="s">
        <v>31</v>
      </c>
      <c r="B18" s="23" t="s">
        <v>30</v>
      </c>
      <c r="C18" s="24"/>
      <c r="D18" s="24">
        <v>0.0</v>
      </c>
      <c r="E18" s="24">
        <v>0.0</v>
      </c>
      <c r="F18" s="24">
        <v>0.0</v>
      </c>
      <c r="G18" s="24">
        <v>0.0</v>
      </c>
      <c r="H18" s="24">
        <v>0.0</v>
      </c>
      <c r="I18" s="24">
        <v>0.0</v>
      </c>
      <c r="J18" s="24">
        <v>0.0</v>
      </c>
      <c r="K18" s="24">
        <v>0.0</v>
      </c>
      <c r="L18" s="24"/>
      <c r="M18" s="24">
        <v>0.0</v>
      </c>
      <c r="N18" s="24"/>
      <c r="O18" s="25"/>
      <c r="P18" s="25">
        <f t="shared" si="1"/>
        <v>0</v>
      </c>
    </row>
    <row r="19" ht="14.25" customHeight="1">
      <c r="A19" s="22"/>
      <c r="B19" s="23"/>
      <c r="C19" s="24"/>
      <c r="D19" s="24" t="str">
        <f>SUM(MAIO!N24+Junho!N24+JULHO!N24+AGOSTO!N24+SETEMBRO!M21+OUTUBRO!M21+NOVEMBRO!O24+DEZEMBRO!O24+'JANEIRO/23'!O24+'Fevereiro/23'!O25+'Março/23'!O25+'Abril/23'!O27+'Maio/23'!O26)</f>
        <v>#REF!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25" t="str">
        <f t="shared" si="1"/>
        <v>#REF!</v>
      </c>
    </row>
    <row r="20" ht="14.25" customHeight="1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5">
        <f t="shared" si="1"/>
        <v>0</v>
      </c>
    </row>
    <row r="21" ht="14.25" customHeight="1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5">
        <f t="shared" si="1"/>
        <v>0</v>
      </c>
    </row>
    <row r="22" ht="14.25" customHeight="1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5">
        <f t="shared" si="1"/>
        <v>0</v>
      </c>
    </row>
    <row r="23" ht="14.25" customHeight="1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5">
        <f t="shared" si="1"/>
        <v>0</v>
      </c>
    </row>
    <row r="24" ht="14.25" customHeight="1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5">
        <f t="shared" si="1"/>
        <v>0</v>
      </c>
    </row>
    <row r="25" ht="14.25" customHeight="1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5">
        <f t="shared" si="1"/>
        <v>0</v>
      </c>
    </row>
    <row r="26" ht="14.25" customHeight="1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5">
        <f t="shared" si="1"/>
        <v>0</v>
      </c>
    </row>
    <row r="27" ht="14.25" customHeight="1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5">
        <f t="shared" si="1"/>
        <v>0</v>
      </c>
    </row>
    <row r="28" ht="14.25" customHeight="1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6"/>
    </row>
    <row r="29" ht="14.25" customHeight="1">
      <c r="A29" s="27" t="s">
        <v>32</v>
      </c>
      <c r="B29" s="20"/>
      <c r="C29" s="28">
        <f t="shared" ref="C29:N29" si="2">SUM(C6:C27)</f>
        <v>0</v>
      </c>
      <c r="D29" s="28" t="str">
        <f t="shared" si="2"/>
        <v>#REF!</v>
      </c>
      <c r="E29" s="28">
        <f t="shared" si="2"/>
        <v>0</v>
      </c>
      <c r="F29" s="28">
        <f t="shared" si="2"/>
        <v>0</v>
      </c>
      <c r="G29" s="28">
        <f t="shared" si="2"/>
        <v>0</v>
      </c>
      <c r="H29" s="28">
        <f t="shared" si="2"/>
        <v>0</v>
      </c>
      <c r="I29" s="28">
        <f t="shared" si="2"/>
        <v>0</v>
      </c>
      <c r="J29" s="28">
        <f t="shared" si="2"/>
        <v>0</v>
      </c>
      <c r="K29" s="29">
        <f t="shared" si="2"/>
        <v>0</v>
      </c>
      <c r="L29" s="29">
        <f t="shared" si="2"/>
        <v>0</v>
      </c>
      <c r="M29" s="29">
        <f t="shared" si="2"/>
        <v>0</v>
      </c>
      <c r="N29" s="29">
        <f t="shared" si="2"/>
        <v>0</v>
      </c>
      <c r="O29" s="30"/>
      <c r="P29" s="26"/>
    </row>
    <row r="30" ht="14.25" customHeight="1">
      <c r="A30" s="21"/>
      <c r="B30" s="21"/>
      <c r="K30" s="31" t="s">
        <v>33</v>
      </c>
      <c r="L30" s="32"/>
      <c r="M30" s="33" t="str">
        <f>SUM(C29:N29)</f>
        <v>#REF!</v>
      </c>
      <c r="N30" s="34"/>
    </row>
    <row r="31" ht="14.25" customHeight="1">
      <c r="A31" s="35" t="s">
        <v>32</v>
      </c>
      <c r="B31" s="35"/>
      <c r="C31" s="35"/>
      <c r="D31" s="35"/>
      <c r="E31" s="35"/>
      <c r="F31" s="35"/>
      <c r="G31" s="35"/>
      <c r="H31" s="35"/>
      <c r="I31" s="35"/>
      <c r="J31" s="35"/>
      <c r="K31" s="36"/>
      <c r="L31" s="37"/>
      <c r="M31" s="38"/>
      <c r="N31" s="39"/>
      <c r="O31" s="40"/>
    </row>
    <row r="32" ht="14.25" customHeight="1">
      <c r="A32" s="41" t="s">
        <v>34</v>
      </c>
      <c r="B32" s="42">
        <v>0.7</v>
      </c>
      <c r="C32" s="43">
        <f>SUM(C29*B32)</f>
        <v>0</v>
      </c>
      <c r="D32" s="43" t="str">
        <f>SUM(D29*B32)</f>
        <v>#REF!</v>
      </c>
      <c r="E32" s="43">
        <f>SUM(E29*B32)</f>
        <v>0</v>
      </c>
      <c r="F32" s="43">
        <f>SUM(F29*B32)</f>
        <v>0</v>
      </c>
      <c r="G32" s="43">
        <f>SUM(G29*B32)</f>
        <v>0</v>
      </c>
      <c r="H32" s="43">
        <f>SUM(H29*B32)</f>
        <v>0</v>
      </c>
      <c r="I32" s="43">
        <f>SUM(I29*B32)</f>
        <v>0</v>
      </c>
      <c r="J32" s="43">
        <f>SUM(J29*B32)</f>
        <v>0</v>
      </c>
      <c r="K32" s="44" t="s">
        <v>35</v>
      </c>
      <c r="L32" s="45"/>
      <c r="M32" s="46" t="str">
        <f t="shared" ref="M32:M33" si="4">SUM(M30*B32)</f>
        <v>#REF!</v>
      </c>
      <c r="N32" s="47"/>
    </row>
    <row r="33" ht="14.25" customHeight="1">
      <c r="A33" s="48" t="s">
        <v>36</v>
      </c>
      <c r="B33" s="42">
        <v>0.3</v>
      </c>
      <c r="C33" s="49">
        <f>SUM(C29*B33)</f>
        <v>0</v>
      </c>
      <c r="D33" s="49" t="str">
        <f t="shared" ref="D33:J33" si="3">SUM(D29*B33)</f>
        <v>#REF!</v>
      </c>
      <c r="E33" s="49">
        <f t="shared" si="3"/>
        <v>0</v>
      </c>
      <c r="F33" s="49" t="str">
        <f t="shared" si="3"/>
        <v>#REF!</v>
      </c>
      <c r="G33" s="49">
        <f t="shared" si="3"/>
        <v>0</v>
      </c>
      <c r="H33" s="49" t="str">
        <f t="shared" si="3"/>
        <v>#REF!</v>
      </c>
      <c r="I33" s="49">
        <f t="shared" si="3"/>
        <v>0</v>
      </c>
      <c r="J33" s="49" t="str">
        <f t="shared" si="3"/>
        <v>#REF!</v>
      </c>
      <c r="K33" s="50" t="s">
        <v>37</v>
      </c>
      <c r="L33" s="45"/>
      <c r="M33" s="46">
        <f t="shared" si="4"/>
        <v>0</v>
      </c>
      <c r="N33" s="47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I3:I4"/>
    <mergeCell ref="J3:J4"/>
    <mergeCell ref="K3:K4"/>
    <mergeCell ref="L3:L4"/>
    <mergeCell ref="M3:M4"/>
    <mergeCell ref="N3:N4"/>
    <mergeCell ref="P3:P4"/>
    <mergeCell ref="F1:J2"/>
    <mergeCell ref="A3:A4"/>
    <mergeCell ref="B3:B4"/>
    <mergeCell ref="C3:C4"/>
    <mergeCell ref="D3:D4"/>
    <mergeCell ref="E3:E4"/>
    <mergeCell ref="F3:F4"/>
    <mergeCell ref="A5:N5"/>
    <mergeCell ref="K33:L33"/>
    <mergeCell ref="M33:N33"/>
    <mergeCell ref="G3:G4"/>
    <mergeCell ref="H3:H4"/>
    <mergeCell ref="A29:B29"/>
    <mergeCell ref="K30:L31"/>
    <mergeCell ref="M30:N31"/>
    <mergeCell ref="K32:L32"/>
    <mergeCell ref="M32:N32"/>
  </mergeCells>
  <conditionalFormatting sqref="B6:B28">
    <cfRule type="containsText" dxfId="0" priority="1" operator="containsText" text="Serviços ">
      <formula>NOT(ISERROR(SEARCH(("Serviços "),(B6))))</formula>
    </cfRule>
  </conditionalFormatting>
  <conditionalFormatting sqref="B7">
    <cfRule type="containsText" dxfId="1" priority="2" operator="containsText" text="Ferramentas ">
      <formula>NOT(ISERROR(SEARCH(("Ferramentas "),(B7))))</formula>
    </cfRule>
  </conditionalFormatting>
  <conditionalFormatting sqref="B6:B28">
    <cfRule type="containsText" dxfId="1" priority="3" operator="containsText" text="Ferramentas ">
      <formula>NOT(ISERROR(SEARCH(("Ferramentas "),(B6))))</formula>
    </cfRule>
  </conditionalFormatting>
  <dataValidations>
    <dataValidation type="list" allowBlank="1" showErrorMessage="1" sqref="B6:B28">
      <formula1>'DADOS_NÃO_ALTERE_'!$B$2:$B$5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35.57"/>
    <col customWidth="1" min="2" max="2" width="24.0"/>
    <col customWidth="1" min="3" max="3" width="15.29"/>
    <col customWidth="1" min="4" max="4" width="15.71"/>
    <col customWidth="1" min="5" max="5" width="14.14"/>
    <col customWidth="1" min="6" max="6" width="16.0"/>
    <col customWidth="1" min="7" max="7" width="15.0"/>
    <col customWidth="1" min="8" max="8" width="15.71"/>
    <col customWidth="1" min="9" max="9" width="13.29"/>
    <col customWidth="1" min="10" max="10" width="15.57"/>
    <col customWidth="1" min="11" max="11" width="14.57"/>
    <col customWidth="1" min="12" max="12" width="15.57"/>
    <col customWidth="1" min="13" max="13" width="13.29"/>
    <col customWidth="1" min="14" max="14" width="18.0"/>
    <col customWidth="1" min="15" max="15" width="13.57"/>
    <col customWidth="1" min="16" max="16" width="15.57"/>
    <col customWidth="1" min="17" max="17" width="13.57"/>
    <col customWidth="1" min="18" max="18" width="15.57"/>
    <col customWidth="1" min="19" max="19" width="13.57"/>
    <col customWidth="1" min="20" max="20" width="15.57"/>
    <col customWidth="1" min="21" max="21" width="12.86"/>
    <col customWidth="1" min="22" max="22" width="15.57"/>
    <col customWidth="1" min="23" max="23" width="14.86"/>
    <col customWidth="1" min="24" max="24" width="15.57"/>
    <col customWidth="1" min="25" max="25" width="14.86"/>
    <col customWidth="1" min="26" max="27" width="15.57"/>
    <col customWidth="1" min="28" max="28" width="8.71"/>
  </cols>
  <sheetData>
    <row r="1" ht="14.25" customHeight="1">
      <c r="G1" s="1" t="s">
        <v>38</v>
      </c>
      <c r="H1" s="2"/>
      <c r="I1" s="2"/>
      <c r="J1" s="2"/>
      <c r="K1" s="2"/>
      <c r="L1" s="2"/>
      <c r="M1" s="2"/>
    </row>
    <row r="2" ht="14.25" customHeight="1">
      <c r="G2" s="51"/>
    </row>
    <row r="3" ht="14.25" customHeight="1">
      <c r="A3" s="52"/>
      <c r="B3" s="52"/>
      <c r="C3" s="52"/>
      <c r="D3" s="52"/>
      <c r="E3" s="52"/>
      <c r="F3" s="52"/>
      <c r="G3" s="53"/>
      <c r="H3" s="53"/>
      <c r="I3" s="53"/>
      <c r="J3" s="53"/>
      <c r="K3" s="53"/>
      <c r="L3" s="53"/>
      <c r="M3" s="5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 ht="14.25" customHeight="1">
      <c r="A4" s="55" t="s">
        <v>39</v>
      </c>
      <c r="B4" s="56" t="s">
        <v>40</v>
      </c>
      <c r="C4" s="57" t="s">
        <v>41</v>
      </c>
      <c r="D4" s="58" t="s">
        <v>42</v>
      </c>
      <c r="E4" s="59" t="s">
        <v>43</v>
      </c>
      <c r="F4" s="59" t="s">
        <v>44</v>
      </c>
      <c r="G4" s="60" t="s">
        <v>45</v>
      </c>
      <c r="H4" s="60" t="s">
        <v>46</v>
      </c>
      <c r="I4" s="61" t="s">
        <v>47</v>
      </c>
      <c r="J4" s="61" t="s">
        <v>48</v>
      </c>
      <c r="K4" s="62" t="s">
        <v>49</v>
      </c>
      <c r="L4" s="62" t="s">
        <v>50</v>
      </c>
      <c r="M4" s="63" t="s">
        <v>51</v>
      </c>
      <c r="N4" s="63" t="s">
        <v>52</v>
      </c>
      <c r="O4" s="64" t="s">
        <v>53</v>
      </c>
      <c r="P4" s="64" t="s">
        <v>54</v>
      </c>
      <c r="Q4" s="59" t="s">
        <v>55</v>
      </c>
      <c r="R4" s="59" t="s">
        <v>56</v>
      </c>
      <c r="S4" s="56" t="s">
        <v>57</v>
      </c>
      <c r="T4" s="56" t="s">
        <v>58</v>
      </c>
      <c r="U4" s="65" t="s">
        <v>59</v>
      </c>
      <c r="V4" s="65" t="s">
        <v>60</v>
      </c>
      <c r="W4" s="62" t="s">
        <v>61</v>
      </c>
      <c r="X4" s="62" t="s">
        <v>62</v>
      </c>
      <c r="Y4" s="66" t="s">
        <v>63</v>
      </c>
      <c r="Z4" s="67" t="s">
        <v>63</v>
      </c>
      <c r="AA4" s="68"/>
      <c r="AB4" s="12"/>
    </row>
    <row r="5" ht="14.25" customHeight="1">
      <c r="A5" s="69"/>
      <c r="B5" s="69"/>
      <c r="C5" s="13"/>
      <c r="D5" s="70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71"/>
      <c r="AA5" s="16"/>
      <c r="AB5" s="12"/>
    </row>
    <row r="6" ht="14.25" customHeight="1">
      <c r="A6" s="7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73"/>
    </row>
    <row r="7" ht="14.25" customHeight="1">
      <c r="A7" s="22" t="s">
        <v>64</v>
      </c>
      <c r="B7" s="22"/>
      <c r="C7" s="24"/>
      <c r="D7" s="74"/>
      <c r="E7" s="74">
        <v>0.0</v>
      </c>
      <c r="F7" s="74">
        <v>0.0</v>
      </c>
      <c r="G7" s="74">
        <v>0.0</v>
      </c>
      <c r="H7" s="74">
        <v>0.0</v>
      </c>
      <c r="I7" s="74">
        <v>0.0</v>
      </c>
      <c r="J7" s="74">
        <v>0.0</v>
      </c>
      <c r="K7" s="74">
        <v>0.0</v>
      </c>
      <c r="L7" s="74">
        <v>0.0</v>
      </c>
      <c r="M7" s="74">
        <v>0.0</v>
      </c>
      <c r="N7" s="74">
        <v>0.0</v>
      </c>
      <c r="O7" s="74">
        <v>0.0</v>
      </c>
      <c r="P7" s="74">
        <v>0.0</v>
      </c>
      <c r="Q7" s="74">
        <v>0.0</v>
      </c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4">
        <v>0.0</v>
      </c>
      <c r="Y7" s="74">
        <v>0.0</v>
      </c>
      <c r="Z7" s="75">
        <v>0.0</v>
      </c>
      <c r="AA7" s="76"/>
    </row>
    <row r="8" ht="14.25" customHeight="1">
      <c r="A8" s="22" t="s">
        <v>65</v>
      </c>
      <c r="B8" s="22"/>
      <c r="C8" s="24"/>
      <c r="D8" s="74">
        <v>0.0</v>
      </c>
      <c r="E8" s="74">
        <v>0.0</v>
      </c>
      <c r="F8" s="74">
        <v>0.0</v>
      </c>
      <c r="G8" s="74">
        <v>0.0</v>
      </c>
      <c r="H8" s="74">
        <v>0.0</v>
      </c>
      <c r="I8" s="74">
        <v>0.0</v>
      </c>
      <c r="J8" s="74">
        <v>0.0</v>
      </c>
      <c r="K8" s="74">
        <v>0.0</v>
      </c>
      <c r="L8" s="74">
        <v>0.0</v>
      </c>
      <c r="M8" s="74">
        <v>0.0</v>
      </c>
      <c r="N8" s="74">
        <v>0.0</v>
      </c>
      <c r="O8" s="74">
        <v>0.0</v>
      </c>
      <c r="P8" s="74">
        <v>0.0</v>
      </c>
      <c r="Q8" s="74">
        <v>0.0</v>
      </c>
      <c r="R8" s="74">
        <v>0.0</v>
      </c>
      <c r="S8" s="74">
        <v>0.0</v>
      </c>
      <c r="T8" s="74">
        <v>0.0</v>
      </c>
      <c r="U8" s="74">
        <v>0.0</v>
      </c>
      <c r="V8" s="74">
        <v>0.0</v>
      </c>
      <c r="W8" s="74">
        <v>0.0</v>
      </c>
      <c r="X8" s="74">
        <v>0.0</v>
      </c>
      <c r="Y8" s="74">
        <v>0.0</v>
      </c>
      <c r="Z8" s="75">
        <v>0.0</v>
      </c>
      <c r="AA8" s="76"/>
    </row>
    <row r="9" ht="14.25" customHeight="1">
      <c r="A9" s="22" t="s">
        <v>66</v>
      </c>
      <c r="B9" s="22"/>
      <c r="C9" s="77"/>
      <c r="D9" s="74">
        <v>0.0</v>
      </c>
      <c r="E9" s="74">
        <v>0.0</v>
      </c>
      <c r="F9" s="74">
        <v>0.0</v>
      </c>
      <c r="G9" s="74">
        <v>0.0</v>
      </c>
      <c r="H9" s="74">
        <v>0.0</v>
      </c>
      <c r="I9" s="74">
        <v>0.0</v>
      </c>
      <c r="J9" s="74">
        <v>0.0</v>
      </c>
      <c r="K9" s="74">
        <v>0.0</v>
      </c>
      <c r="L9" s="74">
        <v>0.0</v>
      </c>
      <c r="M9" s="74">
        <v>0.0</v>
      </c>
      <c r="N9" s="74">
        <v>0.0</v>
      </c>
      <c r="O9" s="74">
        <v>0.0</v>
      </c>
      <c r="P9" s="74">
        <v>0.0</v>
      </c>
      <c r="Q9" s="74">
        <v>0.0</v>
      </c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4">
        <v>0.0</v>
      </c>
      <c r="Y9" s="74">
        <v>0.0</v>
      </c>
      <c r="Z9" s="75">
        <v>0.0</v>
      </c>
      <c r="AA9" s="76"/>
    </row>
    <row r="10" ht="14.25" customHeight="1">
      <c r="A10" s="78"/>
      <c r="B10" s="79"/>
      <c r="C10" s="25"/>
      <c r="D10" s="74">
        <v>0.0</v>
      </c>
      <c r="E10" s="74">
        <v>0.0</v>
      </c>
      <c r="F10" s="74">
        <v>0.0</v>
      </c>
      <c r="G10" s="74">
        <v>0.0</v>
      </c>
      <c r="H10" s="74">
        <v>0.0</v>
      </c>
      <c r="I10" s="74">
        <v>0.0</v>
      </c>
      <c r="J10" s="74">
        <v>0.0</v>
      </c>
      <c r="K10" s="74">
        <v>0.0</v>
      </c>
      <c r="L10" s="74">
        <v>0.0</v>
      </c>
      <c r="M10" s="74">
        <v>0.0</v>
      </c>
      <c r="N10" s="74">
        <v>0.0</v>
      </c>
      <c r="O10" s="74">
        <v>0.0</v>
      </c>
      <c r="P10" s="74">
        <v>0.0</v>
      </c>
      <c r="Q10" s="74">
        <v>0.0</v>
      </c>
      <c r="R10" s="74">
        <v>0.0</v>
      </c>
      <c r="S10" s="74">
        <v>0.0</v>
      </c>
      <c r="T10" s="74">
        <v>0.0</v>
      </c>
      <c r="U10" s="74">
        <v>0.0</v>
      </c>
      <c r="V10" s="74">
        <v>0.0</v>
      </c>
      <c r="W10" s="74">
        <v>0.0</v>
      </c>
      <c r="X10" s="74">
        <v>0.0</v>
      </c>
      <c r="Y10" s="74">
        <v>0.0</v>
      </c>
      <c r="Z10" s="75">
        <v>0.0</v>
      </c>
      <c r="AA10" s="76"/>
    </row>
    <row r="11" ht="14.25" customHeight="1">
      <c r="A11" s="80" t="s">
        <v>67</v>
      </c>
      <c r="B11" s="81"/>
      <c r="C11" s="82">
        <f t="shared" ref="C11:Z11" si="1">SUM(C7:C9)</f>
        <v>0</v>
      </c>
      <c r="D11" s="82">
        <f t="shared" si="1"/>
        <v>0</v>
      </c>
      <c r="E11" s="82">
        <f t="shared" si="1"/>
        <v>0</v>
      </c>
      <c r="F11" s="82">
        <f t="shared" si="1"/>
        <v>0</v>
      </c>
      <c r="G11" s="82">
        <f t="shared" si="1"/>
        <v>0</v>
      </c>
      <c r="H11" s="82">
        <f t="shared" si="1"/>
        <v>0</v>
      </c>
      <c r="I11" s="82">
        <f t="shared" si="1"/>
        <v>0</v>
      </c>
      <c r="J11" s="82">
        <f t="shared" si="1"/>
        <v>0</v>
      </c>
      <c r="K11" s="82">
        <f t="shared" si="1"/>
        <v>0</v>
      </c>
      <c r="L11" s="82">
        <f t="shared" si="1"/>
        <v>0</v>
      </c>
      <c r="M11" s="82">
        <f t="shared" si="1"/>
        <v>0</v>
      </c>
      <c r="N11" s="82">
        <f t="shared" si="1"/>
        <v>0</v>
      </c>
      <c r="O11" s="82">
        <f t="shared" si="1"/>
        <v>0</v>
      </c>
      <c r="P11" s="82">
        <f t="shared" si="1"/>
        <v>0</v>
      </c>
      <c r="Q11" s="82">
        <f t="shared" si="1"/>
        <v>0</v>
      </c>
      <c r="R11" s="82">
        <f t="shared" si="1"/>
        <v>0</v>
      </c>
      <c r="S11" s="82">
        <f t="shared" si="1"/>
        <v>0</v>
      </c>
      <c r="T11" s="82">
        <f t="shared" si="1"/>
        <v>0</v>
      </c>
      <c r="U11" s="82">
        <f t="shared" si="1"/>
        <v>0</v>
      </c>
      <c r="V11" s="82">
        <f t="shared" si="1"/>
        <v>0</v>
      </c>
      <c r="W11" s="82">
        <f t="shared" si="1"/>
        <v>0</v>
      </c>
      <c r="X11" s="82">
        <f t="shared" si="1"/>
        <v>0</v>
      </c>
      <c r="Y11" s="82">
        <f t="shared" si="1"/>
        <v>0</v>
      </c>
      <c r="Z11" s="83">
        <f t="shared" si="1"/>
        <v>0</v>
      </c>
      <c r="AA11" s="84"/>
    </row>
    <row r="12" ht="14.25" customHeight="1">
      <c r="A12" s="85"/>
      <c r="B12" s="8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76"/>
    </row>
    <row r="13" ht="14.25" customHeight="1">
      <c r="A13" s="87" t="s">
        <v>68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9"/>
      <c r="AA13" s="90"/>
    </row>
    <row r="14" ht="14.25" customHeight="1">
      <c r="A14" s="7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2"/>
      <c r="AA14" s="16"/>
    </row>
    <row r="15" ht="14.25" customHeight="1">
      <c r="A15" s="93" t="str">
        <f>'Fixas '!A6</f>
        <v>Copy </v>
      </c>
      <c r="B15" s="24"/>
      <c r="C15" s="94"/>
      <c r="D15" s="95"/>
      <c r="E15" s="94"/>
      <c r="F15" s="96">
        <v>0.0</v>
      </c>
      <c r="G15" s="94"/>
      <c r="H15" s="97">
        <v>0.0</v>
      </c>
      <c r="I15" s="94"/>
      <c r="J15" s="98">
        <v>0.0</v>
      </c>
      <c r="K15" s="94"/>
      <c r="L15" s="99">
        <v>0.0</v>
      </c>
      <c r="M15" s="94"/>
      <c r="N15" s="95">
        <v>0.0</v>
      </c>
      <c r="O15" s="94" t="str">
        <f>'Fixas '!I6</f>
        <v/>
      </c>
      <c r="P15" s="100">
        <v>0.0</v>
      </c>
      <c r="Q15" s="94" t="str">
        <f>'Fixas '!J6</f>
        <v/>
      </c>
      <c r="R15" s="96">
        <v>0.0</v>
      </c>
      <c r="S15" s="94" t="str">
        <f>'Fixas '!K6</f>
        <v/>
      </c>
      <c r="T15" s="98">
        <v>0.0</v>
      </c>
      <c r="U15" s="94" t="str">
        <f>'Fixas '!L6</f>
        <v/>
      </c>
      <c r="V15" s="95">
        <v>0.0</v>
      </c>
      <c r="W15" s="94" t="str">
        <f>'Fixas '!M6</f>
        <v/>
      </c>
      <c r="X15" s="99">
        <v>0.0</v>
      </c>
      <c r="Y15" s="94" t="str">
        <f>'Fixas '!N6</f>
        <v/>
      </c>
      <c r="Z15" s="101">
        <v>0.0</v>
      </c>
      <c r="AA15" s="76"/>
    </row>
    <row r="16" ht="14.25" customHeight="1">
      <c r="A16" s="102" t="str">
        <f>'Fixas '!A7</f>
        <v>Designer </v>
      </c>
      <c r="B16" s="24"/>
      <c r="C16" s="94"/>
      <c r="D16" s="95">
        <v>0.0</v>
      </c>
      <c r="E16" s="94">
        <f>'Fixas '!D7</f>
        <v>0</v>
      </c>
      <c r="F16" s="103">
        <v>0.0</v>
      </c>
      <c r="G16" s="94">
        <f>'Fixas '!E7</f>
        <v>0</v>
      </c>
      <c r="H16" s="104">
        <v>0.0</v>
      </c>
      <c r="I16" s="94">
        <f>'Fixas '!F7</f>
        <v>0</v>
      </c>
      <c r="J16" s="105">
        <v>0.0</v>
      </c>
      <c r="K16" s="94">
        <f>'Fixas '!G7</f>
        <v>0</v>
      </c>
      <c r="L16" s="106">
        <v>0.0</v>
      </c>
      <c r="M16" s="94">
        <f>'Fixas '!H7</f>
        <v>0</v>
      </c>
      <c r="N16" s="107">
        <v>0.0</v>
      </c>
      <c r="O16" s="94">
        <f>'Fixas '!I7</f>
        <v>0</v>
      </c>
      <c r="P16" s="108">
        <v>0.0</v>
      </c>
      <c r="Q16" s="94">
        <f>'Fixas '!J7</f>
        <v>0</v>
      </c>
      <c r="R16" s="103">
        <v>0.0</v>
      </c>
      <c r="S16" s="94">
        <f>'Fixas '!K7</f>
        <v>0</v>
      </c>
      <c r="T16" s="105">
        <v>0.0</v>
      </c>
      <c r="U16" s="94">
        <f>'Fixas '!L7</f>
        <v>0</v>
      </c>
      <c r="V16" s="107">
        <v>0.0</v>
      </c>
      <c r="W16" s="109">
        <v>0.0</v>
      </c>
      <c r="X16" s="106">
        <v>0.0</v>
      </c>
      <c r="Y16" s="109">
        <v>0.0</v>
      </c>
      <c r="Z16" s="110">
        <v>0.0</v>
      </c>
      <c r="AA16" s="76"/>
    </row>
    <row r="17" ht="14.25" customHeight="1">
      <c r="A17" s="24" t="str">
        <f>'Fixas '!A8</f>
        <v>Edição de Video </v>
      </c>
      <c r="B17" s="111"/>
      <c r="C17" s="94"/>
      <c r="D17" s="95">
        <v>0.0</v>
      </c>
      <c r="E17" s="94">
        <f>'Fixas '!D8</f>
        <v>0</v>
      </c>
      <c r="F17" s="112">
        <v>0.0</v>
      </c>
      <c r="G17" s="94">
        <f>'Fixas '!E8</f>
        <v>0</v>
      </c>
      <c r="H17" s="113">
        <v>0.0</v>
      </c>
      <c r="I17" s="94">
        <f>'Fixas '!F8</f>
        <v>0</v>
      </c>
      <c r="J17" s="114">
        <v>0.0</v>
      </c>
      <c r="K17" s="94">
        <f>'Fixas '!G8</f>
        <v>0</v>
      </c>
      <c r="L17" s="115">
        <v>0.0</v>
      </c>
      <c r="M17" s="94">
        <f>'Fixas '!H8</f>
        <v>0</v>
      </c>
      <c r="N17" s="116">
        <v>0.0</v>
      </c>
      <c r="O17" s="94">
        <f>'Fixas '!I8</f>
        <v>0</v>
      </c>
      <c r="P17" s="117">
        <v>0.0</v>
      </c>
      <c r="Q17" s="94">
        <f>'Fixas '!J8</f>
        <v>0</v>
      </c>
      <c r="R17" s="112">
        <v>0.0</v>
      </c>
      <c r="S17" s="94">
        <f>'Fixas '!K8</f>
        <v>0</v>
      </c>
      <c r="T17" s="114">
        <v>0.0</v>
      </c>
      <c r="U17" s="94">
        <f>'Fixas '!L8</f>
        <v>0</v>
      </c>
      <c r="V17" s="116">
        <v>0.0</v>
      </c>
      <c r="W17" s="111">
        <v>0.0</v>
      </c>
      <c r="X17" s="115">
        <v>0.0</v>
      </c>
      <c r="Y17" s="111">
        <v>0.0</v>
      </c>
      <c r="Z17" s="118">
        <v>0.0</v>
      </c>
      <c r="AA17" s="76"/>
    </row>
    <row r="18" ht="14.25" customHeight="1">
      <c r="A18" s="24" t="str">
        <f>'Fixas '!A9</f>
        <v>Suporte </v>
      </c>
      <c r="B18" s="24"/>
      <c r="C18" s="94"/>
      <c r="D18" s="95">
        <v>0.0</v>
      </c>
      <c r="E18" s="94">
        <f>'Fixas '!D9</f>
        <v>0</v>
      </c>
      <c r="F18" s="112">
        <v>0.0</v>
      </c>
      <c r="G18" s="94">
        <f>'Fixas '!E9</f>
        <v>0</v>
      </c>
      <c r="H18" s="113">
        <v>0.0</v>
      </c>
      <c r="I18" s="94">
        <f>'Fixas '!F9</f>
        <v>0</v>
      </c>
      <c r="J18" s="114">
        <v>0.0</v>
      </c>
      <c r="K18" s="94">
        <f>'Fixas '!G9</f>
        <v>0</v>
      </c>
      <c r="L18" s="115">
        <v>0.0</v>
      </c>
      <c r="M18" s="94">
        <f>'Fixas '!H9</f>
        <v>0</v>
      </c>
      <c r="N18" s="116">
        <v>0.0</v>
      </c>
      <c r="O18" s="94">
        <f>'Fixas '!I9</f>
        <v>0</v>
      </c>
      <c r="P18" s="117">
        <v>0.0</v>
      </c>
      <c r="Q18" s="94">
        <f>'Fixas '!J9</f>
        <v>0</v>
      </c>
      <c r="R18" s="112">
        <v>0.0</v>
      </c>
      <c r="S18" s="94">
        <f>'Fixas '!K9</f>
        <v>0</v>
      </c>
      <c r="T18" s="114">
        <v>0.0</v>
      </c>
      <c r="U18" s="94">
        <f>'Fixas '!L9</f>
        <v>0</v>
      </c>
      <c r="V18" s="116">
        <v>0.0</v>
      </c>
      <c r="W18" s="111">
        <v>0.0</v>
      </c>
      <c r="X18" s="115">
        <v>0.0</v>
      </c>
      <c r="Y18" s="111">
        <v>0.0</v>
      </c>
      <c r="Z18" s="118">
        <v>0.0</v>
      </c>
      <c r="AA18" s="76"/>
    </row>
    <row r="19" ht="14.25" customHeight="1">
      <c r="A19" s="24" t="str">
        <f>'Fixas '!A10</f>
        <v>Revisão </v>
      </c>
      <c r="B19" s="24"/>
      <c r="C19" s="94"/>
      <c r="D19" s="95">
        <v>0.0</v>
      </c>
      <c r="E19" s="94">
        <f>'Fixas '!D10</f>
        <v>0</v>
      </c>
      <c r="F19" s="112">
        <v>0.0</v>
      </c>
      <c r="G19" s="94">
        <f>'Fixas '!E10</f>
        <v>0</v>
      </c>
      <c r="H19" s="113">
        <v>0.0</v>
      </c>
      <c r="I19" s="94">
        <f>'Fixas '!F10</f>
        <v>0</v>
      </c>
      <c r="J19" s="114">
        <v>0.0</v>
      </c>
      <c r="K19" s="94">
        <f>'Fixas '!G10</f>
        <v>0</v>
      </c>
      <c r="L19" s="115">
        <v>0.0</v>
      </c>
      <c r="M19" s="94">
        <f>'Fixas '!H10</f>
        <v>0</v>
      </c>
      <c r="N19" s="116">
        <v>0.0</v>
      </c>
      <c r="O19" s="94">
        <f>'Fixas '!I10</f>
        <v>0</v>
      </c>
      <c r="P19" s="117">
        <v>0.0</v>
      </c>
      <c r="Q19" s="94">
        <f>'Fixas '!J10</f>
        <v>0</v>
      </c>
      <c r="R19" s="112">
        <v>0.0</v>
      </c>
      <c r="S19" s="94">
        <f>'Fixas '!K10</f>
        <v>0</v>
      </c>
      <c r="T19" s="114">
        <v>0.0</v>
      </c>
      <c r="U19" s="94">
        <f>'Fixas '!L10</f>
        <v>0</v>
      </c>
      <c r="V19" s="116">
        <v>0.0</v>
      </c>
      <c r="W19" s="111">
        <v>0.0</v>
      </c>
      <c r="X19" s="115">
        <v>0.0</v>
      </c>
      <c r="Y19" s="111">
        <v>0.0</v>
      </c>
      <c r="Z19" s="118">
        <v>0.0</v>
      </c>
      <c r="AA19" s="76"/>
    </row>
    <row r="20" ht="14.25" customHeight="1">
      <c r="A20" s="24" t="str">
        <f>'Fixas '!A11</f>
        <v>Active </v>
      </c>
      <c r="B20" s="24"/>
      <c r="C20" s="94" t="str">
        <f>'Fixas '!C11</f>
        <v/>
      </c>
      <c r="D20" s="95">
        <v>0.0</v>
      </c>
      <c r="E20" s="94">
        <f>'Fixas '!D11</f>
        <v>0</v>
      </c>
      <c r="F20" s="112">
        <v>0.0</v>
      </c>
      <c r="G20" s="94">
        <f>'Fixas '!E11</f>
        <v>0</v>
      </c>
      <c r="H20" s="113">
        <v>0.0</v>
      </c>
      <c r="I20" s="94">
        <f>'Fixas '!F11</f>
        <v>0</v>
      </c>
      <c r="J20" s="114">
        <v>0.0</v>
      </c>
      <c r="K20" s="94">
        <f>'Fixas '!G11</f>
        <v>0</v>
      </c>
      <c r="L20" s="115">
        <v>0.0</v>
      </c>
      <c r="M20" s="94">
        <f>'Fixas '!H11</f>
        <v>0</v>
      </c>
      <c r="N20" s="116">
        <v>0.0</v>
      </c>
      <c r="O20" s="94">
        <f>'Fixas '!I11</f>
        <v>0</v>
      </c>
      <c r="P20" s="117">
        <v>0.0</v>
      </c>
      <c r="Q20" s="94">
        <f>'Fixas '!J11</f>
        <v>0</v>
      </c>
      <c r="R20" s="112">
        <v>0.0</v>
      </c>
      <c r="S20" s="94">
        <f>'Fixas '!K11</f>
        <v>0</v>
      </c>
      <c r="T20" s="114">
        <v>0.0</v>
      </c>
      <c r="U20" s="94">
        <f>'Fixas '!L11</f>
        <v>0</v>
      </c>
      <c r="V20" s="116">
        <v>0.0</v>
      </c>
      <c r="W20" s="111">
        <v>0.0</v>
      </c>
      <c r="X20" s="115">
        <v>0.0</v>
      </c>
      <c r="Y20" s="111">
        <v>0.0</v>
      </c>
      <c r="Z20" s="118">
        <v>0.0</v>
      </c>
      <c r="AA20" s="76"/>
    </row>
    <row r="21" ht="14.25" customHeight="1">
      <c r="A21" s="24" t="str">
        <f>'Fixas '!A12</f>
        <v>Gestor de Tráfego </v>
      </c>
      <c r="B21" s="22"/>
      <c r="C21" s="94"/>
      <c r="D21" s="95">
        <v>0.0</v>
      </c>
      <c r="E21" s="94">
        <f>'Fixas '!D12</f>
        <v>0</v>
      </c>
      <c r="F21" s="112">
        <v>0.0</v>
      </c>
      <c r="G21" s="94">
        <f>'Fixas '!E12</f>
        <v>0</v>
      </c>
      <c r="H21" s="113">
        <v>0.0</v>
      </c>
      <c r="I21" s="94">
        <f>'Fixas '!F12</f>
        <v>0</v>
      </c>
      <c r="J21" s="114">
        <v>0.0</v>
      </c>
      <c r="K21" s="94">
        <f>'Fixas '!G12</f>
        <v>0</v>
      </c>
      <c r="L21" s="115">
        <v>0.0</v>
      </c>
      <c r="M21" s="94">
        <f>'Fixas '!H12</f>
        <v>0</v>
      </c>
      <c r="N21" s="116">
        <v>0.0</v>
      </c>
      <c r="O21" s="94">
        <f>'Fixas '!I12</f>
        <v>0</v>
      </c>
      <c r="P21" s="117">
        <v>0.0</v>
      </c>
      <c r="Q21" s="94">
        <f>'Fixas '!J12</f>
        <v>0</v>
      </c>
      <c r="R21" s="112">
        <v>0.0</v>
      </c>
      <c r="S21" s="94">
        <f>'Fixas '!K12</f>
        <v>0</v>
      </c>
      <c r="T21" s="114">
        <v>0.0</v>
      </c>
      <c r="U21" s="94">
        <f>'Fixas '!L12</f>
        <v>0</v>
      </c>
      <c r="V21" s="116">
        <v>0.0</v>
      </c>
      <c r="W21" s="111">
        <v>0.0</v>
      </c>
      <c r="X21" s="115">
        <v>0.0</v>
      </c>
      <c r="Y21" s="111">
        <v>0.0</v>
      </c>
      <c r="Z21" s="118">
        <v>0.0</v>
      </c>
      <c r="AA21" s="76"/>
    </row>
    <row r="22" ht="14.25" customHeight="1">
      <c r="A22" s="24" t="str">
        <f>'Fixas '!A13</f>
        <v>Tráfego - Investimento </v>
      </c>
      <c r="B22" s="22"/>
      <c r="C22" s="94" t="str">
        <f>'Fixas '!C13</f>
        <v/>
      </c>
      <c r="D22" s="95">
        <v>0.0</v>
      </c>
      <c r="E22" s="94">
        <f>'Fixas '!D13</f>
        <v>0</v>
      </c>
      <c r="F22" s="112">
        <v>0.0</v>
      </c>
      <c r="G22" s="94">
        <f>'Fixas '!E13</f>
        <v>0</v>
      </c>
      <c r="H22" s="113">
        <v>0.0</v>
      </c>
      <c r="I22" s="94">
        <f>'Fixas '!F13</f>
        <v>0</v>
      </c>
      <c r="J22" s="114">
        <v>0.0</v>
      </c>
      <c r="K22" s="94">
        <f>'Fixas '!G13</f>
        <v>0</v>
      </c>
      <c r="L22" s="115">
        <v>0.0</v>
      </c>
      <c r="M22" s="94">
        <f>'Fixas '!H13</f>
        <v>0</v>
      </c>
      <c r="N22" s="116">
        <v>0.0</v>
      </c>
      <c r="O22" s="94">
        <f>'Fixas '!I13</f>
        <v>0</v>
      </c>
      <c r="P22" s="117">
        <v>0.0</v>
      </c>
      <c r="Q22" s="94">
        <f>'Fixas '!J13</f>
        <v>0</v>
      </c>
      <c r="R22" s="112">
        <v>0.0</v>
      </c>
      <c r="S22" s="94">
        <f>'Fixas '!K13</f>
        <v>0</v>
      </c>
      <c r="T22" s="114">
        <v>0.0</v>
      </c>
      <c r="U22" s="94">
        <f>'Fixas '!L13</f>
        <v>0</v>
      </c>
      <c r="V22" s="116">
        <v>0.0</v>
      </c>
      <c r="W22" s="111">
        <v>0.0</v>
      </c>
      <c r="X22" s="115">
        <v>0.0</v>
      </c>
      <c r="Y22" s="111">
        <v>0.0</v>
      </c>
      <c r="Z22" s="118">
        <v>0.0</v>
      </c>
      <c r="AA22" s="76"/>
    </row>
    <row r="23" ht="14.25" customHeight="1">
      <c r="A23" s="24" t="str">
        <f>'Fixas '!A14</f>
        <v>TESTE</v>
      </c>
      <c r="B23" s="22"/>
      <c r="C23" s="94" t="str">
        <f>'Fixas '!C14</f>
        <v/>
      </c>
      <c r="D23" s="95">
        <v>0.0</v>
      </c>
      <c r="E23" s="94">
        <f>'Fixas '!D14</f>
        <v>0</v>
      </c>
      <c r="F23" s="112">
        <v>0.0</v>
      </c>
      <c r="G23" s="94">
        <f>'Fixas '!E14</f>
        <v>0</v>
      </c>
      <c r="H23" s="113">
        <v>0.0</v>
      </c>
      <c r="I23" s="94">
        <f>'Fixas '!F14</f>
        <v>0</v>
      </c>
      <c r="J23" s="114">
        <v>0.0</v>
      </c>
      <c r="K23" s="94">
        <f>'Fixas '!G14</f>
        <v>0</v>
      </c>
      <c r="L23" s="115">
        <v>0.0</v>
      </c>
      <c r="M23" s="94">
        <f>'Fixas '!H14</f>
        <v>0</v>
      </c>
      <c r="N23" s="116">
        <v>0.0</v>
      </c>
      <c r="O23" s="94">
        <f>'Fixas '!I14</f>
        <v>0</v>
      </c>
      <c r="P23" s="117">
        <v>0.0</v>
      </c>
      <c r="Q23" s="94">
        <f>'Fixas '!J14</f>
        <v>0</v>
      </c>
      <c r="R23" s="112">
        <v>0.0</v>
      </c>
      <c r="S23" s="94">
        <f>'Fixas '!K14</f>
        <v>0</v>
      </c>
      <c r="T23" s="114">
        <v>0.0</v>
      </c>
      <c r="U23" s="94">
        <f>'Fixas '!L14</f>
        <v>0</v>
      </c>
      <c r="V23" s="116">
        <v>0.0</v>
      </c>
      <c r="W23" s="111">
        <v>0.0</v>
      </c>
      <c r="X23" s="115">
        <v>0.0</v>
      </c>
      <c r="Y23" s="111">
        <v>0.0</v>
      </c>
      <c r="Z23" s="118">
        <v>0.0</v>
      </c>
      <c r="AA23" s="76"/>
    </row>
    <row r="24" ht="14.25" customHeight="1">
      <c r="A24" s="22" t="str">
        <f>'Fixas '!A15</f>
        <v>Automação </v>
      </c>
      <c r="B24" s="22"/>
      <c r="C24" s="94"/>
      <c r="D24" s="95">
        <v>0.0</v>
      </c>
      <c r="E24" s="94">
        <f>'Fixas '!D15</f>
        <v>0</v>
      </c>
      <c r="F24" s="112">
        <v>0.0</v>
      </c>
      <c r="G24" s="94">
        <f>'Fixas '!E15</f>
        <v>0</v>
      </c>
      <c r="H24" s="113">
        <v>0.0</v>
      </c>
      <c r="I24" s="94">
        <f>'Fixas '!F15</f>
        <v>0</v>
      </c>
      <c r="J24" s="114">
        <v>0.0</v>
      </c>
      <c r="K24" s="94">
        <f>'Fixas '!G15</f>
        <v>0</v>
      </c>
      <c r="L24" s="115">
        <v>0.0</v>
      </c>
      <c r="M24" s="94">
        <f>'Fixas '!H15</f>
        <v>0</v>
      </c>
      <c r="N24" s="116">
        <v>0.0</v>
      </c>
      <c r="O24" s="94">
        <f>'Fixas '!I15</f>
        <v>0</v>
      </c>
      <c r="P24" s="117">
        <v>0.0</v>
      </c>
      <c r="Q24" s="94">
        <f>'Fixas '!J15</f>
        <v>0</v>
      </c>
      <c r="R24" s="112">
        <v>0.0</v>
      </c>
      <c r="S24" s="94">
        <f>'Fixas '!K15</f>
        <v>0</v>
      </c>
      <c r="T24" s="114">
        <v>0.0</v>
      </c>
      <c r="U24" s="94">
        <f>'Fixas '!L15</f>
        <v>0</v>
      </c>
      <c r="V24" s="116">
        <v>0.0</v>
      </c>
      <c r="W24" s="111">
        <v>0.0</v>
      </c>
      <c r="X24" s="115">
        <v>0.0</v>
      </c>
      <c r="Y24" s="111">
        <v>0.0</v>
      </c>
      <c r="Z24" s="118">
        <v>0.0</v>
      </c>
      <c r="AA24" s="76"/>
    </row>
    <row r="25" ht="14.25" customHeight="1">
      <c r="A25" s="22" t="str">
        <f>'Fixas '!A16</f>
        <v>Gerente de Projetos </v>
      </c>
      <c r="B25" s="22"/>
      <c r="C25" s="94"/>
      <c r="D25" s="95">
        <v>0.0</v>
      </c>
      <c r="E25" s="94">
        <f>'Fixas '!D16</f>
        <v>0</v>
      </c>
      <c r="F25" s="112">
        <v>0.0</v>
      </c>
      <c r="G25" s="94">
        <f>'Fixas '!E16</f>
        <v>0</v>
      </c>
      <c r="H25" s="113">
        <v>0.0</v>
      </c>
      <c r="I25" s="94">
        <f>'Fixas '!F16</f>
        <v>0</v>
      </c>
      <c r="J25" s="114">
        <v>0.0</v>
      </c>
      <c r="K25" s="94">
        <f>'Fixas '!G16</f>
        <v>0</v>
      </c>
      <c r="L25" s="115">
        <v>0.0</v>
      </c>
      <c r="M25" s="94">
        <f>'Fixas '!H16</f>
        <v>0</v>
      </c>
      <c r="N25" s="116">
        <v>0.0</v>
      </c>
      <c r="O25" s="94">
        <f>'Fixas '!I16</f>
        <v>0</v>
      </c>
      <c r="P25" s="117">
        <v>0.0</v>
      </c>
      <c r="Q25" s="94">
        <f>'Fixas '!J16</f>
        <v>0</v>
      </c>
      <c r="R25" s="112">
        <v>0.0</v>
      </c>
      <c r="S25" s="94">
        <f>'Fixas '!K16</f>
        <v>0</v>
      </c>
      <c r="T25" s="114">
        <v>0.0</v>
      </c>
      <c r="U25" s="94">
        <f>'Fixas '!L16</f>
        <v>0</v>
      </c>
      <c r="V25" s="116">
        <v>0.0</v>
      </c>
      <c r="W25" s="111">
        <v>0.0</v>
      </c>
      <c r="X25" s="115">
        <v>0.0</v>
      </c>
      <c r="Y25" s="111">
        <v>0.0</v>
      </c>
      <c r="Z25" s="118">
        <v>0.0</v>
      </c>
      <c r="AA25" s="76"/>
    </row>
    <row r="26" ht="14.25" customHeight="1">
      <c r="A26" s="22" t="str">
        <f>'Fixas '!A17</f>
        <v>Domínio</v>
      </c>
      <c r="B26" s="22"/>
      <c r="C26" s="94"/>
      <c r="D26" s="95">
        <v>0.0</v>
      </c>
      <c r="E26" s="94">
        <f>'Fixas '!D17</f>
        <v>0</v>
      </c>
      <c r="F26" s="112">
        <v>0.0</v>
      </c>
      <c r="G26" s="94"/>
      <c r="H26" s="113">
        <v>0.0</v>
      </c>
      <c r="I26" s="94"/>
      <c r="J26" s="114">
        <v>0.0</v>
      </c>
      <c r="K26" s="94">
        <f>'Fixas '!G17</f>
        <v>0</v>
      </c>
      <c r="L26" s="115">
        <v>0.0</v>
      </c>
      <c r="M26" s="94">
        <f>'Fixas '!H17</f>
        <v>0</v>
      </c>
      <c r="N26" s="116">
        <v>0.0</v>
      </c>
      <c r="O26" s="94">
        <f>'Fixas '!I17</f>
        <v>0</v>
      </c>
      <c r="P26" s="117">
        <v>0.0</v>
      </c>
      <c r="Q26" s="94">
        <f>'Fixas '!J17</f>
        <v>0</v>
      </c>
      <c r="R26" s="112">
        <v>0.0</v>
      </c>
      <c r="S26" s="94">
        <f>'Fixas '!K17</f>
        <v>0</v>
      </c>
      <c r="T26" s="114">
        <v>0.0</v>
      </c>
      <c r="U26" s="94" t="str">
        <f>'Fixas '!L17</f>
        <v/>
      </c>
      <c r="V26" s="116">
        <v>0.0</v>
      </c>
      <c r="W26" s="111">
        <v>0.0</v>
      </c>
      <c r="X26" s="115">
        <v>0.0</v>
      </c>
      <c r="Y26" s="111">
        <v>0.0</v>
      </c>
      <c r="Z26" s="118">
        <v>0.0</v>
      </c>
      <c r="AA26" s="76"/>
    </row>
    <row r="27" ht="14.25" customHeight="1">
      <c r="A27" s="22" t="str">
        <f>'Fixas '!A18</f>
        <v>Hospedagem</v>
      </c>
      <c r="B27" s="22"/>
      <c r="C27" s="94" t="str">
        <f>'Fixas '!C18</f>
        <v/>
      </c>
      <c r="D27" s="95">
        <v>0.0</v>
      </c>
      <c r="E27" s="94">
        <f>'Fixas '!D18</f>
        <v>0</v>
      </c>
      <c r="F27" s="112">
        <v>0.0</v>
      </c>
      <c r="G27" s="94">
        <f>'Fixas '!E18</f>
        <v>0</v>
      </c>
      <c r="H27" s="113">
        <v>0.0</v>
      </c>
      <c r="I27" s="94">
        <f>'Fixas '!F18</f>
        <v>0</v>
      </c>
      <c r="J27" s="114">
        <v>0.0</v>
      </c>
      <c r="K27" s="94">
        <f>'Fixas '!G18</f>
        <v>0</v>
      </c>
      <c r="L27" s="115">
        <v>0.0</v>
      </c>
      <c r="M27" s="94">
        <f>'Fixas '!H18</f>
        <v>0</v>
      </c>
      <c r="N27" s="116">
        <v>0.0</v>
      </c>
      <c r="O27" s="94">
        <f>'Fixas '!I18</f>
        <v>0</v>
      </c>
      <c r="P27" s="117">
        <v>0.0</v>
      </c>
      <c r="Q27" s="94">
        <f>'Fixas '!J18</f>
        <v>0</v>
      </c>
      <c r="R27" s="112">
        <v>0.0</v>
      </c>
      <c r="S27" s="94">
        <f>'Fixas '!K18</f>
        <v>0</v>
      </c>
      <c r="T27" s="114">
        <v>0.0</v>
      </c>
      <c r="U27" s="94" t="str">
        <f>'Fixas '!L18</f>
        <v/>
      </c>
      <c r="V27" s="116">
        <v>0.0</v>
      </c>
      <c r="W27" s="111">
        <v>0.0</v>
      </c>
      <c r="X27" s="115">
        <v>0.0</v>
      </c>
      <c r="Y27" s="111">
        <v>0.0</v>
      </c>
      <c r="Z27" s="118">
        <v>0.0</v>
      </c>
      <c r="AA27" s="76"/>
    </row>
    <row r="28" ht="14.25" customHeight="1">
      <c r="A28" s="22" t="str">
        <f>'Fixas '!A19</f>
        <v/>
      </c>
      <c r="B28" s="22"/>
      <c r="C28" s="94" t="str">
        <f>'Fixas '!C19</f>
        <v/>
      </c>
      <c r="D28" s="95">
        <v>0.0</v>
      </c>
      <c r="E28" s="94" t="str">
        <f>'Fixas '!E19</f>
        <v/>
      </c>
      <c r="F28" s="112" t="str">
        <f>'Fixas '!F19</f>
        <v/>
      </c>
      <c r="G28" s="94" t="str">
        <f>'Fixas '!G19</f>
        <v/>
      </c>
      <c r="H28" s="113" t="str">
        <f>'Fixas '!H19</f>
        <v/>
      </c>
      <c r="I28" s="94" t="str">
        <f>'Fixas '!I19</f>
        <v/>
      </c>
      <c r="J28" s="114" t="str">
        <f>'Fixas '!J19</f>
        <v/>
      </c>
      <c r="K28" s="94" t="str">
        <f>'Fixas '!K19</f>
        <v/>
      </c>
      <c r="L28" s="115" t="str">
        <f>'Fixas '!L19</f>
        <v/>
      </c>
      <c r="M28" s="94" t="str">
        <f>'Fixas '!M19</f>
        <v/>
      </c>
      <c r="N28" s="116" t="str">
        <f>'Fixas '!N19</f>
        <v/>
      </c>
      <c r="O28" s="94" t="str">
        <f>'Fixas '!O19</f>
        <v/>
      </c>
      <c r="P28" s="94" t="str">
        <f>'Fixas '!P19</f>
        <v>#REF!</v>
      </c>
      <c r="Q28" s="94" t="str">
        <f>'Fixas '!Q19</f>
        <v/>
      </c>
      <c r="R28" s="112" t="str">
        <f>'Fixas '!R19</f>
        <v/>
      </c>
      <c r="S28" s="94" t="str">
        <f>'Fixas '!S19</f>
        <v/>
      </c>
      <c r="T28" s="114" t="str">
        <f>'Fixas '!T19</f>
        <v/>
      </c>
      <c r="U28" s="94" t="str">
        <f>'Fixas '!U19</f>
        <v/>
      </c>
      <c r="V28" s="116" t="str">
        <f>'Fixas '!V19</f>
        <v/>
      </c>
      <c r="W28" s="94" t="str">
        <f>'Fixas '!W19</f>
        <v/>
      </c>
      <c r="X28" s="115" t="str">
        <f>'Fixas '!X19</f>
        <v/>
      </c>
      <c r="Y28" s="94" t="str">
        <f>'Fixas '!Y19</f>
        <v/>
      </c>
      <c r="Z28" s="118" t="str">
        <f>'Fixas '!Z19</f>
        <v/>
      </c>
      <c r="AA28" s="76"/>
    </row>
    <row r="29" ht="14.25" customHeight="1">
      <c r="A29" s="22" t="str">
        <f>'Fixas '!A20</f>
        <v/>
      </c>
      <c r="B29" s="22"/>
      <c r="C29" s="94" t="str">
        <f>'Fixas '!C20</f>
        <v/>
      </c>
      <c r="D29" s="95">
        <v>0.0</v>
      </c>
      <c r="E29" s="94" t="str">
        <f>'Fixas '!E20</f>
        <v/>
      </c>
      <c r="F29" s="112" t="str">
        <f>'Fixas '!F20</f>
        <v/>
      </c>
      <c r="G29" s="94" t="str">
        <f>'Fixas '!G20</f>
        <v/>
      </c>
      <c r="H29" s="113" t="str">
        <f>'Fixas '!H20</f>
        <v/>
      </c>
      <c r="I29" s="94" t="str">
        <f>'Fixas '!I20</f>
        <v/>
      </c>
      <c r="J29" s="114" t="str">
        <f>'Fixas '!J20</f>
        <v/>
      </c>
      <c r="K29" s="94" t="str">
        <f>'Fixas '!K20</f>
        <v/>
      </c>
      <c r="L29" s="115" t="str">
        <f>'Fixas '!L20</f>
        <v/>
      </c>
      <c r="M29" s="94" t="str">
        <f>'Fixas '!M20</f>
        <v/>
      </c>
      <c r="N29" s="116" t="str">
        <f>'Fixas '!N20</f>
        <v/>
      </c>
      <c r="O29" s="94" t="str">
        <f>'Fixas '!O20</f>
        <v/>
      </c>
      <c r="P29" s="94">
        <f>'Fixas '!P20</f>
        <v>0</v>
      </c>
      <c r="Q29" s="94" t="str">
        <f>'Fixas '!Q20</f>
        <v/>
      </c>
      <c r="R29" s="112" t="str">
        <f>'Fixas '!R20</f>
        <v/>
      </c>
      <c r="S29" s="94" t="str">
        <f>'Fixas '!S20</f>
        <v/>
      </c>
      <c r="T29" s="114" t="str">
        <f>'Fixas '!T20</f>
        <v/>
      </c>
      <c r="U29" s="94" t="str">
        <f>'Fixas '!U20</f>
        <v/>
      </c>
      <c r="V29" s="116" t="str">
        <f>'Fixas '!V20</f>
        <v/>
      </c>
      <c r="W29" s="94" t="str">
        <f>'Fixas '!W20</f>
        <v/>
      </c>
      <c r="X29" s="115" t="str">
        <f>'Fixas '!X20</f>
        <v/>
      </c>
      <c r="Y29" s="94" t="str">
        <f>'Fixas '!Y20</f>
        <v/>
      </c>
      <c r="Z29" s="118" t="str">
        <f>'Fixas '!Z20</f>
        <v/>
      </c>
      <c r="AA29" s="76"/>
    </row>
    <row r="30" ht="14.25" customHeight="1">
      <c r="A30" s="22" t="s">
        <v>69</v>
      </c>
      <c r="B30" s="22"/>
      <c r="C30" s="94" t="str">
        <f>'Fixas '!C21</f>
        <v/>
      </c>
      <c r="D30" s="95">
        <v>0.0</v>
      </c>
      <c r="E30" s="94" t="str">
        <f>'Fixas '!E21</f>
        <v/>
      </c>
      <c r="F30" s="112" t="str">
        <f>'Fixas '!F21</f>
        <v/>
      </c>
      <c r="G30" s="94" t="str">
        <f>'Fixas '!G21</f>
        <v/>
      </c>
      <c r="H30" s="113" t="str">
        <f>'Fixas '!H21</f>
        <v/>
      </c>
      <c r="I30" s="94" t="str">
        <f>'Fixas '!I21</f>
        <v/>
      </c>
      <c r="J30" s="114" t="str">
        <f>'Fixas '!J21</f>
        <v/>
      </c>
      <c r="K30" s="94" t="str">
        <f>'Fixas '!K21</f>
        <v/>
      </c>
      <c r="L30" s="115" t="str">
        <f>'Fixas '!L21</f>
        <v/>
      </c>
      <c r="M30" s="94" t="str">
        <f>'Fixas '!M21</f>
        <v/>
      </c>
      <c r="N30" s="116" t="str">
        <f>'Fixas '!N21</f>
        <v/>
      </c>
      <c r="O30" s="94" t="str">
        <f>'Fixas '!O21</f>
        <v/>
      </c>
      <c r="P30" s="94">
        <f>'Fixas '!P21</f>
        <v>0</v>
      </c>
      <c r="Q30" s="94" t="str">
        <f>'Fixas '!Q21</f>
        <v/>
      </c>
      <c r="R30" s="112" t="str">
        <f>'Fixas '!R21</f>
        <v/>
      </c>
      <c r="S30" s="94" t="str">
        <f>'Fixas '!S21</f>
        <v/>
      </c>
      <c r="T30" s="114" t="str">
        <f>'Fixas '!T21</f>
        <v/>
      </c>
      <c r="U30" s="94" t="str">
        <f>'Fixas '!U21</f>
        <v/>
      </c>
      <c r="V30" s="116" t="str">
        <f>'Fixas '!V21</f>
        <v/>
      </c>
      <c r="W30" s="94" t="str">
        <f>'Fixas '!W21</f>
        <v/>
      </c>
      <c r="X30" s="115" t="str">
        <f>'Fixas '!X21</f>
        <v/>
      </c>
      <c r="Y30" s="94" t="str">
        <f>'Fixas '!Y21</f>
        <v/>
      </c>
      <c r="Z30" s="118" t="str">
        <f>'Fixas '!Z21</f>
        <v/>
      </c>
      <c r="AA30" s="76"/>
    </row>
    <row r="31" ht="14.25" customHeight="1">
      <c r="A31" s="22" t="s">
        <v>70</v>
      </c>
      <c r="B31" s="22"/>
      <c r="C31" s="94" t="str">
        <f>'Fixas '!C22</f>
        <v/>
      </c>
      <c r="D31" s="95">
        <v>0.0</v>
      </c>
      <c r="E31" s="94" t="str">
        <f>'Fixas '!E22</f>
        <v/>
      </c>
      <c r="F31" s="112" t="str">
        <f>'Fixas '!F22</f>
        <v/>
      </c>
      <c r="G31" s="94" t="str">
        <f>'Fixas '!G22</f>
        <v/>
      </c>
      <c r="H31" s="113" t="str">
        <f>'Fixas '!H22</f>
        <v/>
      </c>
      <c r="I31" s="94" t="str">
        <f>'Fixas '!I22</f>
        <v/>
      </c>
      <c r="J31" s="114" t="str">
        <f>'Fixas '!J22</f>
        <v/>
      </c>
      <c r="K31" s="94" t="str">
        <f>'Fixas '!K22</f>
        <v/>
      </c>
      <c r="L31" s="115" t="str">
        <f>'Fixas '!L22</f>
        <v/>
      </c>
      <c r="M31" s="94" t="str">
        <f>'Fixas '!M22</f>
        <v/>
      </c>
      <c r="N31" s="116" t="str">
        <f>'Fixas '!N22</f>
        <v/>
      </c>
      <c r="O31" s="94" t="str">
        <f>'Fixas '!O22</f>
        <v/>
      </c>
      <c r="P31" s="94">
        <f>'Fixas '!P22</f>
        <v>0</v>
      </c>
      <c r="Q31" s="94" t="str">
        <f>'Fixas '!Q22</f>
        <v/>
      </c>
      <c r="R31" s="112" t="str">
        <f>'Fixas '!R22</f>
        <v/>
      </c>
      <c r="S31" s="94" t="str">
        <f>'Fixas '!S22</f>
        <v/>
      </c>
      <c r="T31" s="114" t="str">
        <f>'Fixas '!T22</f>
        <v/>
      </c>
      <c r="U31" s="94" t="str">
        <f>'Fixas '!U22</f>
        <v/>
      </c>
      <c r="V31" s="116" t="str">
        <f>'Fixas '!V22</f>
        <v/>
      </c>
      <c r="W31" s="94" t="str">
        <f>'Fixas '!W22</f>
        <v/>
      </c>
      <c r="X31" s="115" t="str">
        <f>'Fixas '!X22</f>
        <v/>
      </c>
      <c r="Y31" s="94" t="str">
        <f>'Fixas '!Y22</f>
        <v/>
      </c>
      <c r="Z31" s="118" t="str">
        <f>'Fixas '!Z22</f>
        <v/>
      </c>
      <c r="AA31" s="76"/>
    </row>
    <row r="32" ht="14.25" customHeight="1">
      <c r="A32" s="22" t="s">
        <v>71</v>
      </c>
      <c r="B32" s="22"/>
      <c r="C32" s="94" t="str">
        <f>'Fixas '!C23</f>
        <v/>
      </c>
      <c r="D32" s="95">
        <v>0.0</v>
      </c>
      <c r="E32" s="94" t="str">
        <f>'Fixas '!E23</f>
        <v/>
      </c>
      <c r="F32" s="112" t="str">
        <f>'Fixas '!F23</f>
        <v/>
      </c>
      <c r="G32" s="94" t="str">
        <f>'Fixas '!G23</f>
        <v/>
      </c>
      <c r="H32" s="113" t="str">
        <f>'Fixas '!H23</f>
        <v/>
      </c>
      <c r="I32" s="94" t="str">
        <f>'Fixas '!I23</f>
        <v/>
      </c>
      <c r="J32" s="114" t="str">
        <f>'Fixas '!J23</f>
        <v/>
      </c>
      <c r="K32" s="94" t="str">
        <f>'Fixas '!K23</f>
        <v/>
      </c>
      <c r="L32" s="115" t="str">
        <f>'Fixas '!L23</f>
        <v/>
      </c>
      <c r="M32" s="94" t="str">
        <f>'Fixas '!M23</f>
        <v/>
      </c>
      <c r="N32" s="116" t="str">
        <f>'Fixas '!N23</f>
        <v/>
      </c>
      <c r="O32" s="94" t="str">
        <f>'Fixas '!O23</f>
        <v/>
      </c>
      <c r="P32" s="94">
        <f>'Fixas '!P23</f>
        <v>0</v>
      </c>
      <c r="Q32" s="94" t="str">
        <f>'Fixas '!Q23</f>
        <v/>
      </c>
      <c r="R32" s="112" t="str">
        <f>'Fixas '!R23</f>
        <v/>
      </c>
      <c r="S32" s="94" t="str">
        <f>'Fixas '!S23</f>
        <v/>
      </c>
      <c r="T32" s="114" t="str">
        <f>'Fixas '!T23</f>
        <v/>
      </c>
      <c r="U32" s="94" t="str">
        <f>'Fixas '!U23</f>
        <v/>
      </c>
      <c r="V32" s="116" t="str">
        <f>'Fixas '!V23</f>
        <v/>
      </c>
      <c r="W32" s="94" t="str">
        <f>'Fixas '!W23</f>
        <v/>
      </c>
      <c r="X32" s="115" t="str">
        <f>'Fixas '!X23</f>
        <v/>
      </c>
      <c r="Y32" s="94" t="str">
        <f>'Fixas '!Y23</f>
        <v/>
      </c>
      <c r="Z32" s="118" t="str">
        <f>'Fixas '!Z23</f>
        <v/>
      </c>
      <c r="AA32" s="76"/>
    </row>
    <row r="33" ht="14.25" customHeight="1">
      <c r="A33" s="22"/>
      <c r="B33" s="22"/>
      <c r="C33" s="94" t="str">
        <f>'Fixas '!C24</f>
        <v/>
      </c>
      <c r="D33" s="95">
        <v>0.0</v>
      </c>
      <c r="E33" s="94" t="str">
        <f>'Fixas '!E24</f>
        <v/>
      </c>
      <c r="F33" s="112" t="str">
        <f>'Fixas '!F24</f>
        <v/>
      </c>
      <c r="G33" s="94" t="str">
        <f>'Fixas '!G24</f>
        <v/>
      </c>
      <c r="H33" s="113" t="str">
        <f>'Fixas '!H24</f>
        <v/>
      </c>
      <c r="I33" s="94" t="str">
        <f>'Fixas '!I24</f>
        <v/>
      </c>
      <c r="J33" s="114" t="str">
        <f>'Fixas '!J24</f>
        <v/>
      </c>
      <c r="K33" s="94" t="str">
        <f>'Fixas '!K24</f>
        <v/>
      </c>
      <c r="L33" s="115" t="str">
        <f>'Fixas '!L24</f>
        <v/>
      </c>
      <c r="M33" s="94" t="str">
        <f>'Fixas '!M24</f>
        <v/>
      </c>
      <c r="N33" s="116" t="str">
        <f>'Fixas '!N24</f>
        <v/>
      </c>
      <c r="O33" s="94" t="str">
        <f>'Fixas '!O24</f>
        <v/>
      </c>
      <c r="P33" s="94">
        <f>'Fixas '!P24</f>
        <v>0</v>
      </c>
      <c r="Q33" s="94" t="str">
        <f>'Fixas '!Q24</f>
        <v/>
      </c>
      <c r="R33" s="112" t="str">
        <f>'Fixas '!R24</f>
        <v/>
      </c>
      <c r="S33" s="94" t="str">
        <f>'Fixas '!S24</f>
        <v/>
      </c>
      <c r="T33" s="114" t="str">
        <f>'Fixas '!T24</f>
        <v/>
      </c>
      <c r="U33" s="94" t="str">
        <f>'Fixas '!U24</f>
        <v/>
      </c>
      <c r="V33" s="116" t="str">
        <f>'Fixas '!V24</f>
        <v/>
      </c>
      <c r="W33" s="94" t="str">
        <f>'Fixas '!W24</f>
        <v/>
      </c>
      <c r="X33" s="115" t="str">
        <f>'Fixas '!X24</f>
        <v/>
      </c>
      <c r="Y33" s="94" t="str">
        <f>'Fixas '!Y24</f>
        <v/>
      </c>
      <c r="Z33" s="118" t="str">
        <f>'Fixas '!Z24</f>
        <v/>
      </c>
      <c r="AA33" s="76"/>
    </row>
    <row r="34" ht="14.25" customHeight="1">
      <c r="A34" s="22"/>
      <c r="B34" s="22"/>
      <c r="C34" s="119" t="str">
        <f>'Fixas '!C19</f>
        <v/>
      </c>
      <c r="D34" s="95">
        <v>0.0</v>
      </c>
      <c r="E34" s="119" t="str">
        <f>'Fixas '!D19</f>
        <v>#REF!</v>
      </c>
      <c r="F34" s="120">
        <v>0.0</v>
      </c>
      <c r="G34" s="119" t="str">
        <f>'Fixas '!E19</f>
        <v/>
      </c>
      <c r="H34" s="121">
        <v>0.0</v>
      </c>
      <c r="I34" s="119" t="str">
        <f>'Fixas '!F19</f>
        <v/>
      </c>
      <c r="J34" s="122">
        <v>0.0</v>
      </c>
      <c r="K34" s="119" t="str">
        <f>'Fixas '!G19</f>
        <v/>
      </c>
      <c r="L34" s="123">
        <v>0.0</v>
      </c>
      <c r="M34" s="119" t="str">
        <f>'Fixas '!H19</f>
        <v/>
      </c>
      <c r="N34" s="124">
        <v>0.0</v>
      </c>
      <c r="O34" s="119" t="str">
        <f>'Fixas '!I19</f>
        <v/>
      </c>
      <c r="P34" s="125">
        <v>0.0</v>
      </c>
      <c r="Q34" s="119" t="str">
        <f>'Fixas '!J19</f>
        <v/>
      </c>
      <c r="R34" s="120">
        <v>0.0</v>
      </c>
      <c r="S34" s="119" t="str">
        <f>'Fixas '!K19</f>
        <v/>
      </c>
      <c r="T34" s="122">
        <v>0.0</v>
      </c>
      <c r="U34" s="119" t="str">
        <f>'Fixas '!L19</f>
        <v/>
      </c>
      <c r="V34" s="124">
        <v>0.0</v>
      </c>
      <c r="W34" s="126">
        <v>0.0</v>
      </c>
      <c r="X34" s="123">
        <v>0.0</v>
      </c>
      <c r="Y34" s="126">
        <v>0.0</v>
      </c>
      <c r="Z34" s="127">
        <v>0.0</v>
      </c>
      <c r="AA34" s="76"/>
    </row>
    <row r="35" ht="14.25" customHeight="1">
      <c r="A35" s="128" t="s">
        <v>72</v>
      </c>
      <c r="B35" s="129"/>
      <c r="C35" s="130">
        <f t="shared" ref="C35:Z35" si="2">SUM(C15:C34)</f>
        <v>0</v>
      </c>
      <c r="D35" s="130">
        <f t="shared" si="2"/>
        <v>0</v>
      </c>
      <c r="E35" s="130" t="str">
        <f t="shared" si="2"/>
        <v>#REF!</v>
      </c>
      <c r="F35" s="130">
        <f t="shared" si="2"/>
        <v>0</v>
      </c>
      <c r="G35" s="130">
        <f t="shared" si="2"/>
        <v>0</v>
      </c>
      <c r="H35" s="130">
        <f t="shared" si="2"/>
        <v>0</v>
      </c>
      <c r="I35" s="130">
        <f t="shared" si="2"/>
        <v>0</v>
      </c>
      <c r="J35" s="130">
        <f t="shared" si="2"/>
        <v>0</v>
      </c>
      <c r="K35" s="130">
        <f t="shared" si="2"/>
        <v>0</v>
      </c>
      <c r="L35" s="130">
        <f t="shared" si="2"/>
        <v>0</v>
      </c>
      <c r="M35" s="130">
        <f t="shared" si="2"/>
        <v>0</v>
      </c>
      <c r="N35" s="130">
        <f t="shared" si="2"/>
        <v>0</v>
      </c>
      <c r="O35" s="130">
        <f t="shared" si="2"/>
        <v>0</v>
      </c>
      <c r="P35" s="130" t="str">
        <f t="shared" si="2"/>
        <v>#REF!</v>
      </c>
      <c r="Q35" s="130">
        <f t="shared" si="2"/>
        <v>0</v>
      </c>
      <c r="R35" s="130">
        <f t="shared" si="2"/>
        <v>0</v>
      </c>
      <c r="S35" s="130">
        <f t="shared" si="2"/>
        <v>0</v>
      </c>
      <c r="T35" s="130">
        <f t="shared" si="2"/>
        <v>0</v>
      </c>
      <c r="U35" s="130">
        <f t="shared" si="2"/>
        <v>0</v>
      </c>
      <c r="V35" s="130">
        <f t="shared" si="2"/>
        <v>0</v>
      </c>
      <c r="W35" s="130">
        <f t="shared" si="2"/>
        <v>0</v>
      </c>
      <c r="X35" s="130">
        <f t="shared" si="2"/>
        <v>0</v>
      </c>
      <c r="Y35" s="130">
        <f t="shared" si="2"/>
        <v>0</v>
      </c>
      <c r="Z35" s="131">
        <f t="shared" si="2"/>
        <v>0</v>
      </c>
      <c r="AA35" s="132"/>
    </row>
    <row r="36" ht="14.25" customHeight="1">
      <c r="A36" s="133" t="s">
        <v>73</v>
      </c>
      <c r="B36" s="45"/>
      <c r="C36" s="134">
        <f t="shared" ref="C36:Z36" si="3">SUM(C11-C35)</f>
        <v>0</v>
      </c>
      <c r="D36" s="134">
        <f t="shared" si="3"/>
        <v>0</v>
      </c>
      <c r="E36" s="134" t="str">
        <f t="shared" si="3"/>
        <v>#REF!</v>
      </c>
      <c r="F36" s="134">
        <f t="shared" si="3"/>
        <v>0</v>
      </c>
      <c r="G36" s="134">
        <f t="shared" si="3"/>
        <v>0</v>
      </c>
      <c r="H36" s="134">
        <f t="shared" si="3"/>
        <v>0</v>
      </c>
      <c r="I36" s="134">
        <f t="shared" si="3"/>
        <v>0</v>
      </c>
      <c r="J36" s="134">
        <f t="shared" si="3"/>
        <v>0</v>
      </c>
      <c r="K36" s="134">
        <f t="shared" si="3"/>
        <v>0</v>
      </c>
      <c r="L36" s="134">
        <f t="shared" si="3"/>
        <v>0</v>
      </c>
      <c r="M36" s="134">
        <f t="shared" si="3"/>
        <v>0</v>
      </c>
      <c r="N36" s="134">
        <f t="shared" si="3"/>
        <v>0</v>
      </c>
      <c r="O36" s="134">
        <f t="shared" si="3"/>
        <v>0</v>
      </c>
      <c r="P36" s="134" t="str">
        <f t="shared" si="3"/>
        <v>#REF!</v>
      </c>
      <c r="Q36" s="134">
        <f t="shared" si="3"/>
        <v>0</v>
      </c>
      <c r="R36" s="134">
        <f t="shared" si="3"/>
        <v>0</v>
      </c>
      <c r="S36" s="134">
        <f t="shared" si="3"/>
        <v>0</v>
      </c>
      <c r="T36" s="134">
        <f t="shared" si="3"/>
        <v>0</v>
      </c>
      <c r="U36" s="134">
        <f t="shared" si="3"/>
        <v>0</v>
      </c>
      <c r="V36" s="134">
        <f t="shared" si="3"/>
        <v>0</v>
      </c>
      <c r="W36" s="134">
        <f t="shared" si="3"/>
        <v>0</v>
      </c>
      <c r="X36" s="134">
        <f t="shared" si="3"/>
        <v>0</v>
      </c>
      <c r="Y36" s="134">
        <f t="shared" si="3"/>
        <v>0</v>
      </c>
      <c r="Z36" s="135">
        <f t="shared" si="3"/>
        <v>0</v>
      </c>
      <c r="AA36" s="132"/>
    </row>
    <row r="37" ht="14.25" customHeight="1">
      <c r="A37" s="136"/>
      <c r="B37" s="21"/>
      <c r="N37" s="137"/>
      <c r="O37" s="137"/>
      <c r="P37" s="137"/>
      <c r="Q37" s="137"/>
      <c r="R37" s="137"/>
      <c r="S37" s="137"/>
      <c r="T37" s="137"/>
      <c r="U37" s="137"/>
      <c r="V37" s="138"/>
      <c r="W37" s="138"/>
      <c r="X37" s="138"/>
      <c r="Y37" s="138"/>
      <c r="Z37" s="139"/>
      <c r="AA37" s="139"/>
    </row>
    <row r="38" ht="14.25" customHeight="1">
      <c r="A38" s="35" t="s">
        <v>32</v>
      </c>
      <c r="B38" s="35"/>
      <c r="C38" s="140" t="s">
        <v>74</v>
      </c>
      <c r="D38" s="141" t="s">
        <v>75</v>
      </c>
      <c r="E38" s="140" t="s">
        <v>74</v>
      </c>
      <c r="F38" s="141" t="s">
        <v>75</v>
      </c>
      <c r="G38" s="140" t="s">
        <v>74</v>
      </c>
      <c r="H38" s="141" t="s">
        <v>75</v>
      </c>
      <c r="I38" s="140" t="s">
        <v>74</v>
      </c>
      <c r="J38" s="141" t="s">
        <v>75</v>
      </c>
      <c r="K38" s="140" t="s">
        <v>74</v>
      </c>
      <c r="L38" s="141" t="s">
        <v>75</v>
      </c>
      <c r="M38" s="140" t="s">
        <v>74</v>
      </c>
      <c r="N38" s="141" t="s">
        <v>75</v>
      </c>
      <c r="O38" s="140" t="s">
        <v>74</v>
      </c>
      <c r="P38" s="141" t="s">
        <v>75</v>
      </c>
      <c r="Q38" s="140" t="s">
        <v>74</v>
      </c>
      <c r="R38" s="141" t="s">
        <v>75</v>
      </c>
      <c r="S38" s="140" t="s">
        <v>74</v>
      </c>
      <c r="T38" s="141" t="s">
        <v>75</v>
      </c>
      <c r="U38" s="140" t="s">
        <v>74</v>
      </c>
      <c r="V38" s="142" t="s">
        <v>75</v>
      </c>
      <c r="W38" s="143" t="s">
        <v>74</v>
      </c>
      <c r="X38" s="142" t="s">
        <v>75</v>
      </c>
      <c r="Y38" s="143" t="s">
        <v>74</v>
      </c>
      <c r="Z38" s="142" t="s">
        <v>75</v>
      </c>
      <c r="AA38" s="143" t="s">
        <v>74</v>
      </c>
    </row>
    <row r="39" ht="14.25" customHeight="1">
      <c r="A39" s="41" t="s">
        <v>34</v>
      </c>
      <c r="B39" s="144">
        <v>0.5</v>
      </c>
      <c r="C39" s="43">
        <f>SUM(C35*B39)</f>
        <v>0</v>
      </c>
      <c r="D39" s="43">
        <f>SUM(D36*B39)</f>
        <v>0</v>
      </c>
      <c r="E39" s="43" t="str">
        <f>SUM(E35*B39)</f>
        <v>#REF!</v>
      </c>
      <c r="F39" s="43">
        <f>SUM(F36*B39)</f>
        <v>0</v>
      </c>
      <c r="G39" s="43">
        <f t="shared" ref="G39:G40" si="5">SUM(G35*B39)</f>
        <v>0</v>
      </c>
      <c r="H39" s="43">
        <f>SUM(H36*B39)</f>
        <v>0</v>
      </c>
      <c r="I39" s="43">
        <f t="shared" ref="I39:I40" si="6">SUM(I35*B39)</f>
        <v>0</v>
      </c>
      <c r="J39" s="43">
        <f>SUM(J36*B39)</f>
        <v>0</v>
      </c>
      <c r="K39" s="43">
        <f>SUM(K35*B39)</f>
        <v>0</v>
      </c>
      <c r="L39" s="43">
        <f>SUM(L36*B39)</f>
        <v>0</v>
      </c>
      <c r="M39" s="43">
        <f>SUM(M35*B39)</f>
        <v>0</v>
      </c>
      <c r="N39" s="43">
        <f>SUM(N36*B39)</f>
        <v>0</v>
      </c>
      <c r="O39" s="43">
        <f>SUM(O35*B39)</f>
        <v>0</v>
      </c>
      <c r="P39" s="43" t="str">
        <f t="shared" ref="P39:U39" si="4">SUM(P36*B39)</f>
        <v>#REF!</v>
      </c>
      <c r="Q39" s="43">
        <f t="shared" si="4"/>
        <v>0</v>
      </c>
      <c r="R39" s="43">
        <f t="shared" si="4"/>
        <v>0</v>
      </c>
      <c r="S39" s="43" t="str">
        <f t="shared" si="4"/>
        <v>#REF!</v>
      </c>
      <c r="T39" s="43">
        <f t="shared" si="4"/>
        <v>0</v>
      </c>
      <c r="U39" s="145">
        <f t="shared" si="4"/>
        <v>0</v>
      </c>
      <c r="V39" s="146">
        <f>SUM(V36*B39)</f>
        <v>0</v>
      </c>
      <c r="W39" s="146">
        <f>SUM(W35*B39)</f>
        <v>0</v>
      </c>
      <c r="X39" s="146">
        <f t="shared" ref="X39:X40" si="8">SUM(X35*B39)</f>
        <v>0</v>
      </c>
      <c r="Y39" s="146">
        <f>SUM(Y35*B39)</f>
        <v>0</v>
      </c>
      <c r="Z39" s="146">
        <f>SUM(Z36*B39)</f>
        <v>0</v>
      </c>
      <c r="AA39" s="146">
        <f t="shared" ref="AA39:AA40" si="9">SUM(Z35*B39)</f>
        <v>0</v>
      </c>
    </row>
    <row r="40" ht="14.25" customHeight="1">
      <c r="A40" s="147" t="s">
        <v>36</v>
      </c>
      <c r="B40" s="148">
        <v>0.5</v>
      </c>
      <c r="C40" s="149">
        <f>SUM(C35*B40)</f>
        <v>0</v>
      </c>
      <c r="D40" s="149">
        <f>SUM(D36*B40)</f>
        <v>0</v>
      </c>
      <c r="E40" s="149" t="str">
        <f>SUM(E35*B40)</f>
        <v>#REF!</v>
      </c>
      <c r="F40" s="149">
        <f>SUM(F36*B40)</f>
        <v>0</v>
      </c>
      <c r="G40" s="149">
        <f t="shared" si="5"/>
        <v>0</v>
      </c>
      <c r="H40" s="149">
        <f>SUM(H36*B40)</f>
        <v>0</v>
      </c>
      <c r="I40" s="149">
        <f t="shared" si="6"/>
        <v>0</v>
      </c>
      <c r="J40" s="149">
        <f>SUM(J36*B40)</f>
        <v>0</v>
      </c>
      <c r="K40" s="149">
        <f>SUM(K35*B40)</f>
        <v>0</v>
      </c>
      <c r="L40" s="149">
        <f>SUM(L36*B40)</f>
        <v>0</v>
      </c>
      <c r="M40" s="149">
        <f>SUM(M35*B40)</f>
        <v>0</v>
      </c>
      <c r="N40" s="149">
        <f>SUM(N36*B40)</f>
        <v>0</v>
      </c>
      <c r="O40" s="149">
        <f>SUM(O35*B40)</f>
        <v>0</v>
      </c>
      <c r="P40" s="149" t="str">
        <f t="shared" ref="P40:U40" si="7">SUM(P36*B40)</f>
        <v>#REF!</v>
      </c>
      <c r="Q40" s="149">
        <f t="shared" si="7"/>
        <v>0</v>
      </c>
      <c r="R40" s="149">
        <f t="shared" si="7"/>
        <v>0</v>
      </c>
      <c r="S40" s="149" t="str">
        <f t="shared" si="7"/>
        <v>#REF!</v>
      </c>
      <c r="T40" s="149">
        <f t="shared" si="7"/>
        <v>0</v>
      </c>
      <c r="U40" s="150">
        <f t="shared" si="7"/>
        <v>0</v>
      </c>
      <c r="V40" s="146">
        <f>SUM(V36*B40)</f>
        <v>0</v>
      </c>
      <c r="W40" s="146">
        <f>SUM(W35*B40)</f>
        <v>0</v>
      </c>
      <c r="X40" s="146">
        <f t="shared" si="8"/>
        <v>0</v>
      </c>
      <c r="Y40" s="146">
        <f>SUM(Y35*B40)</f>
        <v>0</v>
      </c>
      <c r="Z40" s="146">
        <f>SUM(Z36*B40)</f>
        <v>0</v>
      </c>
      <c r="AA40" s="146">
        <f t="shared" si="9"/>
        <v>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G4:G5"/>
    <mergeCell ref="H4:H5"/>
    <mergeCell ref="A13:A14"/>
    <mergeCell ref="A35:B35"/>
    <mergeCell ref="A36:B36"/>
    <mergeCell ref="I4:I5"/>
    <mergeCell ref="J4:J5"/>
    <mergeCell ref="G1:M2"/>
    <mergeCell ref="A4:A5"/>
    <mergeCell ref="B4:B5"/>
    <mergeCell ref="C4:C5"/>
    <mergeCell ref="D4:D5"/>
    <mergeCell ref="E4:E5"/>
    <mergeCell ref="F4:F5"/>
    <mergeCell ref="M4:M5"/>
    <mergeCell ref="K4:K5"/>
    <mergeCell ref="L4:L5"/>
    <mergeCell ref="N4:N5"/>
    <mergeCell ref="O4:O5"/>
    <mergeCell ref="P4:P5"/>
    <mergeCell ref="Q4:Q5"/>
    <mergeCell ref="R4:R5"/>
    <mergeCell ref="A6:Z6"/>
    <mergeCell ref="Z4:Z5"/>
    <mergeCell ref="AA4:AA5"/>
    <mergeCell ref="Z13:Z14"/>
    <mergeCell ref="AA13:AA14"/>
    <mergeCell ref="S4:S5"/>
    <mergeCell ref="T4:T5"/>
    <mergeCell ref="U4:U5"/>
    <mergeCell ref="V4:V5"/>
    <mergeCell ref="W4:W5"/>
    <mergeCell ref="X4:X5"/>
    <mergeCell ref="Y4:Y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4.43"/>
    <col customWidth="1" min="3" max="3" width="15.86"/>
    <col customWidth="1" min="4" max="6" width="14.43"/>
    <col customWidth="1" min="7" max="7" width="34.14"/>
    <col customWidth="1" min="8" max="8" width="18.57"/>
    <col customWidth="1" min="9" max="9" width="13.14"/>
    <col customWidth="1" min="12" max="12" width="22.86"/>
  </cols>
  <sheetData>
    <row r="1">
      <c r="A1" s="151"/>
      <c r="B1" s="152"/>
      <c r="C1" s="153"/>
      <c r="D1" s="26"/>
      <c r="E1" s="26"/>
      <c r="F1" s="26"/>
      <c r="S1" s="154"/>
    </row>
    <row r="2">
      <c r="A2" s="151"/>
      <c r="B2" s="152"/>
      <c r="C2" s="153"/>
      <c r="D2" s="26"/>
      <c r="E2" s="26"/>
      <c r="F2" s="26"/>
      <c r="S2" s="154"/>
    </row>
    <row r="3">
      <c r="B3" s="154"/>
      <c r="C3" s="21"/>
      <c r="D3" s="26"/>
      <c r="E3" s="26"/>
      <c r="F3" s="26"/>
      <c r="S3" s="154"/>
    </row>
    <row r="4">
      <c r="A4" s="155" t="s">
        <v>76</v>
      </c>
      <c r="B4" s="2"/>
      <c r="C4" s="2"/>
      <c r="D4" s="2"/>
      <c r="E4" s="2"/>
      <c r="F4" s="26"/>
      <c r="G4" s="156" t="s">
        <v>77</v>
      </c>
      <c r="H4" s="2"/>
      <c r="I4" s="2"/>
      <c r="J4" s="2"/>
      <c r="L4" s="157" t="s">
        <v>78</v>
      </c>
      <c r="M4" s="158"/>
      <c r="N4" s="158"/>
      <c r="O4" s="158"/>
      <c r="P4" s="32"/>
      <c r="S4" s="154"/>
    </row>
    <row r="5">
      <c r="A5" s="3"/>
      <c r="B5" s="4"/>
      <c r="C5" s="4"/>
      <c r="D5" s="4"/>
      <c r="E5" s="4"/>
      <c r="F5" s="26"/>
      <c r="G5" s="51"/>
      <c r="L5" s="36"/>
      <c r="M5" s="159"/>
      <c r="N5" s="159"/>
      <c r="O5" s="159"/>
      <c r="P5" s="37"/>
      <c r="S5" s="154"/>
    </row>
    <row r="6">
      <c r="A6" s="160" t="s">
        <v>79</v>
      </c>
      <c r="B6" s="161" t="s">
        <v>80</v>
      </c>
      <c r="C6" s="161" t="s">
        <v>81</v>
      </c>
      <c r="D6" s="162" t="s">
        <v>82</v>
      </c>
      <c r="E6" s="163" t="s">
        <v>83</v>
      </c>
      <c r="F6" s="10"/>
      <c r="G6" s="164" t="s">
        <v>84</v>
      </c>
      <c r="H6" s="165"/>
      <c r="I6" s="164" t="s">
        <v>85</v>
      </c>
      <c r="J6" s="164" t="s">
        <v>86</v>
      </c>
      <c r="K6" s="166"/>
      <c r="L6" s="167" t="s">
        <v>2</v>
      </c>
      <c r="M6" s="168" t="s">
        <v>87</v>
      </c>
      <c r="N6" s="169" t="s">
        <v>88</v>
      </c>
      <c r="O6" s="170" t="s">
        <v>89</v>
      </c>
      <c r="P6" s="171" t="s">
        <v>90</v>
      </c>
      <c r="S6" s="154"/>
    </row>
    <row r="7">
      <c r="A7" s="172" t="s">
        <v>91</v>
      </c>
      <c r="B7" s="173"/>
      <c r="C7" s="174">
        <v>30.0</v>
      </c>
      <c r="D7" s="154">
        <f t="shared" ref="D7:D23" si="1">(B7/30)*C7</f>
        <v>0</v>
      </c>
      <c r="E7" s="175" t="s">
        <v>92</v>
      </c>
      <c r="F7" s="25"/>
      <c r="G7" s="176" t="str">
        <f>(J7/I7)-1</f>
        <v>#DIV/0!</v>
      </c>
      <c r="H7" s="177"/>
      <c r="I7" s="178"/>
      <c r="J7" s="25"/>
      <c r="K7" s="166"/>
      <c r="L7" s="172" t="s">
        <v>17</v>
      </c>
      <c r="M7" s="74">
        <f>D24</f>
        <v>0</v>
      </c>
      <c r="N7" s="179">
        <f>M7+M8+M9+M10+M11</f>
        <v>0</v>
      </c>
      <c r="O7" s="180"/>
      <c r="P7" s="181"/>
      <c r="S7" s="154"/>
    </row>
    <row r="8">
      <c r="A8" s="172" t="s">
        <v>93</v>
      </c>
      <c r="B8" s="173"/>
      <c r="C8" s="174">
        <v>30.0</v>
      </c>
      <c r="D8" s="154">
        <f t="shared" si="1"/>
        <v>0</v>
      </c>
      <c r="E8" s="175" t="s">
        <v>92</v>
      </c>
      <c r="F8" s="25"/>
      <c r="G8" s="182"/>
      <c r="H8" s="182"/>
      <c r="I8" s="183" t="s">
        <v>94</v>
      </c>
      <c r="J8" s="184">
        <f>(I7-J7)</f>
        <v>0</v>
      </c>
      <c r="K8" s="166"/>
      <c r="L8" s="172" t="s">
        <v>95</v>
      </c>
      <c r="M8" s="74">
        <f>I14</f>
        <v>0</v>
      </c>
      <c r="N8" s="185"/>
      <c r="O8" s="186"/>
      <c r="S8" s="154"/>
    </row>
    <row r="9">
      <c r="A9" s="172" t="s">
        <v>96</v>
      </c>
      <c r="B9" s="173"/>
      <c r="C9" s="174">
        <v>30.0</v>
      </c>
      <c r="D9" s="154">
        <f t="shared" si="1"/>
        <v>0</v>
      </c>
      <c r="E9" s="23" t="s">
        <v>92</v>
      </c>
      <c r="F9" s="25"/>
      <c r="G9" s="182"/>
      <c r="H9" s="182"/>
      <c r="I9" s="182"/>
      <c r="J9" s="25"/>
      <c r="K9" s="166"/>
      <c r="L9" s="172" t="s">
        <v>97</v>
      </c>
      <c r="M9" s="74">
        <f>C46</f>
        <v>0</v>
      </c>
      <c r="N9" s="185"/>
      <c r="O9" s="186"/>
      <c r="S9" s="187"/>
    </row>
    <row r="10">
      <c r="A10" s="172" t="s">
        <v>98</v>
      </c>
      <c r="B10" s="173"/>
      <c r="C10" s="174">
        <v>30.0</v>
      </c>
      <c r="D10" s="154">
        <f t="shared" si="1"/>
        <v>0</v>
      </c>
      <c r="E10" s="23" t="s">
        <v>92</v>
      </c>
      <c r="F10" s="25"/>
      <c r="G10" s="182"/>
      <c r="H10" s="182"/>
      <c r="I10" s="182"/>
      <c r="J10" s="25"/>
      <c r="K10" s="166"/>
      <c r="L10" s="172" t="s">
        <v>99</v>
      </c>
      <c r="M10" s="74">
        <f>J40</f>
        <v>0</v>
      </c>
      <c r="N10" s="185"/>
      <c r="O10" s="186"/>
      <c r="S10" s="154"/>
    </row>
    <row r="11">
      <c r="A11" s="172" t="s">
        <v>100</v>
      </c>
      <c r="B11" s="173"/>
      <c r="C11" s="174">
        <v>30.0</v>
      </c>
      <c r="D11" s="154">
        <f t="shared" si="1"/>
        <v>0</v>
      </c>
      <c r="E11" s="23" t="s">
        <v>92</v>
      </c>
      <c r="F11" s="25"/>
      <c r="G11" s="156" t="s">
        <v>69</v>
      </c>
      <c r="H11" s="2"/>
      <c r="I11" s="2"/>
      <c r="J11" s="2"/>
      <c r="K11" s="166"/>
      <c r="L11" s="172"/>
      <c r="M11" s="74"/>
      <c r="N11" s="185"/>
      <c r="O11" s="186"/>
      <c r="S11" s="154"/>
    </row>
    <row r="12">
      <c r="A12" s="172" t="s">
        <v>101</v>
      </c>
      <c r="B12" s="173"/>
      <c r="C12" s="174">
        <v>30.0</v>
      </c>
      <c r="D12" s="154">
        <f t="shared" si="1"/>
        <v>0</v>
      </c>
      <c r="E12" s="23" t="s">
        <v>92</v>
      </c>
      <c r="F12" s="25"/>
      <c r="G12" s="3"/>
      <c r="H12" s="4"/>
      <c r="I12" s="4"/>
      <c r="J12" s="4"/>
      <c r="K12" s="166"/>
      <c r="L12" s="172"/>
      <c r="M12" s="74"/>
      <c r="N12" s="185"/>
      <c r="O12" s="186"/>
      <c r="S12" s="154"/>
    </row>
    <row r="13">
      <c r="A13" s="172" t="s">
        <v>102</v>
      </c>
      <c r="B13" s="173"/>
      <c r="C13" s="174">
        <v>30.0</v>
      </c>
      <c r="D13" s="154">
        <f t="shared" si="1"/>
        <v>0</v>
      </c>
      <c r="E13" s="23" t="s">
        <v>92</v>
      </c>
      <c r="F13" s="26"/>
      <c r="G13" s="163" t="s">
        <v>103</v>
      </c>
      <c r="H13" s="163" t="s">
        <v>104</v>
      </c>
      <c r="I13" s="188" t="s">
        <v>32</v>
      </c>
      <c r="J13" s="129"/>
      <c r="K13" s="166"/>
      <c r="L13" s="182"/>
      <c r="M13" s="25"/>
      <c r="N13" s="189"/>
      <c r="O13" s="189"/>
      <c r="S13" s="154"/>
    </row>
    <row r="14">
      <c r="A14" s="172" t="s">
        <v>105</v>
      </c>
      <c r="B14" s="173"/>
      <c r="C14" s="174">
        <v>30.0</v>
      </c>
      <c r="D14" s="154">
        <f t="shared" si="1"/>
        <v>0</v>
      </c>
      <c r="E14" s="23" t="s">
        <v>92</v>
      </c>
      <c r="F14" s="26"/>
      <c r="G14" s="190">
        <v>0.06</v>
      </c>
      <c r="H14" s="178"/>
      <c r="I14" s="191">
        <f>SUM(H14*G14)</f>
        <v>0</v>
      </c>
      <c r="J14" s="192"/>
      <c r="K14" s="166"/>
      <c r="L14" s="182"/>
      <c r="M14" s="25"/>
      <c r="N14" s="189"/>
      <c r="O14" s="189"/>
      <c r="S14" s="154"/>
    </row>
    <row r="15">
      <c r="A15" s="172" t="s">
        <v>106</v>
      </c>
      <c r="B15" s="173"/>
      <c r="C15" s="174">
        <v>30.0</v>
      </c>
      <c r="D15" s="154">
        <f t="shared" si="1"/>
        <v>0</v>
      </c>
      <c r="E15" s="23" t="s">
        <v>92</v>
      </c>
      <c r="F15" s="26"/>
      <c r="G15" s="166"/>
      <c r="H15" s="166"/>
      <c r="I15" s="166"/>
      <c r="J15" s="166"/>
      <c r="K15" s="166"/>
      <c r="L15" s="156" t="s">
        <v>107</v>
      </c>
      <c r="M15" s="2"/>
      <c r="N15" s="2"/>
      <c r="O15" s="2"/>
      <c r="P15" s="2"/>
      <c r="S15" s="154"/>
    </row>
    <row r="16">
      <c r="A16" s="172" t="s">
        <v>106</v>
      </c>
      <c r="B16" s="173"/>
      <c r="C16" s="174">
        <v>30.0</v>
      </c>
      <c r="D16" s="154">
        <f t="shared" si="1"/>
        <v>0</v>
      </c>
      <c r="E16" s="23" t="s">
        <v>92</v>
      </c>
      <c r="F16" s="26"/>
      <c r="G16" s="166"/>
      <c r="H16" s="166"/>
      <c r="I16" s="166"/>
      <c r="J16" s="166"/>
      <c r="K16" s="166"/>
      <c r="L16" s="51"/>
      <c r="S16" s="154"/>
    </row>
    <row r="17">
      <c r="A17" s="172" t="s">
        <v>108</v>
      </c>
      <c r="B17" s="173"/>
      <c r="C17" s="174">
        <v>30.0</v>
      </c>
      <c r="D17" s="154">
        <f t="shared" si="1"/>
        <v>0</v>
      </c>
      <c r="E17" s="23" t="s">
        <v>92</v>
      </c>
      <c r="F17" s="26"/>
      <c r="G17" s="166"/>
      <c r="H17" s="166"/>
      <c r="I17" s="166"/>
      <c r="J17" s="166"/>
      <c r="K17" s="166"/>
      <c r="L17" s="51"/>
      <c r="S17" s="154"/>
    </row>
    <row r="18">
      <c r="A18" s="172" t="s">
        <v>109</v>
      </c>
      <c r="B18" s="173"/>
      <c r="C18" s="174">
        <v>30.0</v>
      </c>
      <c r="D18" s="154">
        <f t="shared" si="1"/>
        <v>0</v>
      </c>
      <c r="E18" s="23" t="s">
        <v>92</v>
      </c>
      <c r="F18" s="26"/>
      <c r="G18" s="166"/>
      <c r="H18" s="166"/>
      <c r="I18" s="166"/>
      <c r="J18" s="166"/>
      <c r="K18" s="166"/>
      <c r="L18" s="51"/>
      <c r="S18" s="154"/>
    </row>
    <row r="19">
      <c r="A19" s="172" t="s">
        <v>110</v>
      </c>
      <c r="B19" s="173"/>
      <c r="C19" s="174">
        <v>30.0</v>
      </c>
      <c r="D19" s="154">
        <f t="shared" si="1"/>
        <v>0</v>
      </c>
      <c r="E19" s="23" t="s">
        <v>92</v>
      </c>
      <c r="F19" s="26"/>
      <c r="G19" s="166"/>
      <c r="H19" s="166"/>
      <c r="I19" s="166"/>
      <c r="J19" s="166"/>
      <c r="K19" s="166"/>
      <c r="L19" s="51"/>
      <c r="S19" s="154"/>
    </row>
    <row r="20">
      <c r="A20" s="172" t="s">
        <v>111</v>
      </c>
      <c r="B20" s="173"/>
      <c r="C20" s="174">
        <v>30.0</v>
      </c>
      <c r="D20" s="154">
        <f t="shared" si="1"/>
        <v>0</v>
      </c>
      <c r="E20" s="23" t="s">
        <v>92</v>
      </c>
      <c r="F20" s="26"/>
      <c r="G20" s="166"/>
      <c r="H20" s="166"/>
      <c r="I20" s="166"/>
      <c r="J20" s="166"/>
      <c r="K20" s="166"/>
      <c r="L20" s="193"/>
      <c r="M20" s="159"/>
      <c r="N20" s="159"/>
      <c r="O20" s="159"/>
      <c r="P20" s="159"/>
      <c r="S20" s="154"/>
    </row>
    <row r="21" ht="15.75" customHeight="1">
      <c r="A21" s="172" t="s">
        <v>112</v>
      </c>
      <c r="B21" s="173"/>
      <c r="C21" s="174">
        <v>30.0</v>
      </c>
      <c r="D21" s="154">
        <f t="shared" si="1"/>
        <v>0</v>
      </c>
      <c r="E21" s="23" t="s">
        <v>92</v>
      </c>
      <c r="F21" s="26"/>
      <c r="G21" s="166"/>
      <c r="H21" s="166"/>
      <c r="I21" s="166"/>
      <c r="J21" s="166"/>
      <c r="K21" s="166"/>
      <c r="L21" s="167" t="s">
        <v>113</v>
      </c>
      <c r="M21" s="194" t="s">
        <v>114</v>
      </c>
      <c r="N21" s="194" t="s">
        <v>115</v>
      </c>
      <c r="O21" s="169" t="s">
        <v>116</v>
      </c>
      <c r="P21" s="169" t="s">
        <v>117</v>
      </c>
      <c r="Q21" s="26"/>
      <c r="R21" s="26"/>
      <c r="S21" s="154"/>
    </row>
    <row r="22" ht="15.75" customHeight="1">
      <c r="A22" s="172" t="s">
        <v>118</v>
      </c>
      <c r="B22" s="173"/>
      <c r="C22" s="174">
        <v>30.0</v>
      </c>
      <c r="D22" s="154">
        <f t="shared" si="1"/>
        <v>0</v>
      </c>
      <c r="E22" s="23" t="s">
        <v>92</v>
      </c>
      <c r="F22" s="26"/>
      <c r="G22" s="166"/>
      <c r="H22" s="166"/>
      <c r="I22" s="166"/>
      <c r="J22" s="166"/>
      <c r="K22" s="166"/>
      <c r="L22" s="195" t="s">
        <v>119</v>
      </c>
      <c r="M22" s="196">
        <v>1.0</v>
      </c>
      <c r="N22" s="197"/>
      <c r="O22" s="25"/>
      <c r="P22" s="25"/>
      <c r="Q22" s="26"/>
      <c r="R22" s="26"/>
      <c r="S22" s="154"/>
    </row>
    <row r="23" ht="15.75" customHeight="1">
      <c r="A23" s="172" t="s">
        <v>120</v>
      </c>
      <c r="B23" s="173"/>
      <c r="C23" s="174">
        <v>30.0</v>
      </c>
      <c r="D23" s="154">
        <f t="shared" si="1"/>
        <v>0</v>
      </c>
      <c r="E23" s="23" t="s">
        <v>92</v>
      </c>
      <c r="F23" s="26"/>
      <c r="G23" s="166"/>
      <c r="H23" s="166"/>
      <c r="I23" s="166"/>
      <c r="J23" s="166"/>
      <c r="K23" s="166"/>
      <c r="L23" s="172" t="s">
        <v>121</v>
      </c>
      <c r="M23" s="198">
        <v>1.0</v>
      </c>
      <c r="N23" s="25"/>
      <c r="O23" s="25"/>
      <c r="Q23" s="26"/>
      <c r="R23" s="26"/>
      <c r="S23" s="154"/>
    </row>
    <row r="24" ht="15.75" customHeight="1">
      <c r="A24" s="199" t="s">
        <v>122</v>
      </c>
      <c r="B24" s="200">
        <f>SUM(B7:B23)</f>
        <v>0</v>
      </c>
      <c r="C24" s="28"/>
      <c r="D24" s="28">
        <f>SUM(D7:D23)</f>
        <v>0</v>
      </c>
      <c r="E24" s="28"/>
      <c r="F24" s="26"/>
      <c r="G24" s="166"/>
      <c r="H24" s="166"/>
      <c r="I24" s="166"/>
      <c r="J24" s="166"/>
      <c r="K24" s="166"/>
      <c r="L24" s="172" t="s">
        <v>123</v>
      </c>
      <c r="M24" s="198">
        <v>1.0</v>
      </c>
      <c r="N24" s="24"/>
      <c r="O24" s="25"/>
      <c r="P24" s="25"/>
      <c r="Q24" s="26"/>
      <c r="R24" s="26"/>
      <c r="S24" s="154"/>
    </row>
    <row r="25" ht="15.75" customHeight="1">
      <c r="B25" s="201"/>
      <c r="C25" s="21"/>
      <c r="D25" s="26"/>
      <c r="E25" s="26"/>
      <c r="F25" s="26"/>
      <c r="G25" s="202"/>
      <c r="H25" s="202"/>
      <c r="I25" s="202"/>
      <c r="J25" s="202"/>
      <c r="K25" s="26"/>
      <c r="L25" s="172"/>
      <c r="M25" s="203">
        <v>1.0</v>
      </c>
      <c r="N25" s="77"/>
      <c r="O25" s="25"/>
      <c r="P25" s="26"/>
      <c r="Q25" s="26"/>
      <c r="R25" s="26"/>
      <c r="S25" s="154"/>
    </row>
    <row r="26" ht="15.75" customHeight="1">
      <c r="B26" s="201"/>
      <c r="C26" s="21"/>
      <c r="D26" s="26"/>
      <c r="E26" s="26"/>
      <c r="F26" s="26"/>
      <c r="G26" s="155" t="s">
        <v>124</v>
      </c>
      <c r="H26" s="2"/>
      <c r="I26" s="2"/>
      <c r="J26" s="2"/>
      <c r="K26" s="26"/>
      <c r="L26" s="172"/>
      <c r="M26" s="203">
        <v>1.0</v>
      </c>
      <c r="N26" s="77"/>
      <c r="O26" s="25"/>
      <c r="P26" s="25"/>
      <c r="Q26" s="26"/>
      <c r="R26" s="26"/>
      <c r="S26" s="154"/>
    </row>
    <row r="27" ht="15.75" customHeight="1">
      <c r="A27" s="26"/>
      <c r="B27" s="154"/>
      <c r="C27" s="21"/>
      <c r="D27" s="26"/>
      <c r="E27" s="26"/>
      <c r="F27" s="26"/>
      <c r="G27" s="3"/>
      <c r="H27" s="4"/>
      <c r="I27" s="4"/>
      <c r="J27" s="4"/>
      <c r="K27" s="26"/>
      <c r="L27" s="172"/>
      <c r="M27" s="203"/>
      <c r="N27" s="77"/>
      <c r="O27" s="25"/>
      <c r="P27" s="26"/>
      <c r="Q27" s="26"/>
      <c r="R27" s="26"/>
      <c r="S27" s="154"/>
    </row>
    <row r="28" ht="15.75" customHeight="1">
      <c r="A28" s="26"/>
      <c r="B28" s="154"/>
      <c r="C28" s="21"/>
      <c r="D28" s="26"/>
      <c r="E28" s="26"/>
      <c r="F28" s="26"/>
      <c r="G28" s="160" t="s">
        <v>79</v>
      </c>
      <c r="H28" s="204" t="s">
        <v>125</v>
      </c>
      <c r="I28" s="163" t="s">
        <v>87</v>
      </c>
      <c r="J28" s="163" t="s">
        <v>83</v>
      </c>
      <c r="L28" s="205" t="s">
        <v>122</v>
      </c>
      <c r="M28" s="159"/>
      <c r="N28" s="37"/>
      <c r="O28" s="206">
        <f t="shared" ref="O28:P28" si="2">SUM(O22:O27)</f>
        <v>0</v>
      </c>
      <c r="P28" s="206">
        <f t="shared" si="2"/>
        <v>0</v>
      </c>
      <c r="Q28" s="26"/>
      <c r="R28" s="26"/>
      <c r="S28" s="154"/>
    </row>
    <row r="29" ht="15.75" customHeight="1">
      <c r="A29" s="207" t="s">
        <v>126</v>
      </c>
      <c r="B29" s="2"/>
      <c r="C29" s="2"/>
      <c r="D29" s="26"/>
      <c r="E29" s="26"/>
      <c r="F29" s="26"/>
      <c r="G29" s="172" t="s">
        <v>127</v>
      </c>
      <c r="H29" s="172"/>
      <c r="I29" s="208"/>
      <c r="J29" s="23" t="s">
        <v>92</v>
      </c>
      <c r="P29" s="26"/>
      <c r="Q29" s="26"/>
      <c r="R29" s="26"/>
      <c r="S29" s="154"/>
    </row>
    <row r="30" ht="15.75" customHeight="1">
      <c r="A30" s="3"/>
      <c r="B30" s="4"/>
      <c r="C30" s="4"/>
      <c r="D30" s="26"/>
      <c r="E30" s="26"/>
      <c r="F30" s="26"/>
      <c r="G30" s="172"/>
      <c r="H30" s="209">
        <v>45203.0</v>
      </c>
      <c r="I30" s="74"/>
      <c r="J30" s="23" t="s">
        <v>92</v>
      </c>
      <c r="P30" s="26"/>
      <c r="Q30" s="26"/>
      <c r="R30" s="26"/>
      <c r="S30" s="154"/>
    </row>
    <row r="31" ht="15.75" customHeight="1">
      <c r="A31" s="160" t="s">
        <v>79</v>
      </c>
      <c r="B31" s="210" t="s">
        <v>87</v>
      </c>
      <c r="C31" s="163" t="s">
        <v>83</v>
      </c>
      <c r="D31" s="26"/>
      <c r="E31" s="26"/>
      <c r="F31" s="26"/>
      <c r="G31" s="172"/>
      <c r="H31" s="172"/>
      <c r="I31" s="74"/>
      <c r="J31" s="23" t="s">
        <v>92</v>
      </c>
      <c r="L31" s="211" t="s">
        <v>128</v>
      </c>
      <c r="M31" s="2"/>
      <c r="N31" s="2"/>
      <c r="P31" s="26"/>
      <c r="Q31" s="26"/>
      <c r="R31" s="26"/>
      <c r="S31" s="154"/>
    </row>
    <row r="32" ht="15.75" customHeight="1">
      <c r="A32" s="172" t="s">
        <v>22</v>
      </c>
      <c r="B32" s="212"/>
      <c r="C32" s="175" t="s">
        <v>92</v>
      </c>
      <c r="D32" s="26"/>
      <c r="E32" s="26"/>
      <c r="F32" s="26"/>
      <c r="G32" s="172"/>
      <c r="H32" s="172"/>
      <c r="I32" s="74"/>
      <c r="J32" s="213" t="s">
        <v>129</v>
      </c>
      <c r="L32" s="214"/>
      <c r="Q32" s="26"/>
      <c r="R32" s="26"/>
      <c r="S32" s="154"/>
    </row>
    <row r="33" ht="15.75" customHeight="1">
      <c r="A33" s="172" t="s">
        <v>130</v>
      </c>
      <c r="B33" s="215"/>
      <c r="C33" s="23" t="s">
        <v>92</v>
      </c>
      <c r="D33" s="26"/>
      <c r="E33" s="26"/>
      <c r="F33" s="26"/>
      <c r="G33" s="172"/>
      <c r="H33" s="172"/>
      <c r="I33" s="74"/>
      <c r="J33" s="213" t="s">
        <v>129</v>
      </c>
      <c r="L33" s="216" t="s">
        <v>131</v>
      </c>
      <c r="M33" s="217">
        <f>O28</f>
        <v>0</v>
      </c>
      <c r="N33" s="39"/>
      <c r="Q33" s="26"/>
      <c r="R33" s="26"/>
      <c r="S33" s="154"/>
    </row>
    <row r="34" ht="15.75" customHeight="1">
      <c r="A34" s="172" t="s">
        <v>132</v>
      </c>
      <c r="B34" s="173"/>
      <c r="C34" s="23" t="s">
        <v>92</v>
      </c>
      <c r="D34" s="26"/>
      <c r="E34" s="26"/>
      <c r="F34" s="26"/>
      <c r="G34" s="172"/>
      <c r="H34" s="209">
        <v>44959.0</v>
      </c>
      <c r="I34" s="74"/>
      <c r="J34" s="213" t="s">
        <v>129</v>
      </c>
      <c r="L34" s="218" t="s">
        <v>133</v>
      </c>
      <c r="M34" s="219">
        <f>N7</f>
        <v>0</v>
      </c>
      <c r="N34" s="220"/>
      <c r="Q34" s="26"/>
      <c r="R34" s="26"/>
      <c r="S34" s="154"/>
    </row>
    <row r="35" ht="15.75" customHeight="1">
      <c r="A35" s="172" t="s">
        <v>134</v>
      </c>
      <c r="B35" s="173"/>
      <c r="C35" s="23" t="s">
        <v>92</v>
      </c>
      <c r="D35" s="26"/>
      <c r="E35" s="26"/>
      <c r="F35" s="26"/>
      <c r="G35" s="172"/>
      <c r="H35" s="209">
        <v>44959.0</v>
      </c>
      <c r="I35" s="221"/>
      <c r="J35" s="213" t="s">
        <v>129</v>
      </c>
      <c r="L35" s="222" t="s">
        <v>135</v>
      </c>
      <c r="M35" s="223">
        <f>SUM(M33-M34)</f>
        <v>0</v>
      </c>
      <c r="N35" s="220"/>
      <c r="Q35" s="26"/>
      <c r="R35" s="26"/>
      <c r="S35" s="154"/>
    </row>
    <row r="36" ht="15.75" customHeight="1">
      <c r="A36" s="172" t="s">
        <v>136</v>
      </c>
      <c r="B36" s="173"/>
      <c r="C36" s="23" t="s">
        <v>92</v>
      </c>
      <c r="D36" s="26"/>
      <c r="E36" s="26"/>
      <c r="F36" s="26"/>
      <c r="G36" s="172"/>
      <c r="H36" s="209">
        <v>44927.0</v>
      </c>
      <c r="I36" s="74"/>
      <c r="J36" s="213" t="s">
        <v>129</v>
      </c>
      <c r="L36" s="224"/>
      <c r="M36" s="225"/>
      <c r="Q36" s="26"/>
      <c r="R36" s="26"/>
      <c r="S36" s="154"/>
    </row>
    <row r="37" ht="15.75" customHeight="1">
      <c r="A37" s="172" t="s">
        <v>137</v>
      </c>
      <c r="B37" s="173"/>
      <c r="C37" s="23" t="s">
        <v>92</v>
      </c>
      <c r="D37" s="26"/>
      <c r="E37" s="26"/>
      <c r="F37" s="26"/>
      <c r="G37" s="172"/>
      <c r="H37" s="209">
        <v>44958.0</v>
      </c>
      <c r="I37" s="221"/>
      <c r="J37" s="213" t="s">
        <v>129</v>
      </c>
      <c r="L37" s="225"/>
      <c r="M37" s="225"/>
      <c r="N37" s="225"/>
      <c r="O37" s="226"/>
      <c r="Q37" s="26"/>
      <c r="R37" s="26"/>
      <c r="S37" s="154"/>
    </row>
    <row r="38" ht="15.75" customHeight="1">
      <c r="A38" s="172" t="s">
        <v>138</v>
      </c>
      <c r="B38" s="173"/>
      <c r="C38" s="23" t="s">
        <v>92</v>
      </c>
      <c r="D38" s="26"/>
      <c r="E38" s="26"/>
      <c r="F38" s="26"/>
      <c r="G38" s="172"/>
      <c r="H38" s="172"/>
      <c r="I38" s="221"/>
      <c r="J38" s="213" t="s">
        <v>129</v>
      </c>
      <c r="L38" s="227" t="s">
        <v>139</v>
      </c>
      <c r="M38" s="227" t="s">
        <v>1</v>
      </c>
      <c r="N38" s="227" t="s">
        <v>140</v>
      </c>
      <c r="O38" s="228" t="s">
        <v>141</v>
      </c>
      <c r="P38" s="229" t="s">
        <v>135</v>
      </c>
      <c r="Q38" s="26"/>
      <c r="R38" s="26"/>
      <c r="S38" s="154"/>
    </row>
    <row r="39" ht="15.75" customHeight="1">
      <c r="A39" s="172" t="s">
        <v>142</v>
      </c>
      <c r="B39" s="173"/>
      <c r="C39" s="23" t="s">
        <v>92</v>
      </c>
      <c r="D39" s="26"/>
      <c r="E39" s="26"/>
      <c r="F39" s="26"/>
      <c r="G39" s="172"/>
      <c r="H39" s="209"/>
      <c r="I39" s="221"/>
      <c r="J39" s="213" t="s">
        <v>129</v>
      </c>
      <c r="L39" s="14"/>
      <c r="M39" s="14"/>
      <c r="N39" s="14"/>
      <c r="O39" s="14"/>
      <c r="P39" s="14"/>
      <c r="Q39" s="26"/>
      <c r="R39" s="26"/>
      <c r="S39" s="201"/>
    </row>
    <row r="40" ht="15.75" customHeight="1">
      <c r="A40" s="172" t="s">
        <v>143</v>
      </c>
      <c r="B40" s="173"/>
      <c r="C40" s="23" t="s">
        <v>92</v>
      </c>
      <c r="D40" s="26"/>
      <c r="E40" s="26"/>
      <c r="F40" s="26"/>
      <c r="G40" s="199" t="s">
        <v>122</v>
      </c>
      <c r="H40" s="4"/>
      <c r="I40" s="230"/>
      <c r="J40" s="28">
        <f>SUM(I29:I39)</f>
        <v>0</v>
      </c>
      <c r="L40" s="231" t="s">
        <v>144</v>
      </c>
      <c r="M40" s="232" t="s">
        <v>131</v>
      </c>
      <c r="N40" s="233">
        <v>1.0</v>
      </c>
      <c r="O40" s="234">
        <f>O28</f>
        <v>0</v>
      </c>
      <c r="P40" s="235">
        <f>O40-O41</f>
        <v>0</v>
      </c>
      <c r="Q40" s="26"/>
      <c r="R40" s="26"/>
      <c r="S40" s="154"/>
    </row>
    <row r="41" ht="15.75" customHeight="1">
      <c r="A41" s="172" t="s">
        <v>145</v>
      </c>
      <c r="B41" s="173"/>
      <c r="C41" s="23" t="s">
        <v>92</v>
      </c>
      <c r="D41" s="26"/>
      <c r="E41" s="26"/>
      <c r="F41" s="26"/>
      <c r="L41" s="14"/>
      <c r="M41" s="236" t="s">
        <v>79</v>
      </c>
      <c r="N41" s="14"/>
      <c r="O41" s="237">
        <f>M34</f>
        <v>0</v>
      </c>
      <c r="P41" s="14"/>
      <c r="S41" s="154"/>
    </row>
    <row r="42" ht="15.75" customHeight="1">
      <c r="A42" s="172" t="s">
        <v>146</v>
      </c>
      <c r="B42" s="238"/>
      <c r="C42" s="213" t="s">
        <v>129</v>
      </c>
      <c r="D42" s="26"/>
      <c r="E42" s="26"/>
      <c r="F42" s="26"/>
      <c r="L42" s="231" t="s">
        <v>90</v>
      </c>
      <c r="M42" s="232" t="s">
        <v>131</v>
      </c>
      <c r="N42" s="233">
        <v>1.0</v>
      </c>
      <c r="O42" s="234">
        <f>SUM(O22:O27)</f>
        <v>0</v>
      </c>
      <c r="P42" s="235">
        <f>O42-O43</f>
        <v>0</v>
      </c>
      <c r="S42" s="154"/>
    </row>
    <row r="43" ht="15.75" customHeight="1">
      <c r="A43" s="172" t="s">
        <v>147</v>
      </c>
      <c r="B43" s="238"/>
      <c r="C43" s="213" t="s">
        <v>129</v>
      </c>
      <c r="D43" s="26"/>
      <c r="E43" s="26"/>
      <c r="F43" s="26"/>
      <c r="L43" s="14"/>
      <c r="M43" s="236" t="s">
        <v>79</v>
      </c>
      <c r="N43" s="14"/>
      <c r="O43" s="237">
        <f>O41</f>
        <v>0</v>
      </c>
      <c r="P43" s="14"/>
      <c r="S43" s="154"/>
    </row>
    <row r="44" ht="15.75" customHeight="1">
      <c r="A44" s="172" t="s">
        <v>148</v>
      </c>
      <c r="B44" s="238"/>
      <c r="C44" s="213" t="s">
        <v>129</v>
      </c>
      <c r="D44" s="26"/>
      <c r="E44" s="26"/>
      <c r="F44" s="26"/>
      <c r="L44" s="239"/>
      <c r="M44" s="239"/>
      <c r="N44" s="25"/>
      <c r="O44" s="25"/>
      <c r="S44" s="154"/>
    </row>
    <row r="45" ht="15.75" customHeight="1">
      <c r="A45" s="172" t="s">
        <v>149</v>
      </c>
      <c r="B45" s="238"/>
      <c r="C45" s="213" t="s">
        <v>129</v>
      </c>
      <c r="D45" s="26"/>
      <c r="E45" s="26"/>
      <c r="F45" s="26"/>
      <c r="L45" s="182"/>
      <c r="M45" s="25"/>
      <c r="N45" s="25"/>
      <c r="O45" s="25"/>
      <c r="S45" s="154"/>
    </row>
    <row r="46" ht="15.75" customHeight="1">
      <c r="A46" s="199" t="s">
        <v>122</v>
      </c>
      <c r="B46" s="230"/>
      <c r="C46" s="28">
        <f>SUM(B32:B45)</f>
        <v>0</v>
      </c>
      <c r="D46" s="26"/>
      <c r="E46" s="26"/>
      <c r="F46" s="26"/>
      <c r="L46" s="182"/>
      <c r="M46" s="25"/>
      <c r="N46" s="25"/>
      <c r="O46" s="25"/>
      <c r="S46" s="154"/>
    </row>
    <row r="47" ht="15.75" customHeight="1">
      <c r="B47" s="154"/>
      <c r="C47" s="21"/>
      <c r="D47" s="26"/>
      <c r="E47" s="26"/>
      <c r="F47" s="26"/>
      <c r="L47" s="182"/>
      <c r="M47" s="26"/>
      <c r="N47" s="26"/>
      <c r="O47" s="25"/>
      <c r="S47" s="154"/>
    </row>
    <row r="48" ht="15.75" customHeight="1">
      <c r="B48" s="154"/>
      <c r="C48" s="21"/>
      <c r="D48" s="26"/>
      <c r="E48" s="26"/>
      <c r="F48" s="26"/>
      <c r="L48" s="240"/>
      <c r="O48" s="240"/>
      <c r="S48" s="154"/>
    </row>
    <row r="49" ht="15.75" customHeight="1">
      <c r="B49" s="154"/>
      <c r="C49" s="21"/>
      <c r="D49" s="26"/>
      <c r="E49" s="26"/>
      <c r="F49" s="26"/>
      <c r="L49" s="26"/>
      <c r="M49" s="26"/>
      <c r="N49" s="26"/>
      <c r="O49" s="26"/>
      <c r="S49" s="154"/>
    </row>
    <row r="50" ht="15.75" customHeight="1">
      <c r="B50" s="154"/>
      <c r="C50" s="21"/>
      <c r="D50" s="26"/>
      <c r="E50" s="26"/>
      <c r="F50" s="26"/>
      <c r="L50" s="26"/>
      <c r="O50" s="26"/>
      <c r="S50" s="154"/>
    </row>
    <row r="51" ht="15.75" customHeight="1">
      <c r="B51" s="154"/>
      <c r="C51" s="21"/>
      <c r="D51" s="26"/>
      <c r="E51" s="26"/>
      <c r="F51" s="26"/>
      <c r="S51" s="154"/>
    </row>
    <row r="52" ht="15.75" customHeight="1">
      <c r="B52" s="154"/>
      <c r="C52" s="21"/>
      <c r="D52" s="26"/>
      <c r="E52" s="26"/>
      <c r="F52" s="26"/>
      <c r="S52" s="154"/>
    </row>
    <row r="53" ht="15.75" customHeight="1">
      <c r="B53" s="154"/>
      <c r="C53" s="21"/>
      <c r="D53" s="26"/>
      <c r="E53" s="26"/>
      <c r="F53" s="26"/>
      <c r="S53" s="154"/>
    </row>
    <row r="54" ht="15.75" customHeight="1">
      <c r="B54" s="154"/>
      <c r="C54" s="21"/>
      <c r="D54" s="26"/>
      <c r="E54" s="26"/>
      <c r="F54" s="26"/>
      <c r="S54" s="154"/>
    </row>
    <row r="55" ht="15.75" customHeight="1">
      <c r="B55" s="154"/>
      <c r="C55" s="21"/>
      <c r="D55" s="26"/>
      <c r="E55" s="26"/>
    </row>
    <row r="56" ht="15.75" customHeight="1">
      <c r="B56" s="154"/>
      <c r="C56" s="21"/>
      <c r="D56" s="26"/>
      <c r="E56" s="26"/>
    </row>
    <row r="57" ht="15.75" customHeight="1">
      <c r="D57" s="26"/>
      <c r="E57" s="26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4:E5"/>
    <mergeCell ref="G4:J5"/>
    <mergeCell ref="L4:P5"/>
    <mergeCell ref="G11:J12"/>
    <mergeCell ref="I13:J13"/>
    <mergeCell ref="I14:J14"/>
    <mergeCell ref="L15:P20"/>
    <mergeCell ref="G26:J27"/>
    <mergeCell ref="L28:N28"/>
    <mergeCell ref="A29:C30"/>
    <mergeCell ref="L31:N32"/>
    <mergeCell ref="M33:N33"/>
    <mergeCell ref="M34:N34"/>
    <mergeCell ref="M35:N35"/>
    <mergeCell ref="P38:P39"/>
    <mergeCell ref="P40:P41"/>
    <mergeCell ref="P42:P43"/>
    <mergeCell ref="N40:N41"/>
    <mergeCell ref="N42:N43"/>
    <mergeCell ref="L48:N48"/>
    <mergeCell ref="L38:L39"/>
    <mergeCell ref="M38:M39"/>
    <mergeCell ref="N38:N39"/>
    <mergeCell ref="O38:O39"/>
    <mergeCell ref="G40:I40"/>
    <mergeCell ref="L40:L41"/>
    <mergeCell ref="L42:L43"/>
    <mergeCell ref="A46:B46"/>
  </mergeCells>
  <dataValidations>
    <dataValidation type="list" allowBlank="1" showErrorMessage="1" sqref="E7:E23 J29:J39 C32:C45">
      <formula1>'DADOS_NÃO_ALTERE_'!$A$2:$A$4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F4F"/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19.14"/>
    <col customWidth="1" min="3" max="3" width="18.43"/>
    <col customWidth="1" min="4" max="4" width="20.14"/>
    <col customWidth="1" min="5" max="5" width="18.86"/>
    <col customWidth="1" min="6" max="6" width="8.71"/>
    <col customWidth="1" min="7" max="7" width="22.86"/>
    <col customWidth="1" min="8" max="8" width="8.71"/>
    <col customWidth="1" min="9" max="9" width="16.86"/>
    <col customWidth="1" min="10" max="10" width="8.71"/>
    <col customWidth="1" min="11" max="11" width="22.14"/>
    <col customWidth="1" min="12" max="12" width="26.57"/>
    <col customWidth="1" min="13" max="13" width="15.0"/>
    <col customWidth="1" min="14" max="14" width="10.57"/>
    <col customWidth="1" min="15" max="15" width="8.71"/>
  </cols>
  <sheetData>
    <row r="1" ht="14.25" customHeight="1"/>
    <row r="2" ht="14.25" customHeight="1"/>
    <row r="3" ht="14.25" customHeight="1">
      <c r="B3" s="241" t="s">
        <v>150</v>
      </c>
      <c r="C3" s="241" t="s">
        <v>151</v>
      </c>
      <c r="D3" s="242" t="s">
        <v>152</v>
      </c>
      <c r="E3" s="242" t="s">
        <v>153</v>
      </c>
      <c r="G3" s="243" t="s">
        <v>154</v>
      </c>
      <c r="H3" s="244"/>
      <c r="I3" s="245"/>
      <c r="K3" s="246" t="s">
        <v>155</v>
      </c>
      <c r="L3" s="2"/>
    </row>
    <row r="4" ht="14.25" customHeight="1">
      <c r="B4" s="15"/>
      <c r="C4" s="15"/>
      <c r="D4" s="15"/>
      <c r="E4" s="15"/>
      <c r="G4" s="247"/>
      <c r="I4" s="192"/>
      <c r="K4" s="248"/>
      <c r="L4" s="159"/>
    </row>
    <row r="5" ht="14.25" customHeight="1">
      <c r="B5" s="10"/>
      <c r="G5" s="249" t="s">
        <v>156</v>
      </c>
      <c r="H5" s="250" t="s">
        <v>157</v>
      </c>
      <c r="I5" s="251"/>
      <c r="K5" s="252" t="s">
        <v>156</v>
      </c>
      <c r="L5" s="253" t="s">
        <v>157</v>
      </c>
    </row>
    <row r="6" ht="14.25" customHeight="1">
      <c r="B6" s="254" t="s">
        <v>158</v>
      </c>
      <c r="C6" s="255"/>
      <c r="D6" s="255"/>
      <c r="E6" s="255"/>
      <c r="G6" s="256">
        <v>0.5</v>
      </c>
      <c r="H6" s="257">
        <v>0.5</v>
      </c>
      <c r="I6" s="258"/>
      <c r="K6" s="256">
        <v>0.5</v>
      </c>
      <c r="L6" s="256">
        <v>0.5</v>
      </c>
      <c r="M6" s="259"/>
    </row>
    <row r="7" ht="14.25" customHeight="1">
      <c r="B7" s="69"/>
      <c r="C7" s="69"/>
      <c r="D7" s="69"/>
      <c r="E7" s="69"/>
      <c r="G7" s="260">
        <f>SUM(D6*G6)</f>
        <v>0</v>
      </c>
      <c r="H7" s="261">
        <f>SUM(D6*H6)</f>
        <v>0</v>
      </c>
      <c r="I7" s="262"/>
      <c r="K7" s="263">
        <f>SUM(E6*K6)</f>
        <v>0</v>
      </c>
      <c r="L7" s="263">
        <f>SUM(E6*L6)</f>
        <v>0</v>
      </c>
    </row>
    <row r="8" ht="14.25" customHeight="1">
      <c r="B8" s="264" t="s">
        <v>159</v>
      </c>
      <c r="C8" s="265"/>
      <c r="D8" s="265"/>
      <c r="E8" s="266"/>
      <c r="G8" s="267">
        <f>SUM(D8*G6)</f>
        <v>0</v>
      </c>
      <c r="H8" s="268">
        <f>SUM(D8*H6)</f>
        <v>0</v>
      </c>
      <c r="I8" s="245"/>
      <c r="K8" s="269">
        <f>SUM(E8*K6)</f>
        <v>0</v>
      </c>
      <c r="L8" s="269">
        <f>SUM(E8*L6)</f>
        <v>0</v>
      </c>
    </row>
    <row r="9" ht="14.25" customHeight="1">
      <c r="B9" s="70"/>
      <c r="C9" s="270"/>
      <c r="D9" s="270"/>
      <c r="E9" s="271"/>
      <c r="G9" s="70"/>
      <c r="H9" s="3"/>
      <c r="I9" s="230"/>
      <c r="K9" s="14"/>
      <c r="L9" s="14"/>
    </row>
    <row r="10" ht="14.25" customHeight="1">
      <c r="B10" s="272" t="s">
        <v>160</v>
      </c>
      <c r="C10" s="273" t="str">
        <f t="shared" ref="C10:D10" si="1">#REF!</f>
        <v>#REF!</v>
      </c>
      <c r="D10" s="273" t="str">
        <f t="shared" si="1"/>
        <v>#REF!</v>
      </c>
      <c r="E10" s="274"/>
      <c r="G10" s="275" t="str">
        <f>SUM(D10*G6)</f>
        <v>#REF!</v>
      </c>
      <c r="H10" s="273" t="str">
        <f>SUM(D10*H6)</f>
        <v>#REF!</v>
      </c>
      <c r="I10" s="245"/>
      <c r="K10" s="276">
        <f>SUM(E10*K6)</f>
        <v>0</v>
      </c>
      <c r="L10" s="276">
        <f>SUM(E10*L6)</f>
        <v>0</v>
      </c>
    </row>
    <row r="11" ht="14.25" customHeight="1">
      <c r="B11" s="70"/>
      <c r="C11" s="4"/>
      <c r="D11" s="4"/>
      <c r="E11" s="230"/>
      <c r="G11" s="70"/>
      <c r="H11" s="4"/>
      <c r="I11" s="230"/>
      <c r="K11" s="14"/>
      <c r="L11" s="14"/>
    </row>
    <row r="12" ht="14.25" customHeight="1">
      <c r="B12" s="277" t="s">
        <v>161</v>
      </c>
      <c r="C12" s="278" t="str">
        <f t="shared" ref="C12:D12" si="2">#REF!</f>
        <v>#REF!</v>
      </c>
      <c r="D12" s="278" t="str">
        <f t="shared" si="2"/>
        <v>#REF!</v>
      </c>
      <c r="E12" s="279"/>
      <c r="G12" s="280" t="str">
        <f>SUM(D12*G6)</f>
        <v>#REF!</v>
      </c>
      <c r="H12" s="281" t="str">
        <f>SUM(D12*H6)</f>
        <v>#REF!</v>
      </c>
      <c r="I12" s="245"/>
      <c r="K12" s="269">
        <f>SUM(E12*K6)</f>
        <v>0</v>
      </c>
      <c r="L12" s="269">
        <f>SUM(E12*L6)</f>
        <v>0</v>
      </c>
    </row>
    <row r="13" ht="14.25" customHeight="1">
      <c r="B13" s="70"/>
      <c r="C13" s="270"/>
      <c r="D13" s="270"/>
      <c r="E13" s="271"/>
      <c r="G13" s="14"/>
      <c r="H13" s="282"/>
      <c r="I13" s="230"/>
      <c r="K13" s="14"/>
      <c r="L13" s="14"/>
    </row>
    <row r="14" ht="14.25" customHeight="1">
      <c r="B14" s="272" t="s">
        <v>162</v>
      </c>
      <c r="C14" s="273" t="str">
        <f t="shared" ref="C14:D14" si="3">#REF!</f>
        <v>#REF!</v>
      </c>
      <c r="D14" s="283" t="str">
        <f t="shared" si="3"/>
        <v>#REF!</v>
      </c>
      <c r="E14" s="274"/>
      <c r="G14" s="284" t="str">
        <f>SUM(D14*G6)</f>
        <v>#REF!</v>
      </c>
      <c r="H14" s="285" t="str">
        <f>SUM(D14*H6)</f>
        <v>#REF!</v>
      </c>
      <c r="I14" s="245"/>
      <c r="K14" s="276" t="str">
        <f t="shared" ref="K14:L14" si="4">SUM(D14*K6)</f>
        <v>#REF!</v>
      </c>
      <c r="L14" s="276">
        <f t="shared" si="4"/>
        <v>0</v>
      </c>
    </row>
    <row r="15" ht="14.25" customHeight="1">
      <c r="B15" s="70"/>
      <c r="C15" s="4"/>
      <c r="D15" s="4"/>
      <c r="E15" s="230"/>
      <c r="G15" s="14"/>
      <c r="H15" s="282"/>
      <c r="I15" s="230"/>
      <c r="K15" s="14"/>
      <c r="L15" s="14"/>
    </row>
    <row r="16" ht="14.25" customHeight="1">
      <c r="B16" s="277" t="s">
        <v>163</v>
      </c>
      <c r="C16" s="278" t="str">
        <f t="shared" ref="C16:D16" si="5">#REF!</f>
        <v>#REF!</v>
      </c>
      <c r="D16" s="278" t="str">
        <f t="shared" si="5"/>
        <v>#REF!</v>
      </c>
      <c r="E16" s="279"/>
      <c r="G16" s="269" t="str">
        <f>SUM(D16*G6)</f>
        <v>#REF!</v>
      </c>
      <c r="H16" s="281" t="str">
        <f>SUM(D16*H6)</f>
        <v>#REF!</v>
      </c>
      <c r="I16" s="245"/>
      <c r="K16" s="269">
        <f>SUM(E16*K6)</f>
        <v>0</v>
      </c>
      <c r="L16" s="269">
        <f>SUM(E16*L7)</f>
        <v>0</v>
      </c>
    </row>
    <row r="17" ht="14.25" customHeight="1">
      <c r="B17" s="17"/>
      <c r="C17" s="16"/>
      <c r="D17" s="16"/>
      <c r="E17" s="13"/>
      <c r="G17" s="15"/>
      <c r="H17" s="247"/>
      <c r="I17" s="192"/>
      <c r="K17" s="14"/>
      <c r="L17" s="14"/>
    </row>
    <row r="18" ht="14.25" customHeight="1">
      <c r="B18" s="26"/>
      <c r="C18" s="25"/>
      <c r="D18" s="25"/>
      <c r="E18" s="26"/>
      <c r="G18" s="26"/>
      <c r="H18" s="21"/>
      <c r="K18" s="26"/>
      <c r="L18" s="26"/>
    </row>
    <row r="19" ht="14.25" customHeight="1">
      <c r="B19" s="26"/>
      <c r="C19" s="25"/>
      <c r="D19" s="25"/>
      <c r="E19" s="26"/>
      <c r="G19" s="26"/>
      <c r="H19" s="21"/>
      <c r="K19" s="26"/>
      <c r="L19" s="26"/>
    </row>
    <row r="20" ht="14.25" customHeight="1">
      <c r="B20" s="286" t="s">
        <v>164</v>
      </c>
      <c r="C20" s="2"/>
      <c r="D20" s="2"/>
      <c r="E20" s="2"/>
      <c r="F20" s="12"/>
      <c r="G20" s="286" t="s">
        <v>165</v>
      </c>
      <c r="H20" s="2"/>
      <c r="I20" s="2"/>
      <c r="J20" s="12"/>
      <c r="K20" s="286" t="s">
        <v>166</v>
      </c>
      <c r="L20" s="2"/>
      <c r="M20" s="2"/>
      <c r="N20" s="2"/>
      <c r="O20" s="21"/>
    </row>
    <row r="21" ht="14.25" customHeight="1">
      <c r="B21" s="51"/>
      <c r="F21" s="12"/>
      <c r="G21" s="51"/>
      <c r="J21" s="12"/>
      <c r="K21" s="51"/>
    </row>
    <row r="22" ht="14.25" customHeight="1">
      <c r="L22" s="287" t="s">
        <v>151</v>
      </c>
      <c r="M22" s="287" t="s">
        <v>167</v>
      </c>
      <c r="N22" s="287" t="s">
        <v>168</v>
      </c>
    </row>
    <row r="23" ht="14.25" customHeight="1">
      <c r="B23" s="288" t="s">
        <v>151</v>
      </c>
      <c r="C23" s="259"/>
      <c r="D23" s="289" t="str">
        <f>SUM(C6:C17)</f>
        <v>#REF!</v>
      </c>
      <c r="E23" s="258"/>
      <c r="G23" s="290" t="s">
        <v>30</v>
      </c>
      <c r="I23" s="259" t="str">
        <f>SUM(#REF!)</f>
        <v>#REF!</v>
      </c>
      <c r="K23" s="291" t="s">
        <v>158</v>
      </c>
      <c r="L23" s="24"/>
      <c r="M23" s="24" t="str">
        <f>'FRAN CALDAS'!H23</f>
        <v>#REF!</v>
      </c>
      <c r="N23" s="292" t="str">
        <f t="shared" ref="N23:N28" si="6">SUM(L23-M23/M23)</f>
        <v>#REF!</v>
      </c>
    </row>
    <row r="24" ht="14.25" customHeight="1">
      <c r="B24" s="182"/>
      <c r="G24" s="290" t="s">
        <v>17</v>
      </c>
      <c r="I24" s="259"/>
      <c r="K24" s="291" t="s">
        <v>169</v>
      </c>
      <c r="L24" s="24"/>
      <c r="M24" s="24" t="str">
        <f>'CATARINA LEAL '!H23</f>
        <v>#REF!</v>
      </c>
      <c r="N24" s="292" t="str">
        <f t="shared" si="6"/>
        <v>#REF!</v>
      </c>
    </row>
    <row r="25" ht="14.25" customHeight="1">
      <c r="B25" s="182" t="s">
        <v>152</v>
      </c>
      <c r="C25" s="25"/>
      <c r="D25" s="293" t="str">
        <f>SUM(D6:D17)</f>
        <v>#REF!</v>
      </c>
      <c r="E25" s="258"/>
      <c r="G25" s="290" t="s">
        <v>170</v>
      </c>
      <c r="I25" s="259" t="str">
        <f>SUM('FRAN CALDAS:CATARINA LEAL '!I33)</f>
        <v>#REF!</v>
      </c>
      <c r="K25" s="291" t="s">
        <v>171</v>
      </c>
      <c r="L25" s="24" t="str">
        <f>C10</f>
        <v>#REF!</v>
      </c>
      <c r="M25" s="24" t="str">
        <f t="shared" ref="M25:M28" si="7">#REF!</f>
        <v>#REF!</v>
      </c>
      <c r="N25" s="292" t="str">
        <f t="shared" si="6"/>
        <v>#REF!</v>
      </c>
    </row>
    <row r="26" ht="14.25" customHeight="1">
      <c r="B26" s="294"/>
      <c r="C26" s="166"/>
      <c r="D26" s="166"/>
      <c r="E26" s="166"/>
      <c r="G26" s="290" t="s">
        <v>172</v>
      </c>
      <c r="I26" s="259"/>
      <c r="K26" s="291" t="s">
        <v>173</v>
      </c>
      <c r="L26" s="24" t="str">
        <f>C12</f>
        <v>#REF!</v>
      </c>
      <c r="M26" s="24" t="str">
        <f t="shared" si="7"/>
        <v>#REF!</v>
      </c>
      <c r="N26" s="292" t="str">
        <f t="shared" si="6"/>
        <v>#REF!</v>
      </c>
    </row>
    <row r="27" ht="14.25" customHeight="1">
      <c r="B27" s="295" t="s">
        <v>153</v>
      </c>
      <c r="C27" s="20"/>
      <c r="D27" s="296" t="str">
        <f>SUM(D23-D25)</f>
        <v>#REF!</v>
      </c>
      <c r="E27" s="20"/>
      <c r="G27" s="290" t="s">
        <v>69</v>
      </c>
      <c r="I27" s="259"/>
      <c r="K27" s="291" t="s">
        <v>174</v>
      </c>
      <c r="L27" s="24" t="str">
        <f>C14</f>
        <v>#REF!</v>
      </c>
      <c r="M27" s="24" t="str">
        <f t="shared" si="7"/>
        <v>#REF!</v>
      </c>
      <c r="N27" s="292" t="str">
        <f t="shared" si="6"/>
        <v>#REF!</v>
      </c>
    </row>
    <row r="28" ht="14.25" customHeight="1">
      <c r="G28" s="290" t="s">
        <v>175</v>
      </c>
      <c r="I28" s="259">
        <v>0.0</v>
      </c>
      <c r="K28" s="291" t="s">
        <v>176</v>
      </c>
      <c r="L28" s="24" t="str">
        <f>C16</f>
        <v>#REF!</v>
      </c>
      <c r="M28" s="24" t="str">
        <f t="shared" si="7"/>
        <v>#REF!</v>
      </c>
      <c r="N28" s="292" t="str">
        <f t="shared" si="6"/>
        <v>#REF!</v>
      </c>
    </row>
    <row r="29" ht="14.25" customHeight="1">
      <c r="B29" s="294"/>
      <c r="C29" s="166"/>
      <c r="D29" s="297"/>
      <c r="E29" s="258"/>
    </row>
    <row r="30" ht="14.25" customHeight="1">
      <c r="B30" s="166"/>
      <c r="C30" s="166"/>
      <c r="D30" s="298"/>
      <c r="E30" s="298"/>
    </row>
    <row r="31" ht="14.25" customHeight="1">
      <c r="B31" s="243" t="s">
        <v>139</v>
      </c>
      <c r="C31" s="244"/>
      <c r="D31" s="244"/>
      <c r="E31" s="245"/>
    </row>
    <row r="32" ht="14.25" customHeight="1">
      <c r="B32" s="282"/>
      <c r="C32" s="4"/>
      <c r="D32" s="4"/>
      <c r="E32" s="230"/>
    </row>
    <row r="33" ht="14.25" customHeight="1">
      <c r="B33" s="23"/>
      <c r="C33" s="299" t="s">
        <v>140</v>
      </c>
      <c r="D33" s="300" t="s">
        <v>151</v>
      </c>
      <c r="E33" s="300" t="s">
        <v>177</v>
      </c>
    </row>
    <row r="34" ht="14.25" customHeight="1">
      <c r="B34" s="26" t="s">
        <v>144</v>
      </c>
      <c r="C34" s="301">
        <v>0.5</v>
      </c>
      <c r="D34" s="25" t="str">
        <f>SUM(D23*C34)</f>
        <v>#REF!</v>
      </c>
      <c r="E34" s="25" t="str">
        <f>SUM(D25*C34)</f>
        <v>#REF!</v>
      </c>
      <c r="F34" s="26"/>
      <c r="G34" s="26"/>
    </row>
    <row r="35" ht="14.25" customHeight="1">
      <c r="B35" s="26" t="s">
        <v>178</v>
      </c>
      <c r="C35" s="301">
        <v>0.5</v>
      </c>
      <c r="D35" s="25" t="str">
        <f>SUM(D23*C35)</f>
        <v>#REF!</v>
      </c>
      <c r="E35" s="25" t="str">
        <f>SUM(D25*C35)</f>
        <v>#REF!</v>
      </c>
      <c r="F35" s="26"/>
      <c r="G35" s="26"/>
    </row>
    <row r="36" ht="14.25" customHeight="1">
      <c r="B36" s="182"/>
      <c r="C36" s="26"/>
      <c r="D36" s="302"/>
      <c r="E36" s="258"/>
      <c r="F36" s="26"/>
      <c r="G36" s="26"/>
    </row>
    <row r="37" ht="14.25" customHeight="1">
      <c r="B37" s="303" t="s">
        <v>179</v>
      </c>
      <c r="C37" s="2"/>
      <c r="D37" s="2"/>
      <c r="E37" s="2"/>
      <c r="F37" s="26"/>
      <c r="G37" s="26"/>
    </row>
    <row r="38" ht="14.25" customHeight="1">
      <c r="B38" s="3"/>
      <c r="C38" s="4"/>
      <c r="D38" s="4"/>
      <c r="E38" s="4"/>
      <c r="F38" s="26"/>
      <c r="G38" s="26"/>
    </row>
    <row r="39" ht="14.25" customHeight="1">
      <c r="B39" s="304" t="s">
        <v>144</v>
      </c>
      <c r="C39" s="20"/>
      <c r="D39" s="304" t="s">
        <v>180</v>
      </c>
      <c r="E39" s="20"/>
      <c r="F39" s="26"/>
      <c r="G39" s="26"/>
    </row>
    <row r="40" ht="14.25" customHeight="1">
      <c r="B40" s="305" t="str">
        <f>SUM(D34-E34)</f>
        <v>#REF!</v>
      </c>
      <c r="D40" s="305" t="str">
        <f>SUM(D35-E35)</f>
        <v>#REF!</v>
      </c>
      <c r="F40" s="26"/>
      <c r="G40" s="26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C12:C13"/>
    <mergeCell ref="D12:D13"/>
    <mergeCell ref="E12:E13"/>
    <mergeCell ref="G12:G13"/>
    <mergeCell ref="H12:I13"/>
    <mergeCell ref="K12:K13"/>
    <mergeCell ref="L12:L13"/>
    <mergeCell ref="B12:B13"/>
    <mergeCell ref="B14:B15"/>
    <mergeCell ref="C14:C15"/>
    <mergeCell ref="D14:D15"/>
    <mergeCell ref="E14:E15"/>
    <mergeCell ref="G14:G15"/>
    <mergeCell ref="H14:I15"/>
    <mergeCell ref="B16:B17"/>
    <mergeCell ref="C16:C17"/>
    <mergeCell ref="D16:D17"/>
    <mergeCell ref="E16:E17"/>
    <mergeCell ref="G16:G17"/>
    <mergeCell ref="K16:K17"/>
    <mergeCell ref="L16:L17"/>
    <mergeCell ref="H16:I17"/>
    <mergeCell ref="H18:I18"/>
    <mergeCell ref="H19:I19"/>
    <mergeCell ref="B20:E21"/>
    <mergeCell ref="G20:I21"/>
    <mergeCell ref="D23:E23"/>
    <mergeCell ref="D25:E25"/>
    <mergeCell ref="H6:I6"/>
    <mergeCell ref="H7:I7"/>
    <mergeCell ref="C3:C4"/>
    <mergeCell ref="D3:D4"/>
    <mergeCell ref="E3:E4"/>
    <mergeCell ref="G3:I4"/>
    <mergeCell ref="K3:L4"/>
    <mergeCell ref="B5:E5"/>
    <mergeCell ref="H5:I5"/>
    <mergeCell ref="D8:D9"/>
    <mergeCell ref="E8:E9"/>
    <mergeCell ref="G8:G9"/>
    <mergeCell ref="H8:I9"/>
    <mergeCell ref="K8:K9"/>
    <mergeCell ref="L8:L9"/>
    <mergeCell ref="B10:B11"/>
    <mergeCell ref="C10:C11"/>
    <mergeCell ref="D10:D11"/>
    <mergeCell ref="E10:E11"/>
    <mergeCell ref="G10:G11"/>
    <mergeCell ref="H10:I11"/>
    <mergeCell ref="K10:K11"/>
    <mergeCell ref="L10:L11"/>
    <mergeCell ref="B3:B4"/>
    <mergeCell ref="B6:B7"/>
    <mergeCell ref="C6:C7"/>
    <mergeCell ref="D6:D7"/>
    <mergeCell ref="E6:E7"/>
    <mergeCell ref="B8:B9"/>
    <mergeCell ref="C8:C9"/>
    <mergeCell ref="K14:K15"/>
    <mergeCell ref="L14:L15"/>
    <mergeCell ref="K20:N21"/>
    <mergeCell ref="O20:O21"/>
    <mergeCell ref="B39:C39"/>
    <mergeCell ref="B40:C40"/>
    <mergeCell ref="B27:C27"/>
    <mergeCell ref="D27:E27"/>
    <mergeCell ref="D29:E29"/>
    <mergeCell ref="B31:E32"/>
    <mergeCell ref="D36:E36"/>
    <mergeCell ref="B37:E38"/>
    <mergeCell ref="D39:E39"/>
    <mergeCell ref="D40:E40"/>
  </mergeCells>
  <printOptions/>
  <pageMargins bottom="0.787401575" footer="0.0" header="0.0" left="0.511811024" right="0.511811024" top="0.787401575"/>
  <pageSetup paperSize="9" orientation="portrait"/>
  <drawing r:id="rId1"/>
</worksheet>
</file>