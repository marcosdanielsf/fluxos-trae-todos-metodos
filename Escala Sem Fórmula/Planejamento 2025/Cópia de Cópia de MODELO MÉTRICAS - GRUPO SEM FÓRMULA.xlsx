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IL X" sheetId="1" r:id="rId4"/>
  </sheets>
  <definedNames/>
  <calcPr/>
</workbook>
</file>

<file path=xl/sharedStrings.xml><?xml version="1.0" encoding="utf-8"?>
<sst xmlns="http://schemas.openxmlformats.org/spreadsheetml/2006/main" count="111" uniqueCount="43">
  <si>
    <t>TRÁFEGO</t>
  </si>
  <si>
    <t>ORGANICO</t>
  </si>
  <si>
    <t xml:space="preserve">                         </t>
  </si>
  <si>
    <t>VOLUME</t>
  </si>
  <si>
    <t>CUSTOS</t>
  </si>
  <si>
    <t>FINAIS</t>
  </si>
  <si>
    <t>Leads</t>
  </si>
  <si>
    <t>Leads +MQL</t>
  </si>
  <si>
    <t>AG NO DIA</t>
  </si>
  <si>
    <t>AG P/ DIA</t>
  </si>
  <si>
    <t>AG MQL P/ DIA</t>
  </si>
  <si>
    <t xml:space="preserve">C.R </t>
  </si>
  <si>
    <t>C.R MQL</t>
  </si>
  <si>
    <t>PESSOA LIVE</t>
  </si>
  <si>
    <t>VENDAS</t>
  </si>
  <si>
    <t>V. MKT</t>
  </si>
  <si>
    <t>V. COM</t>
  </si>
  <si>
    <t>CPL</t>
  </si>
  <si>
    <t>CPL MQL</t>
  </si>
  <si>
    <t>CP AG NO DIA</t>
  </si>
  <si>
    <t>CP. AG PRO DIA</t>
  </si>
  <si>
    <t>CP. AG P/DIA MQL</t>
  </si>
  <si>
    <t>CP. C.R</t>
  </si>
  <si>
    <t>CP. C.R MQL</t>
  </si>
  <si>
    <t>C P/ PESSOA LIVE</t>
  </si>
  <si>
    <t>CAC GERAL</t>
  </si>
  <si>
    <t>CAC MKT</t>
  </si>
  <si>
    <t>CAC COM</t>
  </si>
  <si>
    <t>INVESTIMENTO</t>
  </si>
  <si>
    <t>FATURAMENTO GERAL</t>
  </si>
  <si>
    <t>FAT MKT</t>
  </si>
  <si>
    <t>FAT COM</t>
  </si>
  <si>
    <t>Ticket médio</t>
  </si>
  <si>
    <t>T.M MKT</t>
  </si>
  <si>
    <t>T.M COM</t>
  </si>
  <si>
    <t>CAIXA</t>
  </si>
  <si>
    <t>ROAS</t>
  </si>
  <si>
    <t xml:space="preserve">TOTAL </t>
  </si>
  <si>
    <t>Semana 5</t>
  </si>
  <si>
    <t>Semana 4</t>
  </si>
  <si>
    <t>Semana 3</t>
  </si>
  <si>
    <t>Semana 2</t>
  </si>
  <si>
    <t>Semana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</si>
</sst>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[$R$]#,##0"/>
    <numFmt numFmtId="166" formatCode="[$R$ -416]#,##0"/>
    <numFmt numFmtId="167" formatCode="[$R$]#,##0.00"/>
    <numFmt numFmtId="168" formatCode="d/mmm"/>
  </numFmts>
  <fonts count="19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>
      <b/>
      <sz val="11.0"/>
      <color theme="1"/>
      <name val="Arial"/>
    </font>
    <font>
      <b/>
      <color rgb="FF000000"/>
      <name val="Arial"/>
    </font>
    <font/>
    <font>
      <b/>
      <sz val="6.0"/>
      <color rgb="FFFFFFFF"/>
      <name val="Arial"/>
    </font>
    <font>
      <b/>
      <sz val="6.0"/>
      <color theme="1"/>
      <name val="Arial"/>
    </font>
    <font>
      <b/>
      <sz val="7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b/>
      <color theme="1"/>
      <name val="Arial"/>
    </font>
    <font>
      <b/>
      <color rgb="FF00FF00"/>
      <name val="Arial"/>
    </font>
    <font>
      <b/>
      <sz val="10.0"/>
      <color rgb="FF00FF00"/>
      <name val="Arial"/>
    </font>
    <font>
      <color rgb="FF00FF00"/>
      <name val="Arial"/>
    </font>
    <font>
      <b/>
      <sz val="11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vertical="center"/>
    </xf>
    <xf borderId="0" fillId="3" fontId="3" numFmtId="3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5" fontId="4" numFmtId="0" xfId="0" applyAlignment="1" applyFill="1" applyFont="1">
      <alignment horizontal="center" vertical="center"/>
    </xf>
    <xf borderId="0" fillId="6" fontId="4" numFmtId="0" xfId="0" applyAlignment="1" applyFill="1" applyFont="1">
      <alignment horizontal="center" vertical="center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ont="1">
      <alignment horizontal="center" vertical="center"/>
    </xf>
    <xf borderId="3" fillId="0" fontId="5" numFmtId="0" xfId="0" applyBorder="1" applyFont="1"/>
    <xf borderId="2" fillId="3" fontId="3" numFmtId="3" xfId="0" applyAlignment="1" applyBorder="1" applyFont="1" applyNumberFormat="1">
      <alignment horizontal="center" shrinkToFit="0" vertical="center" wrapText="1"/>
    </xf>
    <xf borderId="4" fillId="0" fontId="5" numFmtId="0" xfId="0" applyBorder="1" applyFont="1"/>
    <xf borderId="2" fillId="4" fontId="3" numFmtId="164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" fillId="4" fontId="3" numFmtId="164" xfId="0" applyAlignment="1" applyBorder="1" applyFont="1" applyNumberFormat="1">
      <alignment horizontal="center" shrinkToFit="0" vertical="center" wrapText="1"/>
    </xf>
    <xf borderId="3" fillId="4" fontId="3" numFmtId="164" xfId="0" applyAlignment="1" applyBorder="1" applyFont="1" applyNumberFormat="1">
      <alignment horizontal="center" shrinkToFit="0" vertical="center" wrapText="1"/>
    </xf>
    <xf borderId="4" fillId="4" fontId="3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0" fillId="2" fontId="6" numFmtId="0" xfId="0" applyAlignment="1" applyFont="1">
      <alignment horizontal="center" shrinkToFit="0" vertical="center" wrapText="1"/>
    </xf>
    <xf borderId="0" fillId="2" fontId="6" numFmtId="3" xfId="0" applyAlignment="1" applyFont="1" applyNumberFormat="1">
      <alignment horizontal="center" shrinkToFit="0" vertical="center" wrapText="1"/>
    </xf>
    <xf borderId="1" fillId="3" fontId="7" numFmtId="164" xfId="0" applyAlignment="1" applyBorder="1" applyFont="1" applyNumberFormat="1">
      <alignment horizontal="center" shrinkToFit="0" vertical="center" wrapText="1"/>
    </xf>
    <xf borderId="1" fillId="3" fontId="7" numFmtId="3" xfId="0" applyAlignment="1" applyBorder="1" applyFont="1" applyNumberFormat="1">
      <alignment horizontal="center" shrinkToFit="0" vertical="center" wrapText="1"/>
    </xf>
    <xf borderId="1" fillId="4" fontId="7" numFmtId="164" xfId="0" applyAlignment="1" applyBorder="1" applyFont="1" applyNumberFormat="1">
      <alignment horizontal="center" shrinkToFit="0" vertical="center" wrapText="1"/>
    </xf>
    <xf borderId="1" fillId="4" fontId="7" numFmtId="3" xfId="0" applyAlignment="1" applyBorder="1" applyFont="1" applyNumberFormat="1">
      <alignment horizontal="center" shrinkToFit="0" vertical="center" wrapText="1"/>
    </xf>
    <xf borderId="1" fillId="4" fontId="8" numFmtId="164" xfId="0" applyAlignment="1" applyBorder="1" applyFont="1" applyNumberFormat="1">
      <alignment horizontal="center" shrinkToFit="0" vertical="center" wrapText="1"/>
    </xf>
    <xf borderId="1" fillId="4" fontId="7" numFmtId="165" xfId="0" applyAlignment="1" applyBorder="1" applyFont="1" applyNumberFormat="1">
      <alignment horizontal="center" shrinkToFit="0" vertical="center" wrapText="1"/>
    </xf>
    <xf borderId="6" fillId="0" fontId="1" numFmtId="0" xfId="0" applyBorder="1" applyFont="1"/>
    <xf borderId="0" fillId="7" fontId="7" numFmtId="3" xfId="0" applyAlignment="1" applyFill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bottom" wrapText="1"/>
    </xf>
    <xf borderId="1" fillId="8" fontId="9" numFmtId="0" xfId="0" applyAlignment="1" applyBorder="1" applyFill="1" applyFont="1">
      <alignment horizontal="center" vertical="center"/>
    </xf>
    <xf borderId="1" fillId="8" fontId="10" numFmtId="3" xfId="0" applyAlignment="1" applyBorder="1" applyFont="1" applyNumberFormat="1">
      <alignment horizontal="center" vertical="center"/>
    </xf>
    <xf borderId="1" fillId="8" fontId="10" numFmtId="164" xfId="0" applyAlignment="1" applyBorder="1" applyFont="1" applyNumberFormat="1">
      <alignment horizontal="center" vertical="center"/>
    </xf>
    <xf borderId="1" fillId="8" fontId="9" numFmtId="164" xfId="0" applyAlignment="1" applyBorder="1" applyFont="1" applyNumberFormat="1">
      <alignment horizontal="center" vertical="center"/>
    </xf>
    <xf borderId="1" fillId="8" fontId="11" numFmtId="164" xfId="0" applyAlignment="1" applyBorder="1" applyFont="1" applyNumberFormat="1">
      <alignment horizontal="center"/>
    </xf>
    <xf borderId="1" fillId="8" fontId="9" numFmtId="4" xfId="0" applyAlignment="1" applyBorder="1" applyFont="1" applyNumberFormat="1">
      <alignment horizontal="center" vertical="center"/>
    </xf>
    <xf borderId="1" fillId="8" fontId="9" numFmtId="3" xfId="0" applyAlignment="1" applyBorder="1" applyFont="1" applyNumberFormat="1">
      <alignment horizontal="center" vertical="center"/>
    </xf>
    <xf borderId="0" fillId="7" fontId="9" numFmtId="164" xfId="0" applyAlignment="1" applyFont="1" applyNumberFormat="1">
      <alignment horizontal="center" vertical="center"/>
    </xf>
    <xf borderId="1" fillId="2" fontId="12" numFmtId="0" xfId="0" applyAlignment="1" applyBorder="1" applyFont="1">
      <alignment horizontal="center" shrinkToFit="0" vertical="bottom" wrapText="1"/>
    </xf>
    <xf borderId="1" fillId="2" fontId="12" numFmtId="3" xfId="0" applyAlignment="1" applyBorder="1" applyFont="1" applyNumberFormat="1">
      <alignment horizontal="center"/>
    </xf>
    <xf borderId="1" fillId="2" fontId="13" numFmtId="164" xfId="0" applyAlignment="1" applyBorder="1" applyFont="1" applyNumberFormat="1">
      <alignment horizontal="center" vertical="center"/>
    </xf>
    <xf borderId="1" fillId="2" fontId="13" numFmtId="165" xfId="0" applyAlignment="1" applyBorder="1" applyFont="1" applyNumberFormat="1">
      <alignment horizontal="center" vertical="center"/>
    </xf>
    <xf borderId="1" fillId="2" fontId="13" numFmtId="166" xfId="0" applyAlignment="1" applyBorder="1" applyFont="1" applyNumberFormat="1">
      <alignment horizontal="center" vertical="center"/>
    </xf>
    <xf borderId="1" fillId="2" fontId="13" numFmtId="167" xfId="0" applyAlignment="1" applyBorder="1" applyFont="1" applyNumberFormat="1">
      <alignment horizontal="center" vertical="center"/>
    </xf>
    <xf borderId="1" fillId="2" fontId="13" numFmtId="4" xfId="0" applyAlignment="1" applyBorder="1" applyFont="1" applyNumberFormat="1">
      <alignment horizontal="center" vertical="center"/>
    </xf>
    <xf borderId="6" fillId="0" fontId="4" numFmtId="0" xfId="0" applyBorder="1" applyFont="1"/>
    <xf borderId="0" fillId="0" fontId="14" numFmtId="0" xfId="0" applyFont="1"/>
    <xf borderId="1" fillId="9" fontId="15" numFmtId="168" xfId="0" applyAlignment="1" applyBorder="1" applyFill="1" applyFont="1" applyNumberFormat="1">
      <alignment horizontal="right" shrinkToFit="0" vertical="bottom" wrapText="1"/>
    </xf>
    <xf borderId="1" fillId="4" fontId="1" numFmtId="3" xfId="0" applyAlignment="1" applyBorder="1" applyFont="1" applyNumberFormat="1">
      <alignment horizontal="center"/>
    </xf>
    <xf borderId="1" fillId="4" fontId="16" numFmtId="164" xfId="0" applyAlignment="1" applyBorder="1" applyFont="1" applyNumberFormat="1">
      <alignment horizontal="center" vertical="center"/>
    </xf>
    <xf borderId="1" fillId="4" fontId="16" numFmtId="165" xfId="0" applyAlignment="1" applyBorder="1" applyFont="1" applyNumberFormat="1">
      <alignment horizontal="center" vertical="center"/>
    </xf>
    <xf borderId="1" fillId="4" fontId="16" numFmtId="166" xfId="0" applyAlignment="1" applyBorder="1" applyFont="1" applyNumberFormat="1">
      <alignment horizontal="center" vertical="center"/>
    </xf>
    <xf borderId="1" fillId="9" fontId="16" numFmtId="3" xfId="0" applyAlignment="1" applyBorder="1" applyFont="1" applyNumberFormat="1">
      <alignment horizontal="center" vertical="center"/>
    </xf>
    <xf borderId="1" fillId="4" fontId="1" numFmtId="164" xfId="0" applyAlignment="1" applyBorder="1" applyFont="1" applyNumberFormat="1">
      <alignment horizontal="center"/>
    </xf>
    <xf borderId="1" fillId="4" fontId="17" numFmtId="164" xfId="0" applyAlignment="1" applyBorder="1" applyFont="1" applyNumberFormat="1">
      <alignment horizontal="center" vertical="center"/>
    </xf>
    <xf borderId="1" fillId="4" fontId="16" numFmtId="4" xfId="0" applyAlignment="1" applyBorder="1" applyFont="1" applyNumberFormat="1">
      <alignment horizontal="center" vertical="center"/>
    </xf>
    <xf borderId="0" fillId="0" fontId="18" numFmtId="0" xfId="0" applyFont="1"/>
    <xf borderId="1" fillId="4" fontId="1" numFmtId="166" xfId="0" applyAlignment="1" applyBorder="1" applyFont="1" applyNumberFormat="1">
      <alignment horizontal="center"/>
    </xf>
    <xf borderId="1" fillId="4" fontId="3" numFmtId="168" xfId="0" applyAlignment="1" applyBorder="1" applyFont="1" applyNumberFormat="1">
      <alignment horizontal="right" shrinkToFit="0" vertical="bottom" wrapText="1"/>
    </xf>
    <xf borderId="1" fillId="4" fontId="3" numFmtId="168" xfId="0" applyAlignment="1" applyBorder="1" applyFont="1" applyNumberFormat="1">
      <alignment horizontal="right" shrinkToFit="0" wrapText="1"/>
    </xf>
    <xf borderId="1" fillId="4" fontId="16" numFmtId="3" xfId="0" applyAlignment="1" applyBorder="1" applyFont="1" applyNumberFormat="1">
      <alignment horizontal="center" vertical="center"/>
    </xf>
    <xf borderId="0" fillId="7" fontId="16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2.0" ySplit="17.0" topLeftCell="AG18" activePane="bottomRight" state="frozen"/>
      <selection activeCell="AG1" sqref="AG1" pane="topRight"/>
      <selection activeCell="A18" sqref="A18" pane="bottomLeft"/>
      <selection activeCell="AG18" sqref="AG18" pane="bottomRight"/>
    </sheetView>
  </sheetViews>
  <sheetFormatPr customHeight="1" defaultColWidth="12.63" defaultRowHeight="15.0" outlineLevelCol="2" outlineLevelRow="1"/>
  <cols>
    <col customWidth="1" min="1" max="1" width="10.5"/>
    <col collapsed="1" customWidth="1" min="2" max="2" width="9.13"/>
    <col customWidth="1" hidden="1" min="3" max="3" width="7.0" outlineLevel="1"/>
    <col customWidth="1" hidden="1" min="4" max="4" width="6.25" outlineLevel="1"/>
    <col customWidth="1" hidden="1" min="5" max="5" width="5.75" outlineLevel="1"/>
    <col customWidth="1" hidden="1" min="6" max="6" width="8.25" outlineLevel="1"/>
    <col customWidth="1" hidden="1" min="7" max="7" width="4.5" outlineLevel="1"/>
    <col customWidth="1" hidden="1" min="8" max="9" width="5.25" outlineLevel="1"/>
    <col customWidth="1" hidden="1" min="10" max="12" width="6.38" outlineLevel="1"/>
    <col collapsed="1" customWidth="1" min="13" max="13" width="8.63"/>
    <col customWidth="1" hidden="1" min="14" max="15" width="11.75" outlineLevel="1"/>
    <col customWidth="1" hidden="1" min="16" max="16" width="8.75" outlineLevel="1"/>
    <col customWidth="1" hidden="1" min="17" max="17" width="9.75" outlineLevel="1"/>
    <col customWidth="1" hidden="1" min="18" max="18" width="8.75" outlineLevel="1"/>
    <col customWidth="1" hidden="1" min="19" max="21" width="10.13" outlineLevel="1"/>
    <col customWidth="1" hidden="1" min="22" max="22" width="9.25" outlineLevel="1"/>
    <col customWidth="1" hidden="1" min="23" max="23" width="9.38" outlineLevel="1"/>
    <col collapsed="1" customWidth="1" min="24" max="24" width="11.0"/>
    <col customWidth="1" hidden="1" min="25" max="25" width="11.0" outlineLevel="1"/>
    <col customWidth="1" hidden="1" min="26" max="27" width="11.0" outlineLevel="2"/>
    <col customWidth="1" hidden="1" min="28" max="28" width="12.0" outlineLevel="1"/>
    <col customWidth="1" hidden="1" min="29" max="30" width="12.0" outlineLevel="2"/>
    <col customWidth="1" hidden="1" min="31" max="31" width="12.0" outlineLevel="1"/>
    <col customWidth="1" hidden="1" min="32" max="32" width="7.75" outlineLevel="1"/>
    <col customWidth="1" min="33" max="33" width="2.5"/>
    <col customWidth="1" min="34" max="34" width="9.13"/>
    <col customWidth="1" hidden="1" min="35" max="35" width="7.0" outlineLevel="1"/>
    <col customWidth="1" hidden="1" min="36" max="36" width="6.25" outlineLevel="1"/>
    <col customWidth="1" hidden="1" min="37" max="37" width="5.75" outlineLevel="1"/>
    <col customWidth="1" hidden="1" min="38" max="38" width="8.25" outlineLevel="1"/>
    <col customWidth="1" hidden="1" min="39" max="39" width="4.5" outlineLevel="1"/>
    <col customWidth="1" hidden="1" min="40" max="41" width="5.25" outlineLevel="1"/>
    <col customWidth="1" hidden="1" min="42" max="44" width="6.38" outlineLevel="1"/>
    <col customWidth="1" min="45" max="45" width="8.63"/>
    <col customWidth="1" hidden="1" min="46" max="47" width="11.75" outlineLevel="1"/>
    <col customWidth="1" hidden="1" min="48" max="48" width="8.75" outlineLevel="1"/>
    <col customWidth="1" hidden="1" min="49" max="49" width="9.75" outlineLevel="1"/>
    <col customWidth="1" hidden="1" min="50" max="50" width="8.75" outlineLevel="1"/>
    <col customWidth="1" hidden="1" min="51" max="53" width="10.13" outlineLevel="1"/>
    <col customWidth="1" hidden="1" min="54" max="54" width="9.25" outlineLevel="1"/>
    <col customWidth="1" hidden="1" min="55" max="55" width="9.38" outlineLevel="1"/>
    <col customWidth="1" min="56" max="56" width="11.0"/>
    <col customWidth="1" hidden="1" min="57" max="57" width="6.25" outlineLevel="1"/>
    <col customWidth="1" hidden="1" min="58" max="58" width="7.0" outlineLevel="1"/>
    <col customWidth="1" hidden="1" min="59" max="59" width="8.25" outlineLevel="1"/>
    <col customWidth="1" hidden="1" min="60" max="60" width="5.38" outlineLevel="1"/>
    <col customWidth="1" hidden="1" min="61" max="61" width="5.25" outlineLevel="1"/>
    <col customWidth="1" hidden="1" min="62" max="63" width="8.75" outlineLevel="1"/>
    <col customWidth="1" hidden="1" min="64" max="64" width="11.25" outlineLevel="1"/>
    <col customWidth="1" min="65" max="65" width="2.38"/>
    <col customWidth="1" min="66" max="66" width="9.13"/>
    <col customWidth="1" hidden="1" min="67" max="67" width="7.0" outlineLevel="1"/>
    <col customWidth="1" hidden="1" min="68" max="68" width="6.25" outlineLevel="1"/>
    <col customWidth="1" hidden="1" min="69" max="69" width="5.75" outlineLevel="1"/>
    <col customWidth="1" hidden="1" min="70" max="70" width="8.25" outlineLevel="1"/>
    <col customWidth="1" hidden="1" min="71" max="71" width="4.5" outlineLevel="1"/>
    <col customWidth="1" hidden="1" min="72" max="73" width="5.25" outlineLevel="1"/>
    <col customWidth="1" hidden="1" min="74" max="76" width="6.38" outlineLevel="1"/>
    <col customWidth="1" min="77" max="77" width="8.63"/>
    <col customWidth="1" hidden="1" min="78" max="79" width="11.75" outlineLevel="1"/>
    <col customWidth="1" hidden="1" min="80" max="80" width="8.75" outlineLevel="1"/>
    <col customWidth="1" hidden="1" min="81" max="81" width="9.75" outlineLevel="1"/>
    <col customWidth="1" hidden="1" min="82" max="82" width="8.75" outlineLevel="1"/>
    <col customWidth="1" hidden="1" min="83" max="85" width="10.13" outlineLevel="1"/>
    <col customWidth="1" hidden="1" min="86" max="86" width="9.25" outlineLevel="1"/>
    <col customWidth="1" hidden="1" min="87" max="87" width="9.38" outlineLevel="1"/>
    <col customWidth="1" min="88" max="88" width="11.0"/>
    <col customWidth="1" hidden="1" min="89" max="89" width="6.25" outlineLevel="1"/>
    <col customWidth="1" hidden="1" min="90" max="90" width="7.0" outlineLevel="1"/>
    <col customWidth="1" hidden="1" min="91" max="91" width="8.25" outlineLevel="1"/>
    <col customWidth="1" hidden="1" min="92" max="92" width="5.38" outlineLevel="1"/>
    <col customWidth="1" hidden="1" min="93" max="93" width="5.25" outlineLevel="1"/>
    <col customWidth="1" hidden="1" min="94" max="95" width="8.75" outlineLevel="1"/>
    <col customWidth="1" hidden="1" min="96" max="96" width="11.25" outlineLevel="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"/>
      <c r="Z1" s="4"/>
      <c r="AA1" s="4"/>
      <c r="AB1" s="4"/>
      <c r="AC1" s="4"/>
      <c r="AD1" s="4"/>
      <c r="AE1" s="4"/>
      <c r="AF1" s="4"/>
      <c r="AG1" s="5"/>
      <c r="AH1" s="6" t="s">
        <v>0</v>
      </c>
      <c r="BE1" s="4"/>
      <c r="BF1" s="4"/>
      <c r="BG1" s="4"/>
      <c r="BH1" s="4"/>
      <c r="BI1" s="4"/>
      <c r="BJ1" s="4"/>
      <c r="BK1" s="4"/>
      <c r="BL1" s="4"/>
      <c r="BN1" s="7" t="s">
        <v>1</v>
      </c>
      <c r="CK1" s="4"/>
      <c r="CL1" s="4"/>
      <c r="CM1" s="4"/>
      <c r="CN1" s="4"/>
      <c r="CO1" s="4"/>
      <c r="CP1" s="4"/>
      <c r="CQ1" s="4"/>
      <c r="CR1" s="4"/>
    </row>
    <row r="2" ht="15.75" customHeight="1">
      <c r="A2" s="8" t="s">
        <v>2</v>
      </c>
      <c r="B2" s="9" t="s">
        <v>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1" t="s">
        <v>4</v>
      </c>
      <c r="N2" s="10"/>
      <c r="O2" s="10"/>
      <c r="P2" s="10"/>
      <c r="Q2" s="10"/>
      <c r="R2" s="10"/>
      <c r="S2" s="10"/>
      <c r="T2" s="10"/>
      <c r="U2" s="10"/>
      <c r="V2" s="10"/>
      <c r="W2" s="12"/>
      <c r="X2" s="13" t="s">
        <v>5</v>
      </c>
      <c r="Y2" s="10"/>
      <c r="Z2" s="10"/>
      <c r="AA2" s="10"/>
      <c r="AB2" s="10"/>
      <c r="AC2" s="10"/>
      <c r="AD2" s="10"/>
      <c r="AE2" s="10"/>
      <c r="AF2" s="12"/>
      <c r="AG2" s="14"/>
      <c r="AH2" s="9" t="s">
        <v>3</v>
      </c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 t="s">
        <v>4</v>
      </c>
      <c r="AT2" s="10"/>
      <c r="AU2" s="10"/>
      <c r="AV2" s="10"/>
      <c r="AW2" s="10"/>
      <c r="AX2" s="10"/>
      <c r="AY2" s="10"/>
      <c r="AZ2" s="10"/>
      <c r="BA2" s="10"/>
      <c r="BB2" s="10"/>
      <c r="BC2" s="12"/>
      <c r="BD2" s="15" t="s">
        <v>5</v>
      </c>
      <c r="BE2" s="16"/>
      <c r="BF2" s="16"/>
      <c r="BG2" s="16"/>
      <c r="BH2" s="16"/>
      <c r="BI2" s="16"/>
      <c r="BJ2" s="16"/>
      <c r="BK2" s="16"/>
      <c r="BL2" s="17"/>
      <c r="BN2" s="9" t="s">
        <v>3</v>
      </c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1" t="s">
        <v>4</v>
      </c>
      <c r="BZ2" s="10"/>
      <c r="CA2" s="10"/>
      <c r="CB2" s="10"/>
      <c r="CC2" s="10"/>
      <c r="CD2" s="10"/>
      <c r="CE2" s="10"/>
      <c r="CF2" s="10"/>
      <c r="CG2" s="10"/>
      <c r="CH2" s="10"/>
      <c r="CI2" s="12"/>
      <c r="CJ2" s="15" t="s">
        <v>5</v>
      </c>
      <c r="CK2" s="16"/>
      <c r="CL2" s="16"/>
      <c r="CM2" s="16"/>
      <c r="CN2" s="16"/>
      <c r="CO2" s="16"/>
      <c r="CP2" s="16"/>
      <c r="CQ2" s="16"/>
      <c r="CR2" s="17"/>
    </row>
    <row r="3" ht="15.75" customHeight="1">
      <c r="A3" s="18"/>
      <c r="B3" s="19" t="s">
        <v>6</v>
      </c>
      <c r="C3" s="20" t="s">
        <v>7</v>
      </c>
      <c r="D3" s="19" t="s">
        <v>8</v>
      </c>
      <c r="E3" s="20" t="s">
        <v>9</v>
      </c>
      <c r="F3" s="19" t="s">
        <v>10</v>
      </c>
      <c r="G3" s="20" t="s">
        <v>11</v>
      </c>
      <c r="H3" s="19" t="s">
        <v>12</v>
      </c>
      <c r="I3" s="19" t="s">
        <v>13</v>
      </c>
      <c r="J3" s="19" t="s">
        <v>14</v>
      </c>
      <c r="K3" s="19" t="s">
        <v>15</v>
      </c>
      <c r="L3" s="19" t="s">
        <v>16</v>
      </c>
      <c r="M3" s="21" t="s">
        <v>17</v>
      </c>
      <c r="N3" s="22" t="s">
        <v>18</v>
      </c>
      <c r="O3" s="22" t="s">
        <v>19</v>
      </c>
      <c r="P3" s="22" t="s">
        <v>20</v>
      </c>
      <c r="Q3" s="22" t="s">
        <v>21</v>
      </c>
      <c r="R3" s="22" t="s">
        <v>22</v>
      </c>
      <c r="S3" s="22" t="s">
        <v>23</v>
      </c>
      <c r="T3" s="22" t="s">
        <v>24</v>
      </c>
      <c r="U3" s="22" t="s">
        <v>25</v>
      </c>
      <c r="V3" s="22" t="s">
        <v>26</v>
      </c>
      <c r="W3" s="22" t="s">
        <v>27</v>
      </c>
      <c r="X3" s="23" t="s">
        <v>28</v>
      </c>
      <c r="Y3" s="24" t="s">
        <v>29</v>
      </c>
      <c r="Z3" s="24" t="s">
        <v>30</v>
      </c>
      <c r="AA3" s="24" t="s">
        <v>31</v>
      </c>
      <c r="AB3" s="25" t="s">
        <v>32</v>
      </c>
      <c r="AC3" s="25" t="s">
        <v>33</v>
      </c>
      <c r="AD3" s="25" t="s">
        <v>34</v>
      </c>
      <c r="AE3" s="25" t="s">
        <v>35</v>
      </c>
      <c r="AF3" s="26" t="s">
        <v>36</v>
      </c>
      <c r="AG3" s="27"/>
      <c r="AH3" s="19" t="s">
        <v>6</v>
      </c>
      <c r="AI3" s="20" t="s">
        <v>7</v>
      </c>
      <c r="AJ3" s="19" t="s">
        <v>8</v>
      </c>
      <c r="AK3" s="20" t="s">
        <v>9</v>
      </c>
      <c r="AL3" s="19" t="s">
        <v>10</v>
      </c>
      <c r="AM3" s="20" t="s">
        <v>11</v>
      </c>
      <c r="AN3" s="19" t="s">
        <v>12</v>
      </c>
      <c r="AO3" s="19" t="s">
        <v>13</v>
      </c>
      <c r="AP3" s="19" t="s">
        <v>14</v>
      </c>
      <c r="AQ3" s="19" t="s">
        <v>15</v>
      </c>
      <c r="AR3" s="19" t="s">
        <v>16</v>
      </c>
      <c r="AS3" s="21" t="s">
        <v>17</v>
      </c>
      <c r="AT3" s="22" t="s">
        <v>18</v>
      </c>
      <c r="AU3" s="22" t="s">
        <v>19</v>
      </c>
      <c r="AV3" s="22" t="s">
        <v>20</v>
      </c>
      <c r="AW3" s="22" t="s">
        <v>21</v>
      </c>
      <c r="AX3" s="22" t="s">
        <v>22</v>
      </c>
      <c r="AY3" s="22" t="s">
        <v>23</v>
      </c>
      <c r="AZ3" s="22" t="s">
        <v>24</v>
      </c>
      <c r="BA3" s="22" t="s">
        <v>25</v>
      </c>
      <c r="BB3" s="22" t="s">
        <v>26</v>
      </c>
      <c r="BC3" s="22" t="s">
        <v>27</v>
      </c>
      <c r="BD3" s="23" t="s">
        <v>28</v>
      </c>
      <c r="BE3" s="24" t="s">
        <v>29</v>
      </c>
      <c r="BF3" s="24" t="s">
        <v>30</v>
      </c>
      <c r="BG3" s="24" t="s">
        <v>31</v>
      </c>
      <c r="BH3" s="25" t="s">
        <v>32</v>
      </c>
      <c r="BI3" s="25" t="s">
        <v>33</v>
      </c>
      <c r="BJ3" s="25" t="s">
        <v>34</v>
      </c>
      <c r="BK3" s="25" t="s">
        <v>35</v>
      </c>
      <c r="BL3" s="26" t="s">
        <v>36</v>
      </c>
      <c r="BM3" s="28"/>
      <c r="BN3" s="19" t="s">
        <v>6</v>
      </c>
      <c r="BO3" s="20" t="s">
        <v>7</v>
      </c>
      <c r="BP3" s="19" t="s">
        <v>8</v>
      </c>
      <c r="BQ3" s="20" t="s">
        <v>9</v>
      </c>
      <c r="BR3" s="19" t="s">
        <v>10</v>
      </c>
      <c r="BS3" s="20" t="s">
        <v>11</v>
      </c>
      <c r="BT3" s="19" t="s">
        <v>12</v>
      </c>
      <c r="BU3" s="19" t="s">
        <v>13</v>
      </c>
      <c r="BV3" s="19" t="s">
        <v>14</v>
      </c>
      <c r="BW3" s="19" t="s">
        <v>15</v>
      </c>
      <c r="BX3" s="19" t="s">
        <v>16</v>
      </c>
      <c r="BY3" s="21" t="s">
        <v>17</v>
      </c>
      <c r="BZ3" s="22" t="s">
        <v>18</v>
      </c>
      <c r="CA3" s="22" t="s">
        <v>19</v>
      </c>
      <c r="CB3" s="22" t="s">
        <v>20</v>
      </c>
      <c r="CC3" s="22" t="s">
        <v>21</v>
      </c>
      <c r="CD3" s="22" t="s">
        <v>22</v>
      </c>
      <c r="CE3" s="22" t="s">
        <v>23</v>
      </c>
      <c r="CF3" s="22" t="s">
        <v>24</v>
      </c>
      <c r="CG3" s="22" t="s">
        <v>25</v>
      </c>
      <c r="CH3" s="22" t="s">
        <v>26</v>
      </c>
      <c r="CI3" s="22" t="s">
        <v>27</v>
      </c>
      <c r="CJ3" s="23" t="s">
        <v>28</v>
      </c>
      <c r="CK3" s="24" t="s">
        <v>29</v>
      </c>
      <c r="CL3" s="24" t="s">
        <v>30</v>
      </c>
      <c r="CM3" s="24" t="s">
        <v>31</v>
      </c>
      <c r="CN3" s="25" t="s">
        <v>32</v>
      </c>
      <c r="CO3" s="25" t="s">
        <v>33</v>
      </c>
      <c r="CP3" s="25" t="s">
        <v>34</v>
      </c>
      <c r="CQ3" s="25" t="s">
        <v>35</v>
      </c>
      <c r="CR3" s="26" t="s">
        <v>36</v>
      </c>
    </row>
    <row r="4" ht="15.75" customHeight="1">
      <c r="A4" s="29" t="s">
        <v>37</v>
      </c>
      <c r="B4" s="30" t="str">
        <f>SUM(B5,B9,B17,B25,B33)</f>
        <v>#REF!</v>
      </c>
      <c r="C4" s="31" t="str">
        <f>SUM(C5+C9+C17+C25+C33)</f>
        <v>#REF!</v>
      </c>
      <c r="D4" s="30" t="str">
        <f t="shared" ref="D4:H4" si="1">SUM(D5,D9,D17,D25,D33)</f>
        <v>#REF!</v>
      </c>
      <c r="E4" s="31" t="str">
        <f t="shared" si="1"/>
        <v>#REF!</v>
      </c>
      <c r="F4" s="30" t="str">
        <f t="shared" si="1"/>
        <v>#REF!</v>
      </c>
      <c r="G4" s="31" t="str">
        <f t="shared" si="1"/>
        <v>#REF!</v>
      </c>
      <c r="H4" s="30" t="str">
        <f t="shared" si="1"/>
        <v>#REF!</v>
      </c>
      <c r="I4" s="30"/>
      <c r="J4" s="30"/>
      <c r="K4" s="30"/>
      <c r="L4" s="30"/>
      <c r="M4" s="32" t="str">
        <f t="shared" ref="M4:M9" si="8">X4/B4</f>
        <v>#REF!</v>
      </c>
      <c r="N4" s="33" t="str">
        <f t="shared" ref="N4:N9" si="9">X4/C4</f>
        <v>#REF!</v>
      </c>
      <c r="O4" s="33" t="str">
        <f>X4/D4</f>
        <v>#REF!</v>
      </c>
      <c r="P4" s="33" t="str">
        <f t="shared" ref="P4:P9" si="10">X4/E4</f>
        <v>#REF!</v>
      </c>
      <c r="Q4" s="33" t="str">
        <f t="shared" ref="Q4:Q9" si="11">X4/F4</f>
        <v>#REF!</v>
      </c>
      <c r="R4" s="33" t="str">
        <f>X4/G4</f>
        <v>#REF!</v>
      </c>
      <c r="S4" s="33" t="str">
        <f>X4/H4</f>
        <v>#REF!</v>
      </c>
      <c r="T4" s="33"/>
      <c r="U4" s="33"/>
      <c r="V4" s="31" t="str">
        <f t="shared" ref="V4:Y4" si="2">SUM(V5,V9,V17,V25,V33)</f>
        <v>#REF!</v>
      </c>
      <c r="W4" s="31" t="str">
        <f t="shared" si="2"/>
        <v>#REF!</v>
      </c>
      <c r="X4" s="32" t="str">
        <f t="shared" si="2"/>
        <v>#REF!</v>
      </c>
      <c r="Y4" s="34" t="str">
        <f t="shared" si="2"/>
        <v>#REF!</v>
      </c>
      <c r="Z4" s="34"/>
      <c r="AA4" s="34"/>
      <c r="AB4" s="33"/>
      <c r="AC4" s="33"/>
      <c r="AD4" s="33"/>
      <c r="AE4" s="33" t="str">
        <f>SUM(AE5,AE9,AE17,AE25,AE33)</f>
        <v>#REF!</v>
      </c>
      <c r="AF4" s="35" t="str">
        <f t="shared" ref="AF4:AF40" si="13">IFERROR(Y4/X4,"")</f>
        <v/>
      </c>
      <c r="AG4" s="27"/>
      <c r="AH4" s="36">
        <f>SUM(AH5,AH9,AH17,AH25,AH33)</f>
        <v>0</v>
      </c>
      <c r="AI4" s="31">
        <f>SUM(AI5+AI9+AI17+AI25+AI33)</f>
        <v>0</v>
      </c>
      <c r="AJ4" s="36">
        <f t="shared" ref="AJ4:AN4" si="3">SUM(AJ5,AJ9,AJ17,AJ25,AJ33)</f>
        <v>0</v>
      </c>
      <c r="AK4" s="31">
        <f t="shared" si="3"/>
        <v>0</v>
      </c>
      <c r="AL4" s="36">
        <f t="shared" si="3"/>
        <v>0</v>
      </c>
      <c r="AM4" s="31">
        <f t="shared" si="3"/>
        <v>0</v>
      </c>
      <c r="AN4" s="36">
        <f t="shared" si="3"/>
        <v>0</v>
      </c>
      <c r="AO4" s="30"/>
      <c r="AP4" s="30"/>
      <c r="AQ4" s="30"/>
      <c r="AR4" s="30"/>
      <c r="AS4" s="32" t="str">
        <f t="shared" ref="AS4:AS5" si="15">BD4/AH4</f>
        <v>#DIV/0!</v>
      </c>
      <c r="AT4" s="33" t="str">
        <f t="shared" ref="AT4:AT5" si="16">BD4/AI4</f>
        <v>#DIV/0!</v>
      </c>
      <c r="AU4" s="33" t="str">
        <f>BD4/AJ4</f>
        <v>#DIV/0!</v>
      </c>
      <c r="AV4" s="33" t="str">
        <f t="shared" ref="AV4:AV5" si="17">BD4/AK4</f>
        <v>#DIV/0!</v>
      </c>
      <c r="AW4" s="33" t="str">
        <f t="shared" ref="AW4:AW5" si="18">BD4/AL4</f>
        <v>#DIV/0!</v>
      </c>
      <c r="AX4" s="33" t="str">
        <f>BD4/AM4</f>
        <v>#DIV/0!</v>
      </c>
      <c r="AY4" s="33" t="str">
        <f>BD4/AN4</f>
        <v>#DIV/0!</v>
      </c>
      <c r="AZ4" s="33"/>
      <c r="BA4" s="33"/>
      <c r="BB4" s="31">
        <f t="shared" ref="BB4:BE4" si="4">SUM(BB5,BB9,BB17,BB25,BB33)</f>
        <v>0</v>
      </c>
      <c r="BC4" s="31">
        <f t="shared" si="4"/>
        <v>0</v>
      </c>
      <c r="BD4" s="32">
        <f t="shared" si="4"/>
        <v>0</v>
      </c>
      <c r="BE4" s="34" t="str">
        <f t="shared" si="4"/>
        <v>#REF!</v>
      </c>
      <c r="BF4" s="34"/>
      <c r="BG4" s="34"/>
      <c r="BH4" s="33"/>
      <c r="BI4" s="33"/>
      <c r="BJ4" s="33"/>
      <c r="BK4" s="33" t="str">
        <f>SUM(BK5,BK9,BK17,BK25,BK33)</f>
        <v>#REF!</v>
      </c>
      <c r="BL4" s="35" t="str">
        <f t="shared" ref="BL4:BL33" si="20">IFERROR(BE4/BD4,"")</f>
        <v/>
      </c>
      <c r="BM4" s="37"/>
      <c r="BN4" s="36">
        <f>SUM(BN5,BN9,BN17,BN25,BN33)</f>
        <v>0</v>
      </c>
      <c r="BO4" s="31">
        <f>SUM(BO5+BO9+BO17+BO25+BO33)</f>
        <v>0</v>
      </c>
      <c r="BP4" s="36">
        <f t="shared" ref="BP4:BT4" si="5">SUM(BP5,BP9,BP17,BP25,BP33)</f>
        <v>0</v>
      </c>
      <c r="BQ4" s="31">
        <f t="shared" si="5"/>
        <v>0</v>
      </c>
      <c r="BR4" s="36">
        <f t="shared" si="5"/>
        <v>0</v>
      </c>
      <c r="BS4" s="31">
        <f t="shared" si="5"/>
        <v>0</v>
      </c>
      <c r="BT4" s="36">
        <f t="shared" si="5"/>
        <v>0</v>
      </c>
      <c r="BU4" s="30"/>
      <c r="BV4" s="30"/>
      <c r="BW4" s="30"/>
      <c r="BX4" s="30"/>
      <c r="BY4" s="32" t="str">
        <f t="shared" ref="BY4:BY5" si="22">CJ4/BN4</f>
        <v>#DIV/0!</v>
      </c>
      <c r="BZ4" s="33" t="str">
        <f t="shared" ref="BZ4:BZ5" si="23">CJ4/BO4</f>
        <v>#DIV/0!</v>
      </c>
      <c r="CA4" s="33" t="str">
        <f>CJ4/BP4</f>
        <v>#DIV/0!</v>
      </c>
      <c r="CB4" s="33" t="str">
        <f t="shared" ref="CB4:CB5" si="24">CJ4/BQ4</f>
        <v>#DIV/0!</v>
      </c>
      <c r="CC4" s="33" t="str">
        <f t="shared" ref="CC4:CC5" si="25">CJ4/BR4</f>
        <v>#DIV/0!</v>
      </c>
      <c r="CD4" s="33" t="str">
        <f>CJ4/BS4</f>
        <v>#DIV/0!</v>
      </c>
      <c r="CE4" s="33" t="str">
        <f>CJ4/BT4</f>
        <v>#DIV/0!</v>
      </c>
      <c r="CF4" s="33"/>
      <c r="CG4" s="33"/>
      <c r="CH4" s="31">
        <f t="shared" ref="CH4:CK4" si="6">SUM(CH5,CH9,CH17,CH25,CH33)</f>
        <v>0</v>
      </c>
      <c r="CI4" s="31">
        <f t="shared" si="6"/>
        <v>0</v>
      </c>
      <c r="CJ4" s="32">
        <f t="shared" si="6"/>
        <v>0</v>
      </c>
      <c r="CK4" s="34" t="str">
        <f t="shared" si="6"/>
        <v>#REF!</v>
      </c>
      <c r="CL4" s="34"/>
      <c r="CM4" s="34"/>
      <c r="CN4" s="33"/>
      <c r="CO4" s="33"/>
      <c r="CP4" s="33"/>
      <c r="CQ4" s="33" t="str">
        <f>SUM(CQ5,CQ9,CQ17,CQ25,CQ33)</f>
        <v>#REF!</v>
      </c>
      <c r="CR4" s="35" t="str">
        <f t="shared" ref="CR4:CR33" si="27">IFERROR(CK4/CJ4,"")</f>
        <v/>
      </c>
    </row>
    <row r="5" ht="18.75" customHeight="1" collapsed="1">
      <c r="A5" s="38" t="s">
        <v>38</v>
      </c>
      <c r="B5" s="39" t="str">
        <f t="shared" ref="B5:H5" si="7">SUM(B6:B8)</f>
        <v>#REF!</v>
      </c>
      <c r="C5" s="39" t="str">
        <f t="shared" si="7"/>
        <v>#REF!</v>
      </c>
      <c r="D5" s="39" t="str">
        <f t="shared" si="7"/>
        <v>#REF!</v>
      </c>
      <c r="E5" s="39" t="str">
        <f t="shared" si="7"/>
        <v>#REF!</v>
      </c>
      <c r="F5" s="39" t="str">
        <f t="shared" si="7"/>
        <v>#REF!</v>
      </c>
      <c r="G5" s="39" t="str">
        <f t="shared" si="7"/>
        <v>#REF!</v>
      </c>
      <c r="H5" s="39" t="str">
        <f t="shared" si="7"/>
        <v>#REF!</v>
      </c>
      <c r="I5" s="39"/>
      <c r="J5" s="39"/>
      <c r="K5" s="39"/>
      <c r="L5" s="39"/>
      <c r="M5" s="40" t="str">
        <f t="shared" si="8"/>
        <v>#REF!</v>
      </c>
      <c r="N5" s="40" t="str">
        <f t="shared" si="9"/>
        <v>#REF!</v>
      </c>
      <c r="O5" s="40" t="str">
        <f t="shared" ref="O5:O17" si="29">IFERROR(X5/D5,"")</f>
        <v/>
      </c>
      <c r="P5" s="41" t="str">
        <f t="shared" si="10"/>
        <v>#REF!</v>
      </c>
      <c r="Q5" s="42" t="str">
        <f t="shared" si="11"/>
        <v>#REF!</v>
      </c>
      <c r="R5" s="42" t="str">
        <f t="shared" ref="R5:R40" si="30">IFERROR(X5/G5,"")</f>
        <v/>
      </c>
      <c r="S5" s="42" t="str">
        <f t="shared" ref="S5:S40" si="31">IFERROR(X5/H5,"")</f>
        <v/>
      </c>
      <c r="T5" s="42"/>
      <c r="U5" s="42"/>
      <c r="V5" s="39" t="str">
        <f t="shared" ref="V5:Y5" si="12">SUM(V6:V8)</f>
        <v>#REF!</v>
      </c>
      <c r="W5" s="39">
        <f t="shared" si="12"/>
        <v>0</v>
      </c>
      <c r="X5" s="43" t="str">
        <f t="shared" si="12"/>
        <v>#REF!</v>
      </c>
      <c r="Y5" s="43" t="str">
        <f t="shared" si="12"/>
        <v>#REF!</v>
      </c>
      <c r="Z5" s="43"/>
      <c r="AA5" s="43"/>
      <c r="AB5" s="43"/>
      <c r="AC5" s="43"/>
      <c r="AD5" s="43"/>
      <c r="AE5" s="43">
        <f>SUM(AE6:AE8)</f>
        <v>0</v>
      </c>
      <c r="AF5" s="44" t="str">
        <f t="shared" si="13"/>
        <v/>
      </c>
      <c r="AG5" s="45"/>
      <c r="AH5" s="39">
        <f t="shared" ref="AH5:AN5" si="14">SUM(AH6:AH8)</f>
        <v>0</v>
      </c>
      <c r="AI5" s="39">
        <f t="shared" si="14"/>
        <v>0</v>
      </c>
      <c r="AJ5" s="39">
        <f t="shared" si="14"/>
        <v>0</v>
      </c>
      <c r="AK5" s="39">
        <f t="shared" si="14"/>
        <v>0</v>
      </c>
      <c r="AL5" s="39">
        <f t="shared" si="14"/>
        <v>0</v>
      </c>
      <c r="AM5" s="39">
        <f t="shared" si="14"/>
        <v>0</v>
      </c>
      <c r="AN5" s="39">
        <f t="shared" si="14"/>
        <v>0</v>
      </c>
      <c r="AO5" s="39"/>
      <c r="AP5" s="39"/>
      <c r="AQ5" s="39"/>
      <c r="AR5" s="39"/>
      <c r="AS5" s="40" t="str">
        <f t="shared" si="15"/>
        <v>#DIV/0!</v>
      </c>
      <c r="AT5" s="40" t="str">
        <f t="shared" si="16"/>
        <v>#DIV/0!</v>
      </c>
      <c r="AU5" s="40" t="str">
        <f>IFERROR(BD5/AJ5,"")</f>
        <v/>
      </c>
      <c r="AV5" s="41" t="str">
        <f t="shared" si="17"/>
        <v>#DIV/0!</v>
      </c>
      <c r="AW5" s="42" t="str">
        <f t="shared" si="18"/>
        <v>#DIV/0!</v>
      </c>
      <c r="AX5" s="42" t="str">
        <f>IFERROR(BD5/AM5,"")</f>
        <v/>
      </c>
      <c r="AY5" s="42" t="str">
        <f>IFERROR(BD5/AN5,"")</f>
        <v/>
      </c>
      <c r="AZ5" s="42"/>
      <c r="BA5" s="42"/>
      <c r="BB5" s="39">
        <f t="shared" ref="BB5:BE5" si="19">SUM(BB6:BB8)</f>
        <v>0</v>
      </c>
      <c r="BC5" s="39">
        <f t="shared" si="19"/>
        <v>0</v>
      </c>
      <c r="BD5" s="43">
        <f t="shared" si="19"/>
        <v>0</v>
      </c>
      <c r="BE5" s="43" t="str">
        <f t="shared" si="19"/>
        <v>#REF!</v>
      </c>
      <c r="BF5" s="43"/>
      <c r="BG5" s="43"/>
      <c r="BH5" s="43"/>
      <c r="BI5" s="43"/>
      <c r="BJ5" s="43"/>
      <c r="BK5" s="43">
        <f>SUM(BK6:BK8)</f>
        <v>0</v>
      </c>
      <c r="BL5" s="44" t="str">
        <f t="shared" si="20"/>
        <v/>
      </c>
      <c r="BM5" s="46"/>
      <c r="BN5" s="39">
        <f t="shared" ref="BN5:BT5" si="21">SUM(BN6:BN8)</f>
        <v>0</v>
      </c>
      <c r="BO5" s="39">
        <f t="shared" si="21"/>
        <v>0</v>
      </c>
      <c r="BP5" s="39">
        <f t="shared" si="21"/>
        <v>0</v>
      </c>
      <c r="BQ5" s="39">
        <f t="shared" si="21"/>
        <v>0</v>
      </c>
      <c r="BR5" s="39">
        <f t="shared" si="21"/>
        <v>0</v>
      </c>
      <c r="BS5" s="39">
        <f t="shared" si="21"/>
        <v>0</v>
      </c>
      <c r="BT5" s="39">
        <f t="shared" si="21"/>
        <v>0</v>
      </c>
      <c r="BU5" s="39"/>
      <c r="BV5" s="39"/>
      <c r="BW5" s="39"/>
      <c r="BX5" s="39"/>
      <c r="BY5" s="40" t="str">
        <f t="shared" si="22"/>
        <v>#DIV/0!</v>
      </c>
      <c r="BZ5" s="40" t="str">
        <f t="shared" si="23"/>
        <v>#DIV/0!</v>
      </c>
      <c r="CA5" s="40" t="str">
        <f>IFERROR(CJ5/BP5,"")</f>
        <v/>
      </c>
      <c r="CB5" s="41" t="str">
        <f t="shared" si="24"/>
        <v>#DIV/0!</v>
      </c>
      <c r="CC5" s="42" t="str">
        <f t="shared" si="25"/>
        <v>#DIV/0!</v>
      </c>
      <c r="CD5" s="42" t="str">
        <f>IFERROR(CJ5/BS5,"")</f>
        <v/>
      </c>
      <c r="CE5" s="42" t="str">
        <f>IFERROR(CJ5/BT5,"")</f>
        <v/>
      </c>
      <c r="CF5" s="42"/>
      <c r="CG5" s="42"/>
      <c r="CH5" s="39">
        <f t="shared" ref="CH5:CK5" si="26">SUM(CH6:CH8)</f>
        <v>0</v>
      </c>
      <c r="CI5" s="39">
        <f t="shared" si="26"/>
        <v>0</v>
      </c>
      <c r="CJ5" s="43">
        <f t="shared" si="26"/>
        <v>0</v>
      </c>
      <c r="CK5" s="43" t="str">
        <f t="shared" si="26"/>
        <v>#REF!</v>
      </c>
      <c r="CL5" s="43"/>
      <c r="CM5" s="43"/>
      <c r="CN5" s="43"/>
      <c r="CO5" s="43"/>
      <c r="CP5" s="43"/>
      <c r="CQ5" s="43">
        <f>SUM(CQ6:CQ8)</f>
        <v>0</v>
      </c>
      <c r="CR5" s="44" t="str">
        <f t="shared" si="27"/>
        <v/>
      </c>
    </row>
    <row r="6" ht="15.75" hidden="1" customHeight="1" outlineLevel="1">
      <c r="A6" s="47">
        <f t="shared" ref="A6:A7" si="33">A7+1</f>
        <v>45657</v>
      </c>
      <c r="B6" s="48" t="str">
        <f t="shared" ref="B6:H6" si="28">SUM(AI6,#REF!,#REF!,#REF!,#REF!,#REF!,#REF!,#REF!,#REF!,#REF!,#REF!,#REF!,#REF!,BC6,#REF!)</f>
        <v>#REF!</v>
      </c>
      <c r="C6" s="48" t="str">
        <f t="shared" si="28"/>
        <v>#REF!</v>
      </c>
      <c r="D6" s="48" t="str">
        <f t="shared" si="28"/>
        <v>#REF!</v>
      </c>
      <c r="E6" s="48" t="str">
        <f t="shared" si="28"/>
        <v>#REF!</v>
      </c>
      <c r="F6" s="48" t="str">
        <f t="shared" si="28"/>
        <v>#REF!</v>
      </c>
      <c r="G6" s="48" t="str">
        <f t="shared" si="28"/>
        <v>#REF!</v>
      </c>
      <c r="H6" s="48" t="str">
        <f t="shared" si="28"/>
        <v>#REF!</v>
      </c>
      <c r="I6" s="48"/>
      <c r="J6" s="48"/>
      <c r="K6" s="48"/>
      <c r="L6" s="48"/>
      <c r="M6" s="49" t="str">
        <f t="shared" si="8"/>
        <v>#REF!</v>
      </c>
      <c r="N6" s="49" t="str">
        <f t="shared" si="9"/>
        <v>#REF!</v>
      </c>
      <c r="O6" s="49" t="str">
        <f t="shared" si="29"/>
        <v/>
      </c>
      <c r="P6" s="50" t="str">
        <f t="shared" si="10"/>
        <v>#REF!</v>
      </c>
      <c r="Q6" s="51" t="str">
        <f t="shared" si="11"/>
        <v>#REF!</v>
      </c>
      <c r="R6" s="51" t="str">
        <f t="shared" si="30"/>
        <v/>
      </c>
      <c r="S6" s="51" t="str">
        <f t="shared" si="31"/>
        <v/>
      </c>
      <c r="T6" s="51"/>
      <c r="U6" s="51"/>
      <c r="V6" s="48" t="str">
        <f t="shared" ref="V6:V8" si="35">SUM(AX6,#REF!,#REF!,#REF!,#REF!,#REF!,#REF!,#REF!,#REF!,#REF!,#REF!,#REF!,#REF!,#REF!,#REF!)</f>
        <v>#REF!</v>
      </c>
      <c r="W6" s="52"/>
      <c r="X6" s="53" t="str">
        <f t="shared" ref="X6:Y6" si="32">SUM(AZ6,#REF!,#REF!,#REF!,#REF!,#REF!,#REF!,#REF!,#REF!,#REF!,#REF!,#REF!,#REF!,#REF!,#REF!)</f>
        <v>#REF!</v>
      </c>
      <c r="Y6" s="53" t="str">
        <f t="shared" si="32"/>
        <v>#REF!</v>
      </c>
      <c r="Z6" s="53"/>
      <c r="AA6" s="53"/>
      <c r="AB6" s="54"/>
      <c r="AC6" s="54"/>
      <c r="AD6" s="54"/>
      <c r="AE6" s="54"/>
      <c r="AF6" s="55" t="str">
        <f t="shared" si="13"/>
        <v/>
      </c>
      <c r="AG6" s="45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9"/>
      <c r="AT6" s="49"/>
      <c r="AU6" s="49"/>
      <c r="AV6" s="50"/>
      <c r="AW6" s="51"/>
      <c r="AX6" s="51"/>
      <c r="AY6" s="51"/>
      <c r="AZ6" s="51"/>
      <c r="BA6" s="51"/>
      <c r="BB6" s="48"/>
      <c r="BC6" s="52"/>
      <c r="BD6" s="53"/>
      <c r="BE6" s="53" t="str">
        <f t="shared" ref="BE6:BE8" si="37">SUM(#REF!,#REF!,#REF!,#REF!,#REF!,#REF!,#REF!,DC6,#REF!,#REF!,#REF!,#REF!,#REF!,#REF!,DV6)</f>
        <v>#REF!</v>
      </c>
      <c r="BF6" s="53"/>
      <c r="BG6" s="53"/>
      <c r="BH6" s="54"/>
      <c r="BI6" s="54"/>
      <c r="BJ6" s="54"/>
      <c r="BK6" s="54"/>
      <c r="BL6" s="55" t="str">
        <f t="shared" si="20"/>
        <v/>
      </c>
      <c r="BM6" s="56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9"/>
      <c r="BZ6" s="49"/>
      <c r="CA6" s="49"/>
      <c r="CB6" s="50"/>
      <c r="CC6" s="51"/>
      <c r="CD6" s="51"/>
      <c r="CE6" s="51"/>
      <c r="CF6" s="51"/>
      <c r="CG6" s="51"/>
      <c r="CH6" s="48"/>
      <c r="CI6" s="52"/>
      <c r="CJ6" s="53"/>
      <c r="CK6" s="53" t="str">
        <f t="shared" ref="CK6:CK8" si="38">SUM(#REF!,#REF!,#REF!,#REF!,#REF!,#REF!,#REF!,EI6,#REF!,#REF!,#REF!,#REF!,#REF!,#REF!,FB6)</f>
        <v>#REF!</v>
      </c>
      <c r="CL6" s="53"/>
      <c r="CM6" s="53"/>
      <c r="CN6" s="54"/>
      <c r="CO6" s="54"/>
      <c r="CP6" s="54"/>
      <c r="CQ6" s="54"/>
      <c r="CR6" s="55" t="str">
        <f t="shared" si="27"/>
        <v/>
      </c>
    </row>
    <row r="7" ht="15.75" hidden="1" customHeight="1" outlineLevel="1">
      <c r="A7" s="47">
        <f t="shared" si="33"/>
        <v>45656</v>
      </c>
      <c r="B7" s="48" t="str">
        <f t="shared" ref="B7:H7" si="34">SUM(AI7,#REF!,#REF!,#REF!,#REF!,#REF!,#REF!,#REF!,#REF!,#REF!,#REF!,#REF!,#REF!,BC7,#REF!)</f>
        <v>#REF!</v>
      </c>
      <c r="C7" s="48" t="str">
        <f t="shared" si="34"/>
        <v>#REF!</v>
      </c>
      <c r="D7" s="48" t="str">
        <f t="shared" si="34"/>
        <v>#REF!</v>
      </c>
      <c r="E7" s="48" t="str">
        <f t="shared" si="34"/>
        <v>#REF!</v>
      </c>
      <c r="F7" s="48" t="str">
        <f t="shared" si="34"/>
        <v>#REF!</v>
      </c>
      <c r="G7" s="48" t="str">
        <f t="shared" si="34"/>
        <v>#REF!</v>
      </c>
      <c r="H7" s="48" t="str">
        <f t="shared" si="34"/>
        <v>#REF!</v>
      </c>
      <c r="I7" s="48"/>
      <c r="J7" s="48"/>
      <c r="K7" s="48"/>
      <c r="L7" s="48"/>
      <c r="M7" s="49" t="str">
        <f t="shared" si="8"/>
        <v>#REF!</v>
      </c>
      <c r="N7" s="49" t="str">
        <f t="shared" si="9"/>
        <v>#REF!</v>
      </c>
      <c r="O7" s="49" t="str">
        <f t="shared" si="29"/>
        <v/>
      </c>
      <c r="P7" s="50" t="str">
        <f t="shared" si="10"/>
        <v>#REF!</v>
      </c>
      <c r="Q7" s="51" t="str">
        <f t="shared" si="11"/>
        <v>#REF!</v>
      </c>
      <c r="R7" s="51" t="str">
        <f t="shared" si="30"/>
        <v/>
      </c>
      <c r="S7" s="51" t="str">
        <f t="shared" si="31"/>
        <v/>
      </c>
      <c r="T7" s="51"/>
      <c r="U7" s="51"/>
      <c r="V7" s="48" t="str">
        <f t="shared" si="35"/>
        <v>#REF!</v>
      </c>
      <c r="W7" s="52"/>
      <c r="X7" s="53" t="str">
        <f t="shared" ref="X7:Y7" si="36">SUM(AZ7,#REF!,#REF!,#REF!,#REF!,#REF!,#REF!,#REF!,#REF!,#REF!,#REF!,#REF!,#REF!,#REF!,#REF!)</f>
        <v>#REF!</v>
      </c>
      <c r="Y7" s="53" t="str">
        <f t="shared" si="36"/>
        <v>#REF!</v>
      </c>
      <c r="Z7" s="53"/>
      <c r="AA7" s="53"/>
      <c r="AB7" s="54"/>
      <c r="AC7" s="54"/>
      <c r="AD7" s="54"/>
      <c r="AE7" s="54"/>
      <c r="AF7" s="55" t="str">
        <f t="shared" si="13"/>
        <v/>
      </c>
      <c r="AG7" s="45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9"/>
      <c r="AT7" s="49"/>
      <c r="AU7" s="49"/>
      <c r="AV7" s="50"/>
      <c r="AW7" s="51"/>
      <c r="AX7" s="51"/>
      <c r="AY7" s="51"/>
      <c r="AZ7" s="51"/>
      <c r="BA7" s="51"/>
      <c r="BB7" s="48"/>
      <c r="BC7" s="52"/>
      <c r="BD7" s="53"/>
      <c r="BE7" s="53" t="str">
        <f t="shared" si="37"/>
        <v>#REF!</v>
      </c>
      <c r="BF7" s="53"/>
      <c r="BG7" s="53"/>
      <c r="BH7" s="54"/>
      <c r="BI7" s="54"/>
      <c r="BJ7" s="54"/>
      <c r="BK7" s="54"/>
      <c r="BL7" s="55" t="str">
        <f t="shared" si="20"/>
        <v/>
      </c>
      <c r="BM7" s="56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9"/>
      <c r="BZ7" s="49"/>
      <c r="CA7" s="49"/>
      <c r="CB7" s="50"/>
      <c r="CC7" s="51"/>
      <c r="CD7" s="51"/>
      <c r="CE7" s="51"/>
      <c r="CF7" s="51"/>
      <c r="CG7" s="51"/>
      <c r="CH7" s="48"/>
      <c r="CI7" s="52"/>
      <c r="CJ7" s="53"/>
      <c r="CK7" s="53" t="str">
        <f t="shared" si="38"/>
        <v>#REF!</v>
      </c>
      <c r="CL7" s="53"/>
      <c r="CM7" s="53"/>
      <c r="CN7" s="54"/>
      <c r="CO7" s="54"/>
      <c r="CP7" s="54"/>
      <c r="CQ7" s="54"/>
      <c r="CR7" s="55" t="str">
        <f t="shared" si="27"/>
        <v/>
      </c>
    </row>
    <row r="8" ht="15.75" hidden="1" customHeight="1" outlineLevel="1">
      <c r="A8" s="47">
        <f>A10+1</f>
        <v>45655</v>
      </c>
      <c r="B8" s="48" t="str">
        <f t="shared" ref="B8:H8" si="39">SUM(AI8,#REF!,#REF!,#REF!,#REF!,#REF!,#REF!,#REF!,#REF!,#REF!,#REF!,#REF!,#REF!,BC8,#REF!)</f>
        <v>#REF!</v>
      </c>
      <c r="C8" s="48" t="str">
        <f t="shared" si="39"/>
        <v>#REF!</v>
      </c>
      <c r="D8" s="48" t="str">
        <f t="shared" si="39"/>
        <v>#REF!</v>
      </c>
      <c r="E8" s="48" t="str">
        <f t="shared" si="39"/>
        <v>#REF!</v>
      </c>
      <c r="F8" s="48" t="str">
        <f t="shared" si="39"/>
        <v>#REF!</v>
      </c>
      <c r="G8" s="48" t="str">
        <f t="shared" si="39"/>
        <v>#REF!</v>
      </c>
      <c r="H8" s="48" t="str">
        <f t="shared" si="39"/>
        <v>#REF!</v>
      </c>
      <c r="I8" s="48"/>
      <c r="J8" s="48"/>
      <c r="K8" s="48"/>
      <c r="L8" s="48"/>
      <c r="M8" s="49" t="str">
        <f t="shared" si="8"/>
        <v>#REF!</v>
      </c>
      <c r="N8" s="49" t="str">
        <f t="shared" si="9"/>
        <v>#REF!</v>
      </c>
      <c r="O8" s="49" t="str">
        <f t="shared" si="29"/>
        <v/>
      </c>
      <c r="P8" s="50" t="str">
        <f t="shared" si="10"/>
        <v>#REF!</v>
      </c>
      <c r="Q8" s="51" t="str">
        <f t="shared" si="11"/>
        <v>#REF!</v>
      </c>
      <c r="R8" s="51" t="str">
        <f t="shared" si="30"/>
        <v/>
      </c>
      <c r="S8" s="51" t="str">
        <f t="shared" si="31"/>
        <v/>
      </c>
      <c r="T8" s="51"/>
      <c r="U8" s="51"/>
      <c r="V8" s="48" t="str">
        <f t="shared" si="35"/>
        <v>#REF!</v>
      </c>
      <c r="W8" s="52"/>
      <c r="X8" s="53" t="str">
        <f t="shared" ref="X8:Y8" si="40">SUM(AZ8,#REF!,#REF!,#REF!,#REF!,#REF!,#REF!,#REF!,#REF!,#REF!,#REF!,#REF!,#REF!,#REF!,#REF!)</f>
        <v>#REF!</v>
      </c>
      <c r="Y8" s="53" t="str">
        <f t="shared" si="40"/>
        <v>#REF!</v>
      </c>
      <c r="Z8" s="53"/>
      <c r="AA8" s="53"/>
      <c r="AB8" s="54"/>
      <c r="AC8" s="54"/>
      <c r="AD8" s="54"/>
      <c r="AE8" s="54"/>
      <c r="AF8" s="55" t="str">
        <f t="shared" si="13"/>
        <v/>
      </c>
      <c r="AG8" s="45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9"/>
      <c r="AT8" s="49"/>
      <c r="AU8" s="49"/>
      <c r="AV8" s="50"/>
      <c r="AW8" s="51"/>
      <c r="AX8" s="51"/>
      <c r="AY8" s="51"/>
      <c r="AZ8" s="51"/>
      <c r="BA8" s="51"/>
      <c r="BB8" s="48"/>
      <c r="BC8" s="52"/>
      <c r="BD8" s="53"/>
      <c r="BE8" s="53" t="str">
        <f t="shared" si="37"/>
        <v>#REF!</v>
      </c>
      <c r="BF8" s="53"/>
      <c r="BG8" s="53"/>
      <c r="BH8" s="54"/>
      <c r="BI8" s="54"/>
      <c r="BJ8" s="54"/>
      <c r="BK8" s="54"/>
      <c r="BL8" s="55" t="str">
        <f t="shared" si="20"/>
        <v/>
      </c>
      <c r="BM8" s="56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9"/>
      <c r="BZ8" s="49"/>
      <c r="CA8" s="49"/>
      <c r="CB8" s="50"/>
      <c r="CC8" s="51"/>
      <c r="CD8" s="51"/>
      <c r="CE8" s="51"/>
      <c r="CF8" s="51"/>
      <c r="CG8" s="51"/>
      <c r="CH8" s="48"/>
      <c r="CI8" s="52"/>
      <c r="CJ8" s="53"/>
      <c r="CK8" s="53" t="str">
        <f t="shared" si="38"/>
        <v>#REF!</v>
      </c>
      <c r="CL8" s="53"/>
      <c r="CM8" s="53"/>
      <c r="CN8" s="54"/>
      <c r="CO8" s="54"/>
      <c r="CP8" s="54"/>
      <c r="CQ8" s="54"/>
      <c r="CR8" s="55" t="str">
        <f t="shared" si="27"/>
        <v/>
      </c>
    </row>
    <row r="9" ht="19.5" customHeight="1" collapsed="1">
      <c r="A9" s="38" t="s">
        <v>39</v>
      </c>
      <c r="B9" s="39" t="str">
        <f t="shared" ref="B9:H9" si="41">SUM(B10:B16)</f>
        <v>#REF!</v>
      </c>
      <c r="C9" s="39" t="str">
        <f t="shared" si="41"/>
        <v>#REF!</v>
      </c>
      <c r="D9" s="39" t="str">
        <f t="shared" si="41"/>
        <v>#REF!</v>
      </c>
      <c r="E9" s="39" t="str">
        <f t="shared" si="41"/>
        <v>#REF!</v>
      </c>
      <c r="F9" s="39" t="str">
        <f t="shared" si="41"/>
        <v>#REF!</v>
      </c>
      <c r="G9" s="39" t="str">
        <f t="shared" si="41"/>
        <v>#REF!</v>
      </c>
      <c r="H9" s="39" t="str">
        <f t="shared" si="41"/>
        <v>#REF!</v>
      </c>
      <c r="I9" s="39"/>
      <c r="J9" s="39"/>
      <c r="K9" s="39"/>
      <c r="L9" s="39"/>
      <c r="M9" s="40" t="str">
        <f t="shared" si="8"/>
        <v>#REF!</v>
      </c>
      <c r="N9" s="40" t="str">
        <f t="shared" si="9"/>
        <v>#REF!</v>
      </c>
      <c r="O9" s="40" t="str">
        <f t="shared" si="29"/>
        <v/>
      </c>
      <c r="P9" s="41" t="str">
        <f t="shared" si="10"/>
        <v>#REF!</v>
      </c>
      <c r="Q9" s="42" t="str">
        <f t="shared" si="11"/>
        <v>#REF!</v>
      </c>
      <c r="R9" s="42" t="str">
        <f t="shared" si="30"/>
        <v/>
      </c>
      <c r="S9" s="42" t="str">
        <f t="shared" si="31"/>
        <v/>
      </c>
      <c r="T9" s="42"/>
      <c r="U9" s="42"/>
      <c r="V9" s="39" t="str">
        <f t="shared" ref="V9:Y9" si="42">SUM(V10:V16)</f>
        <v>#REF!</v>
      </c>
      <c r="W9" s="39">
        <f t="shared" si="42"/>
        <v>0</v>
      </c>
      <c r="X9" s="43" t="str">
        <f t="shared" si="42"/>
        <v>#REF!</v>
      </c>
      <c r="Y9" s="43" t="str">
        <f t="shared" si="42"/>
        <v>#REF!</v>
      </c>
      <c r="Z9" s="43"/>
      <c r="AA9" s="43"/>
      <c r="AB9" s="43"/>
      <c r="AC9" s="43"/>
      <c r="AD9" s="43"/>
      <c r="AE9" s="43">
        <f>SUM(AE10:AE16)</f>
        <v>0</v>
      </c>
      <c r="AF9" s="44" t="str">
        <f t="shared" si="13"/>
        <v/>
      </c>
      <c r="AG9" s="45"/>
      <c r="AH9" s="39">
        <f t="shared" ref="AH9:AN9" si="43">SUM(AH10:AH16)</f>
        <v>0</v>
      </c>
      <c r="AI9" s="39">
        <f t="shared" si="43"/>
        <v>0</v>
      </c>
      <c r="AJ9" s="39">
        <f t="shared" si="43"/>
        <v>0</v>
      </c>
      <c r="AK9" s="39">
        <f t="shared" si="43"/>
        <v>0</v>
      </c>
      <c r="AL9" s="39">
        <f t="shared" si="43"/>
        <v>0</v>
      </c>
      <c r="AM9" s="39">
        <f t="shared" si="43"/>
        <v>0</v>
      </c>
      <c r="AN9" s="39">
        <f t="shared" si="43"/>
        <v>0</v>
      </c>
      <c r="AO9" s="39"/>
      <c r="AP9" s="39"/>
      <c r="AQ9" s="39"/>
      <c r="AR9" s="39"/>
      <c r="AS9" s="40" t="str">
        <f>BD9/AH9</f>
        <v>#DIV/0!</v>
      </c>
      <c r="AT9" s="40" t="str">
        <f>BD9/AI9</f>
        <v>#DIV/0!</v>
      </c>
      <c r="AU9" s="40" t="str">
        <f>IFERROR(BD9/AJ9,"")</f>
        <v/>
      </c>
      <c r="AV9" s="41" t="str">
        <f>BD9/AK9</f>
        <v>#DIV/0!</v>
      </c>
      <c r="AW9" s="42" t="str">
        <f>BD9/AL9</f>
        <v>#DIV/0!</v>
      </c>
      <c r="AX9" s="42" t="str">
        <f>IFERROR(BD9/AM9,"")</f>
        <v/>
      </c>
      <c r="AY9" s="42" t="str">
        <f>IFERROR(BD9/AN9,"")</f>
        <v/>
      </c>
      <c r="AZ9" s="42"/>
      <c r="BA9" s="42"/>
      <c r="BB9" s="39">
        <f t="shared" ref="BB9:BE9" si="44">SUM(BB10:BB16)</f>
        <v>0</v>
      </c>
      <c r="BC9" s="39">
        <f t="shared" si="44"/>
        <v>0</v>
      </c>
      <c r="BD9" s="43">
        <f t="shared" si="44"/>
        <v>0</v>
      </c>
      <c r="BE9" s="43" t="str">
        <f t="shared" si="44"/>
        <v>#REF!</v>
      </c>
      <c r="BF9" s="43"/>
      <c r="BG9" s="43"/>
      <c r="BH9" s="43"/>
      <c r="BI9" s="43"/>
      <c r="BJ9" s="43"/>
      <c r="BK9" s="43">
        <f>SUM(BK10:BK16)</f>
        <v>0</v>
      </c>
      <c r="BL9" s="44" t="str">
        <f t="shared" si="20"/>
        <v/>
      </c>
      <c r="BM9" s="46"/>
      <c r="BN9" s="39">
        <f t="shared" ref="BN9:BT9" si="45">SUM(BN10:BN16)</f>
        <v>0</v>
      </c>
      <c r="BO9" s="39">
        <f t="shared" si="45"/>
        <v>0</v>
      </c>
      <c r="BP9" s="39">
        <f t="shared" si="45"/>
        <v>0</v>
      </c>
      <c r="BQ9" s="39">
        <f t="shared" si="45"/>
        <v>0</v>
      </c>
      <c r="BR9" s="39">
        <f t="shared" si="45"/>
        <v>0</v>
      </c>
      <c r="BS9" s="39">
        <f t="shared" si="45"/>
        <v>0</v>
      </c>
      <c r="BT9" s="39">
        <f t="shared" si="45"/>
        <v>0</v>
      </c>
      <c r="BU9" s="39"/>
      <c r="BV9" s="39"/>
      <c r="BW9" s="39"/>
      <c r="BX9" s="39"/>
      <c r="BY9" s="40" t="str">
        <f>CJ9/BN9</f>
        <v>#DIV/0!</v>
      </c>
      <c r="BZ9" s="40" t="str">
        <f>CJ9/BO9</f>
        <v>#DIV/0!</v>
      </c>
      <c r="CA9" s="40" t="str">
        <f>IFERROR(CJ9/BP9,"")</f>
        <v/>
      </c>
      <c r="CB9" s="41" t="str">
        <f>CJ9/BQ9</f>
        <v>#DIV/0!</v>
      </c>
      <c r="CC9" s="42" t="str">
        <f>CJ9/BR9</f>
        <v>#DIV/0!</v>
      </c>
      <c r="CD9" s="42" t="str">
        <f>IFERROR(CJ9/BS9,"")</f>
        <v/>
      </c>
      <c r="CE9" s="42" t="str">
        <f>IFERROR(CJ9/BT9,"")</f>
        <v/>
      </c>
      <c r="CF9" s="42"/>
      <c r="CG9" s="42"/>
      <c r="CH9" s="39">
        <f t="shared" ref="CH9:CK9" si="46">SUM(CH10:CH16)</f>
        <v>0</v>
      </c>
      <c r="CI9" s="39">
        <f t="shared" si="46"/>
        <v>0</v>
      </c>
      <c r="CJ9" s="43">
        <f t="shared" si="46"/>
        <v>0</v>
      </c>
      <c r="CK9" s="43" t="str">
        <f t="shared" si="46"/>
        <v>#REF!</v>
      </c>
      <c r="CL9" s="43"/>
      <c r="CM9" s="43"/>
      <c r="CN9" s="43"/>
      <c r="CO9" s="43"/>
      <c r="CP9" s="43"/>
      <c r="CQ9" s="43">
        <f>SUM(CQ10:CQ16)</f>
        <v>0</v>
      </c>
      <c r="CR9" s="44" t="str">
        <f t="shared" si="27"/>
        <v/>
      </c>
    </row>
    <row r="10" ht="15.75" hidden="1" customHeight="1" outlineLevel="1">
      <c r="A10" s="47">
        <f t="shared" ref="A10:A15" si="49">A11+1</f>
        <v>45654</v>
      </c>
      <c r="B10" s="48" t="str">
        <f t="shared" ref="B10:H10" si="47">SUM(AI10,#REF!,#REF!,#REF!,#REF!,#REF!,#REF!,#REF!,#REF!,#REF!,#REF!,#REF!,#REF!,BC10,#REF!)</f>
        <v>#REF!</v>
      </c>
      <c r="C10" s="48" t="str">
        <f t="shared" si="47"/>
        <v>#REF!</v>
      </c>
      <c r="D10" s="48" t="str">
        <f t="shared" si="47"/>
        <v>#REF!</v>
      </c>
      <c r="E10" s="48" t="str">
        <f t="shared" si="47"/>
        <v>#REF!</v>
      </c>
      <c r="F10" s="48" t="str">
        <f t="shared" si="47"/>
        <v>#REF!</v>
      </c>
      <c r="G10" s="48" t="str">
        <f t="shared" si="47"/>
        <v>#REF!</v>
      </c>
      <c r="H10" s="48" t="str">
        <f t="shared" si="47"/>
        <v>#REF!</v>
      </c>
      <c r="I10" s="48"/>
      <c r="J10" s="48"/>
      <c r="K10" s="48"/>
      <c r="L10" s="48"/>
      <c r="M10" s="49" t="str">
        <f t="shared" ref="M10:M16" si="51">IFERROR(X10/B10,"")</f>
        <v/>
      </c>
      <c r="N10" s="49" t="str">
        <f t="shared" ref="N10:N16" si="52">IFERROR(X10/C10,"")</f>
        <v/>
      </c>
      <c r="O10" s="49" t="str">
        <f t="shared" si="29"/>
        <v/>
      </c>
      <c r="P10" s="50" t="str">
        <f t="shared" ref="P10:P16" si="53">IFERROR(X10/E10,"")</f>
        <v/>
      </c>
      <c r="Q10" s="51" t="str">
        <f t="shared" ref="Q10:Q16" si="54">IFERROR(X10/F10,"")</f>
        <v/>
      </c>
      <c r="R10" s="51" t="str">
        <f t="shared" si="30"/>
        <v/>
      </c>
      <c r="S10" s="51" t="str">
        <f t="shared" si="31"/>
        <v/>
      </c>
      <c r="T10" s="51"/>
      <c r="U10" s="51"/>
      <c r="V10" s="48" t="str">
        <f t="shared" ref="V10:V16" si="55">SUM(AX10,#REF!,#REF!,#REF!,#REF!,#REF!,#REF!,#REF!,#REF!,#REF!,#REF!,#REF!,#REF!,#REF!,#REF!)</f>
        <v>#REF!</v>
      </c>
      <c r="W10" s="52"/>
      <c r="X10" s="53" t="str">
        <f t="shared" ref="X10:Y10" si="48">SUM(AZ10,#REF!,#REF!,#REF!,#REF!,#REF!,#REF!,#REF!,#REF!,#REF!,#REF!,#REF!,#REF!,#REF!,#REF!)</f>
        <v>#REF!</v>
      </c>
      <c r="Y10" s="53" t="str">
        <f t="shared" si="48"/>
        <v>#REF!</v>
      </c>
      <c r="Z10" s="53"/>
      <c r="AA10" s="53"/>
      <c r="AB10" s="54"/>
      <c r="AC10" s="54"/>
      <c r="AD10" s="54"/>
      <c r="AE10" s="54"/>
      <c r="AF10" s="55" t="str">
        <f t="shared" si="13"/>
        <v/>
      </c>
      <c r="AG10" s="45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9"/>
      <c r="AT10" s="49"/>
      <c r="AU10" s="49"/>
      <c r="AV10" s="50"/>
      <c r="AW10" s="51"/>
      <c r="AX10" s="51"/>
      <c r="AY10" s="51"/>
      <c r="AZ10" s="51"/>
      <c r="BA10" s="51"/>
      <c r="BB10" s="48"/>
      <c r="BC10" s="52"/>
      <c r="BD10" s="53"/>
      <c r="BE10" s="53" t="str">
        <f t="shared" ref="BE10:BE16" si="57">SUM(#REF!,#REF!,#REF!,#REF!,#REF!,#REF!,#REF!,DC10,#REF!,#REF!,#REF!,#REF!,#REF!,#REF!,DV10)</f>
        <v>#REF!</v>
      </c>
      <c r="BF10" s="53"/>
      <c r="BG10" s="53"/>
      <c r="BH10" s="54"/>
      <c r="BI10" s="54"/>
      <c r="BJ10" s="54"/>
      <c r="BK10" s="54"/>
      <c r="BL10" s="55" t="str">
        <f t="shared" si="20"/>
        <v/>
      </c>
      <c r="BM10" s="56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9"/>
      <c r="BZ10" s="49"/>
      <c r="CA10" s="49"/>
      <c r="CB10" s="50"/>
      <c r="CC10" s="51"/>
      <c r="CD10" s="51"/>
      <c r="CE10" s="51"/>
      <c r="CF10" s="51"/>
      <c r="CG10" s="51"/>
      <c r="CH10" s="48"/>
      <c r="CI10" s="52"/>
      <c r="CJ10" s="53"/>
      <c r="CK10" s="53" t="str">
        <f t="shared" ref="CK10:CK16" si="58">SUM(#REF!,#REF!,#REF!,#REF!,#REF!,#REF!,#REF!,EI10,#REF!,#REF!,#REF!,#REF!,#REF!,#REF!,FB10)</f>
        <v>#REF!</v>
      </c>
      <c r="CL10" s="53"/>
      <c r="CM10" s="53"/>
      <c r="CN10" s="54"/>
      <c r="CO10" s="54"/>
      <c r="CP10" s="54"/>
      <c r="CQ10" s="54"/>
      <c r="CR10" s="55" t="str">
        <f t="shared" si="27"/>
        <v/>
      </c>
    </row>
    <row r="11" ht="15.75" hidden="1" customHeight="1" outlineLevel="1">
      <c r="A11" s="47">
        <f t="shared" si="49"/>
        <v>45653</v>
      </c>
      <c r="B11" s="48" t="str">
        <f t="shared" ref="B11:H11" si="50">SUM(AI11,#REF!,#REF!,#REF!,#REF!,#REF!,#REF!,#REF!,#REF!,#REF!,#REF!,#REF!,#REF!,BC11,#REF!)</f>
        <v>#REF!</v>
      </c>
      <c r="C11" s="48" t="str">
        <f t="shared" si="50"/>
        <v>#REF!</v>
      </c>
      <c r="D11" s="48" t="str">
        <f t="shared" si="50"/>
        <v>#REF!</v>
      </c>
      <c r="E11" s="48" t="str">
        <f t="shared" si="50"/>
        <v>#REF!</v>
      </c>
      <c r="F11" s="48" t="str">
        <f t="shared" si="50"/>
        <v>#REF!</v>
      </c>
      <c r="G11" s="48" t="str">
        <f t="shared" si="50"/>
        <v>#REF!</v>
      </c>
      <c r="H11" s="48" t="str">
        <f t="shared" si="50"/>
        <v>#REF!</v>
      </c>
      <c r="I11" s="48"/>
      <c r="J11" s="48"/>
      <c r="K11" s="48"/>
      <c r="L11" s="48"/>
      <c r="M11" s="49" t="str">
        <f t="shared" si="51"/>
        <v/>
      </c>
      <c r="N11" s="49" t="str">
        <f t="shared" si="52"/>
        <v/>
      </c>
      <c r="O11" s="49" t="str">
        <f t="shared" si="29"/>
        <v/>
      </c>
      <c r="P11" s="50" t="str">
        <f t="shared" si="53"/>
        <v/>
      </c>
      <c r="Q11" s="51" t="str">
        <f t="shared" si="54"/>
        <v/>
      </c>
      <c r="R11" s="51" t="str">
        <f t="shared" si="30"/>
        <v/>
      </c>
      <c r="S11" s="51" t="str">
        <f t="shared" si="31"/>
        <v/>
      </c>
      <c r="T11" s="51"/>
      <c r="U11" s="51"/>
      <c r="V11" s="48" t="str">
        <f t="shared" si="55"/>
        <v>#REF!</v>
      </c>
      <c r="W11" s="52"/>
      <c r="X11" s="53" t="str">
        <f t="shared" ref="X11:Y11" si="56">SUM(AZ11,#REF!,#REF!,#REF!,#REF!,#REF!,#REF!,#REF!,#REF!,#REF!,#REF!,#REF!,#REF!,#REF!,#REF!)</f>
        <v>#REF!</v>
      </c>
      <c r="Y11" s="53" t="str">
        <f t="shared" si="56"/>
        <v>#REF!</v>
      </c>
      <c r="Z11" s="53"/>
      <c r="AA11" s="53"/>
      <c r="AB11" s="54"/>
      <c r="AC11" s="54"/>
      <c r="AD11" s="54"/>
      <c r="AE11" s="54"/>
      <c r="AF11" s="55" t="str">
        <f t="shared" si="13"/>
        <v/>
      </c>
      <c r="AG11" s="45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9"/>
      <c r="AT11" s="49"/>
      <c r="AU11" s="49"/>
      <c r="AV11" s="50"/>
      <c r="AW11" s="51"/>
      <c r="AX11" s="51"/>
      <c r="AY11" s="51"/>
      <c r="AZ11" s="51"/>
      <c r="BA11" s="51"/>
      <c r="BB11" s="48"/>
      <c r="BC11" s="52"/>
      <c r="BD11" s="53"/>
      <c r="BE11" s="53" t="str">
        <f t="shared" si="57"/>
        <v>#REF!</v>
      </c>
      <c r="BF11" s="53"/>
      <c r="BG11" s="53"/>
      <c r="BH11" s="54"/>
      <c r="BI11" s="54"/>
      <c r="BJ11" s="54"/>
      <c r="BK11" s="54"/>
      <c r="BL11" s="55" t="str">
        <f t="shared" si="20"/>
        <v/>
      </c>
      <c r="BM11" s="56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9"/>
      <c r="BZ11" s="49"/>
      <c r="CA11" s="49"/>
      <c r="CB11" s="50"/>
      <c r="CC11" s="51"/>
      <c r="CD11" s="51"/>
      <c r="CE11" s="51"/>
      <c r="CF11" s="51"/>
      <c r="CG11" s="51"/>
      <c r="CH11" s="48"/>
      <c r="CI11" s="52"/>
      <c r="CJ11" s="53"/>
      <c r="CK11" s="53" t="str">
        <f t="shared" si="58"/>
        <v>#REF!</v>
      </c>
      <c r="CL11" s="53"/>
      <c r="CM11" s="53"/>
      <c r="CN11" s="54"/>
      <c r="CO11" s="54"/>
      <c r="CP11" s="54"/>
      <c r="CQ11" s="54"/>
      <c r="CR11" s="55" t="str">
        <f t="shared" si="27"/>
        <v/>
      </c>
    </row>
    <row r="12" ht="15.75" hidden="1" customHeight="1" outlineLevel="1">
      <c r="A12" s="47">
        <f t="shared" si="49"/>
        <v>45652</v>
      </c>
      <c r="B12" s="48" t="str">
        <f t="shared" ref="B12:H12" si="59">SUM(AI12,#REF!,#REF!,#REF!,#REF!,#REF!,#REF!,#REF!,#REF!,#REF!,#REF!,#REF!,#REF!,BC12,#REF!)</f>
        <v>#REF!</v>
      </c>
      <c r="C12" s="48" t="str">
        <f t="shared" si="59"/>
        <v>#REF!</v>
      </c>
      <c r="D12" s="48" t="str">
        <f t="shared" si="59"/>
        <v>#REF!</v>
      </c>
      <c r="E12" s="48" t="str">
        <f t="shared" si="59"/>
        <v>#REF!</v>
      </c>
      <c r="F12" s="48" t="str">
        <f t="shared" si="59"/>
        <v>#REF!</v>
      </c>
      <c r="G12" s="48" t="str">
        <f t="shared" si="59"/>
        <v>#REF!</v>
      </c>
      <c r="H12" s="48" t="str">
        <f t="shared" si="59"/>
        <v>#REF!</v>
      </c>
      <c r="I12" s="48"/>
      <c r="J12" s="48"/>
      <c r="K12" s="48"/>
      <c r="L12" s="48"/>
      <c r="M12" s="49" t="str">
        <f t="shared" si="51"/>
        <v/>
      </c>
      <c r="N12" s="49" t="str">
        <f t="shared" si="52"/>
        <v/>
      </c>
      <c r="O12" s="49" t="str">
        <f t="shared" si="29"/>
        <v/>
      </c>
      <c r="P12" s="50" t="str">
        <f t="shared" si="53"/>
        <v/>
      </c>
      <c r="Q12" s="51" t="str">
        <f t="shared" si="54"/>
        <v/>
      </c>
      <c r="R12" s="51" t="str">
        <f t="shared" si="30"/>
        <v/>
      </c>
      <c r="S12" s="51" t="str">
        <f t="shared" si="31"/>
        <v/>
      </c>
      <c r="T12" s="51"/>
      <c r="U12" s="51"/>
      <c r="V12" s="48" t="str">
        <f t="shared" si="55"/>
        <v>#REF!</v>
      </c>
      <c r="W12" s="52"/>
      <c r="X12" s="53" t="str">
        <f t="shared" ref="X12:Y12" si="60">SUM(AZ12,#REF!,#REF!,#REF!,#REF!,#REF!,#REF!,#REF!,#REF!,#REF!,#REF!,#REF!,#REF!,#REF!,#REF!)</f>
        <v>#REF!</v>
      </c>
      <c r="Y12" s="53" t="str">
        <f t="shared" si="60"/>
        <v>#REF!</v>
      </c>
      <c r="Z12" s="53"/>
      <c r="AA12" s="53"/>
      <c r="AB12" s="54"/>
      <c r="AC12" s="54"/>
      <c r="AD12" s="54"/>
      <c r="AE12" s="54"/>
      <c r="AF12" s="55" t="str">
        <f t="shared" si="13"/>
        <v/>
      </c>
      <c r="AG12" s="45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9"/>
      <c r="AT12" s="49"/>
      <c r="AU12" s="49"/>
      <c r="AV12" s="50"/>
      <c r="AW12" s="51"/>
      <c r="AX12" s="51"/>
      <c r="AY12" s="51"/>
      <c r="AZ12" s="51"/>
      <c r="BA12" s="51"/>
      <c r="BB12" s="48"/>
      <c r="BC12" s="52"/>
      <c r="BD12" s="53"/>
      <c r="BE12" s="53" t="str">
        <f t="shared" si="57"/>
        <v>#REF!</v>
      </c>
      <c r="BF12" s="53"/>
      <c r="BG12" s="53"/>
      <c r="BH12" s="54"/>
      <c r="BI12" s="54"/>
      <c r="BJ12" s="54"/>
      <c r="BK12" s="54"/>
      <c r="BL12" s="55" t="str">
        <f t="shared" si="20"/>
        <v/>
      </c>
      <c r="BM12" s="56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9"/>
      <c r="BZ12" s="49"/>
      <c r="CA12" s="49"/>
      <c r="CB12" s="50"/>
      <c r="CC12" s="51"/>
      <c r="CD12" s="51"/>
      <c r="CE12" s="51"/>
      <c r="CF12" s="51"/>
      <c r="CG12" s="51"/>
      <c r="CH12" s="48"/>
      <c r="CI12" s="52"/>
      <c r="CJ12" s="53"/>
      <c r="CK12" s="53" t="str">
        <f t="shared" si="58"/>
        <v>#REF!</v>
      </c>
      <c r="CL12" s="53"/>
      <c r="CM12" s="53"/>
      <c r="CN12" s="54"/>
      <c r="CO12" s="54"/>
      <c r="CP12" s="54"/>
      <c r="CQ12" s="54"/>
      <c r="CR12" s="55" t="str">
        <f t="shared" si="27"/>
        <v/>
      </c>
    </row>
    <row r="13" ht="15.75" hidden="1" customHeight="1" outlineLevel="1">
      <c r="A13" s="47">
        <f t="shared" si="49"/>
        <v>45651</v>
      </c>
      <c r="B13" s="48" t="str">
        <f t="shared" ref="B13:H13" si="61">SUM(AI13,#REF!,#REF!,#REF!,#REF!,#REF!,#REF!,#REF!,#REF!,#REF!,#REF!,#REF!,#REF!,BC13,#REF!)</f>
        <v>#REF!</v>
      </c>
      <c r="C13" s="48" t="str">
        <f t="shared" si="61"/>
        <v>#REF!</v>
      </c>
      <c r="D13" s="48" t="str">
        <f t="shared" si="61"/>
        <v>#REF!</v>
      </c>
      <c r="E13" s="48" t="str">
        <f t="shared" si="61"/>
        <v>#REF!</v>
      </c>
      <c r="F13" s="48" t="str">
        <f t="shared" si="61"/>
        <v>#REF!</v>
      </c>
      <c r="G13" s="48" t="str">
        <f t="shared" si="61"/>
        <v>#REF!</v>
      </c>
      <c r="H13" s="48" t="str">
        <f t="shared" si="61"/>
        <v>#REF!</v>
      </c>
      <c r="I13" s="48"/>
      <c r="J13" s="48"/>
      <c r="K13" s="48"/>
      <c r="L13" s="48"/>
      <c r="M13" s="49" t="str">
        <f t="shared" si="51"/>
        <v/>
      </c>
      <c r="N13" s="49" t="str">
        <f t="shared" si="52"/>
        <v/>
      </c>
      <c r="O13" s="49" t="str">
        <f t="shared" si="29"/>
        <v/>
      </c>
      <c r="P13" s="50" t="str">
        <f t="shared" si="53"/>
        <v/>
      </c>
      <c r="Q13" s="51" t="str">
        <f t="shared" si="54"/>
        <v/>
      </c>
      <c r="R13" s="51" t="str">
        <f t="shared" si="30"/>
        <v/>
      </c>
      <c r="S13" s="51" t="str">
        <f t="shared" si="31"/>
        <v/>
      </c>
      <c r="T13" s="51"/>
      <c r="U13" s="51"/>
      <c r="V13" s="48" t="str">
        <f t="shared" si="55"/>
        <v>#REF!</v>
      </c>
      <c r="W13" s="52"/>
      <c r="X13" s="53" t="str">
        <f t="shared" ref="X13:Y13" si="62">SUM(AZ13,#REF!,#REF!,#REF!,#REF!,#REF!,#REF!,#REF!,#REF!,#REF!,#REF!,#REF!,#REF!,#REF!,#REF!)</f>
        <v>#REF!</v>
      </c>
      <c r="Y13" s="53" t="str">
        <f t="shared" si="62"/>
        <v>#REF!</v>
      </c>
      <c r="Z13" s="53"/>
      <c r="AA13" s="53"/>
      <c r="AB13" s="54"/>
      <c r="AC13" s="54"/>
      <c r="AD13" s="54"/>
      <c r="AE13" s="54"/>
      <c r="AF13" s="55" t="str">
        <f t="shared" si="13"/>
        <v/>
      </c>
      <c r="AG13" s="45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9"/>
      <c r="AT13" s="49"/>
      <c r="AU13" s="49"/>
      <c r="AV13" s="50"/>
      <c r="AW13" s="51"/>
      <c r="AX13" s="51"/>
      <c r="AY13" s="51"/>
      <c r="AZ13" s="51"/>
      <c r="BA13" s="51"/>
      <c r="BB13" s="48"/>
      <c r="BC13" s="52"/>
      <c r="BD13" s="53"/>
      <c r="BE13" s="53" t="str">
        <f t="shared" si="57"/>
        <v>#REF!</v>
      </c>
      <c r="BF13" s="53"/>
      <c r="BG13" s="53"/>
      <c r="BH13" s="54"/>
      <c r="BI13" s="54"/>
      <c r="BJ13" s="54"/>
      <c r="BK13" s="54"/>
      <c r="BL13" s="55" t="str">
        <f t="shared" si="20"/>
        <v/>
      </c>
      <c r="BM13" s="56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9"/>
      <c r="BZ13" s="49"/>
      <c r="CA13" s="49"/>
      <c r="CB13" s="50"/>
      <c r="CC13" s="51"/>
      <c r="CD13" s="51"/>
      <c r="CE13" s="51"/>
      <c r="CF13" s="51"/>
      <c r="CG13" s="51"/>
      <c r="CH13" s="48"/>
      <c r="CI13" s="52"/>
      <c r="CJ13" s="53"/>
      <c r="CK13" s="53" t="str">
        <f t="shared" si="58"/>
        <v>#REF!</v>
      </c>
      <c r="CL13" s="53"/>
      <c r="CM13" s="53"/>
      <c r="CN13" s="54"/>
      <c r="CO13" s="54"/>
      <c r="CP13" s="54"/>
      <c r="CQ13" s="54"/>
      <c r="CR13" s="55" t="str">
        <f t="shared" si="27"/>
        <v/>
      </c>
    </row>
    <row r="14" ht="15.75" hidden="1" customHeight="1" outlineLevel="1">
      <c r="A14" s="47">
        <f t="shared" si="49"/>
        <v>45650</v>
      </c>
      <c r="B14" s="48" t="str">
        <f t="shared" ref="B14:H14" si="63">SUM(AI14,#REF!,#REF!,#REF!,#REF!,#REF!,#REF!,#REF!,#REF!,#REF!,#REF!,#REF!,#REF!,BC14,#REF!)</f>
        <v>#REF!</v>
      </c>
      <c r="C14" s="48" t="str">
        <f t="shared" si="63"/>
        <v>#REF!</v>
      </c>
      <c r="D14" s="48" t="str">
        <f t="shared" si="63"/>
        <v>#REF!</v>
      </c>
      <c r="E14" s="48" t="str">
        <f t="shared" si="63"/>
        <v>#REF!</v>
      </c>
      <c r="F14" s="48" t="str">
        <f t="shared" si="63"/>
        <v>#REF!</v>
      </c>
      <c r="G14" s="48" t="str">
        <f t="shared" si="63"/>
        <v>#REF!</v>
      </c>
      <c r="H14" s="48" t="str">
        <f t="shared" si="63"/>
        <v>#REF!</v>
      </c>
      <c r="I14" s="48"/>
      <c r="J14" s="48"/>
      <c r="K14" s="48"/>
      <c r="L14" s="48"/>
      <c r="M14" s="49" t="str">
        <f t="shared" si="51"/>
        <v/>
      </c>
      <c r="N14" s="49" t="str">
        <f t="shared" si="52"/>
        <v/>
      </c>
      <c r="O14" s="49" t="str">
        <f t="shared" si="29"/>
        <v/>
      </c>
      <c r="P14" s="50" t="str">
        <f t="shared" si="53"/>
        <v/>
      </c>
      <c r="Q14" s="51" t="str">
        <f t="shared" si="54"/>
        <v/>
      </c>
      <c r="R14" s="51" t="str">
        <f t="shared" si="30"/>
        <v/>
      </c>
      <c r="S14" s="51" t="str">
        <f t="shared" si="31"/>
        <v/>
      </c>
      <c r="T14" s="51"/>
      <c r="U14" s="51"/>
      <c r="V14" s="48" t="str">
        <f t="shared" si="55"/>
        <v>#REF!</v>
      </c>
      <c r="W14" s="52"/>
      <c r="X14" s="53" t="str">
        <f t="shared" ref="X14:Y14" si="64">SUM(AZ14,#REF!,#REF!,#REF!,#REF!,#REF!,#REF!,#REF!,#REF!,#REF!,#REF!,#REF!,#REF!,#REF!,#REF!)</f>
        <v>#REF!</v>
      </c>
      <c r="Y14" s="53" t="str">
        <f t="shared" si="64"/>
        <v>#REF!</v>
      </c>
      <c r="Z14" s="53"/>
      <c r="AA14" s="53"/>
      <c r="AB14" s="54"/>
      <c r="AC14" s="54"/>
      <c r="AD14" s="54"/>
      <c r="AE14" s="54"/>
      <c r="AF14" s="55" t="str">
        <f t="shared" si="13"/>
        <v/>
      </c>
      <c r="AG14" s="45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9"/>
      <c r="AT14" s="49"/>
      <c r="AU14" s="49"/>
      <c r="AV14" s="50"/>
      <c r="AW14" s="51"/>
      <c r="AX14" s="51"/>
      <c r="AY14" s="51"/>
      <c r="AZ14" s="51"/>
      <c r="BA14" s="51"/>
      <c r="BB14" s="48"/>
      <c r="BC14" s="52"/>
      <c r="BD14" s="53"/>
      <c r="BE14" s="53" t="str">
        <f t="shared" si="57"/>
        <v>#REF!</v>
      </c>
      <c r="BF14" s="53"/>
      <c r="BG14" s="53"/>
      <c r="BH14" s="54"/>
      <c r="BI14" s="54"/>
      <c r="BJ14" s="54"/>
      <c r="BK14" s="54"/>
      <c r="BL14" s="55" t="str">
        <f t="shared" si="20"/>
        <v/>
      </c>
      <c r="BM14" s="56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9"/>
      <c r="BZ14" s="49"/>
      <c r="CA14" s="49"/>
      <c r="CB14" s="50"/>
      <c r="CC14" s="51"/>
      <c r="CD14" s="51"/>
      <c r="CE14" s="51"/>
      <c r="CF14" s="51"/>
      <c r="CG14" s="51"/>
      <c r="CH14" s="48"/>
      <c r="CI14" s="52"/>
      <c r="CJ14" s="53"/>
      <c r="CK14" s="53" t="str">
        <f t="shared" si="58"/>
        <v>#REF!</v>
      </c>
      <c r="CL14" s="53"/>
      <c r="CM14" s="53"/>
      <c r="CN14" s="54"/>
      <c r="CO14" s="54"/>
      <c r="CP14" s="54"/>
      <c r="CQ14" s="54"/>
      <c r="CR14" s="55" t="str">
        <f t="shared" si="27"/>
        <v/>
      </c>
    </row>
    <row r="15" ht="15.75" hidden="1" customHeight="1" outlineLevel="1">
      <c r="A15" s="47">
        <f t="shared" si="49"/>
        <v>45649</v>
      </c>
      <c r="B15" s="48" t="str">
        <f t="shared" ref="B15:H15" si="65">SUM(AI15,#REF!,#REF!,#REF!,#REF!,#REF!,#REF!,#REF!,#REF!,#REF!,#REF!,#REF!,#REF!,BC15,#REF!)</f>
        <v>#REF!</v>
      </c>
      <c r="C15" s="48" t="str">
        <f t="shared" si="65"/>
        <v>#REF!</v>
      </c>
      <c r="D15" s="48" t="str">
        <f t="shared" si="65"/>
        <v>#REF!</v>
      </c>
      <c r="E15" s="48" t="str">
        <f t="shared" si="65"/>
        <v>#REF!</v>
      </c>
      <c r="F15" s="48" t="str">
        <f t="shared" si="65"/>
        <v>#REF!</v>
      </c>
      <c r="G15" s="48" t="str">
        <f t="shared" si="65"/>
        <v>#REF!</v>
      </c>
      <c r="H15" s="48" t="str">
        <f t="shared" si="65"/>
        <v>#REF!</v>
      </c>
      <c r="I15" s="48"/>
      <c r="J15" s="48"/>
      <c r="K15" s="48"/>
      <c r="L15" s="48"/>
      <c r="M15" s="49" t="str">
        <f t="shared" si="51"/>
        <v/>
      </c>
      <c r="N15" s="49" t="str">
        <f t="shared" si="52"/>
        <v/>
      </c>
      <c r="O15" s="49" t="str">
        <f t="shared" si="29"/>
        <v/>
      </c>
      <c r="P15" s="50" t="str">
        <f t="shared" si="53"/>
        <v/>
      </c>
      <c r="Q15" s="51" t="str">
        <f t="shared" si="54"/>
        <v/>
      </c>
      <c r="R15" s="51" t="str">
        <f t="shared" si="30"/>
        <v/>
      </c>
      <c r="S15" s="51" t="str">
        <f t="shared" si="31"/>
        <v/>
      </c>
      <c r="T15" s="51"/>
      <c r="U15" s="51"/>
      <c r="V15" s="48" t="str">
        <f t="shared" si="55"/>
        <v>#REF!</v>
      </c>
      <c r="W15" s="52"/>
      <c r="X15" s="53" t="str">
        <f t="shared" ref="X15:Y15" si="66">SUM(AZ15,#REF!,#REF!,#REF!,#REF!,#REF!,#REF!,#REF!,#REF!,#REF!,#REF!,#REF!,#REF!,#REF!,#REF!)</f>
        <v>#REF!</v>
      </c>
      <c r="Y15" s="53" t="str">
        <f t="shared" si="66"/>
        <v>#REF!</v>
      </c>
      <c r="Z15" s="53"/>
      <c r="AA15" s="53"/>
      <c r="AB15" s="54"/>
      <c r="AC15" s="54"/>
      <c r="AD15" s="54"/>
      <c r="AE15" s="54"/>
      <c r="AF15" s="55" t="str">
        <f t="shared" si="13"/>
        <v/>
      </c>
      <c r="AG15" s="45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9"/>
      <c r="AT15" s="49"/>
      <c r="AU15" s="49"/>
      <c r="AV15" s="50"/>
      <c r="AW15" s="51"/>
      <c r="AX15" s="51"/>
      <c r="AY15" s="51"/>
      <c r="AZ15" s="51"/>
      <c r="BA15" s="51"/>
      <c r="BB15" s="48"/>
      <c r="BC15" s="52"/>
      <c r="BD15" s="53"/>
      <c r="BE15" s="53" t="str">
        <f t="shared" si="57"/>
        <v>#REF!</v>
      </c>
      <c r="BF15" s="53"/>
      <c r="BG15" s="53"/>
      <c r="BH15" s="54"/>
      <c r="BI15" s="54"/>
      <c r="BJ15" s="54"/>
      <c r="BK15" s="54"/>
      <c r="BL15" s="55" t="str">
        <f t="shared" si="20"/>
        <v/>
      </c>
      <c r="BM15" s="56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9"/>
      <c r="BZ15" s="49"/>
      <c r="CA15" s="49"/>
      <c r="CB15" s="50"/>
      <c r="CC15" s="51"/>
      <c r="CD15" s="51"/>
      <c r="CE15" s="51"/>
      <c r="CF15" s="51"/>
      <c r="CG15" s="51"/>
      <c r="CH15" s="48"/>
      <c r="CI15" s="52"/>
      <c r="CJ15" s="53"/>
      <c r="CK15" s="53" t="str">
        <f t="shared" si="58"/>
        <v>#REF!</v>
      </c>
      <c r="CL15" s="53"/>
      <c r="CM15" s="53"/>
      <c r="CN15" s="54"/>
      <c r="CO15" s="54"/>
      <c r="CP15" s="54"/>
      <c r="CQ15" s="54"/>
      <c r="CR15" s="55" t="str">
        <f t="shared" si="27"/>
        <v/>
      </c>
    </row>
    <row r="16" ht="15.75" hidden="1" customHeight="1" outlineLevel="1">
      <c r="A16" s="47">
        <f>A18+1</f>
        <v>45648</v>
      </c>
      <c r="B16" s="48" t="str">
        <f t="shared" ref="B16:H16" si="67">SUM(AI16,#REF!,#REF!,#REF!,#REF!,#REF!,#REF!,#REF!,#REF!,#REF!,#REF!,#REF!,#REF!,BC16,#REF!)</f>
        <v>#REF!</v>
      </c>
      <c r="C16" s="48" t="str">
        <f t="shared" si="67"/>
        <v>#REF!</v>
      </c>
      <c r="D16" s="48" t="str">
        <f t="shared" si="67"/>
        <v>#REF!</v>
      </c>
      <c r="E16" s="48" t="str">
        <f t="shared" si="67"/>
        <v>#REF!</v>
      </c>
      <c r="F16" s="48" t="str">
        <f t="shared" si="67"/>
        <v>#REF!</v>
      </c>
      <c r="G16" s="48" t="str">
        <f t="shared" si="67"/>
        <v>#REF!</v>
      </c>
      <c r="H16" s="48" t="str">
        <f t="shared" si="67"/>
        <v>#REF!</v>
      </c>
      <c r="I16" s="48"/>
      <c r="J16" s="48"/>
      <c r="K16" s="48"/>
      <c r="L16" s="48"/>
      <c r="M16" s="49" t="str">
        <f t="shared" si="51"/>
        <v/>
      </c>
      <c r="N16" s="49" t="str">
        <f t="shared" si="52"/>
        <v/>
      </c>
      <c r="O16" s="49" t="str">
        <f t="shared" si="29"/>
        <v/>
      </c>
      <c r="P16" s="50" t="str">
        <f t="shared" si="53"/>
        <v/>
      </c>
      <c r="Q16" s="51" t="str">
        <f t="shared" si="54"/>
        <v/>
      </c>
      <c r="R16" s="51" t="str">
        <f t="shared" si="30"/>
        <v/>
      </c>
      <c r="S16" s="51" t="str">
        <f t="shared" si="31"/>
        <v/>
      </c>
      <c r="T16" s="51"/>
      <c r="U16" s="51"/>
      <c r="V16" s="48" t="str">
        <f t="shared" si="55"/>
        <v>#REF!</v>
      </c>
      <c r="W16" s="52"/>
      <c r="X16" s="53" t="str">
        <f t="shared" ref="X16:Y16" si="68">SUM(AZ16,#REF!,#REF!,#REF!,#REF!,#REF!,#REF!,#REF!,#REF!,#REF!,#REF!,#REF!,#REF!,#REF!,#REF!)</f>
        <v>#REF!</v>
      </c>
      <c r="Y16" s="53" t="str">
        <f t="shared" si="68"/>
        <v>#REF!</v>
      </c>
      <c r="Z16" s="53"/>
      <c r="AA16" s="53"/>
      <c r="AB16" s="54"/>
      <c r="AC16" s="54"/>
      <c r="AD16" s="54"/>
      <c r="AE16" s="54"/>
      <c r="AF16" s="55" t="str">
        <f t="shared" si="13"/>
        <v/>
      </c>
      <c r="AG16" s="45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9"/>
      <c r="AT16" s="49"/>
      <c r="AU16" s="49"/>
      <c r="AV16" s="50"/>
      <c r="AW16" s="51"/>
      <c r="AX16" s="51"/>
      <c r="AY16" s="51"/>
      <c r="AZ16" s="51"/>
      <c r="BA16" s="51"/>
      <c r="BB16" s="48"/>
      <c r="BC16" s="52"/>
      <c r="BD16" s="53"/>
      <c r="BE16" s="53" t="str">
        <f t="shared" si="57"/>
        <v>#REF!</v>
      </c>
      <c r="BF16" s="53"/>
      <c r="BG16" s="53"/>
      <c r="BH16" s="54"/>
      <c r="BI16" s="54"/>
      <c r="BJ16" s="54"/>
      <c r="BK16" s="54"/>
      <c r="BL16" s="55" t="str">
        <f t="shared" si="20"/>
        <v/>
      </c>
      <c r="BM16" s="56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9"/>
      <c r="BZ16" s="49"/>
      <c r="CA16" s="49"/>
      <c r="CB16" s="50"/>
      <c r="CC16" s="51"/>
      <c r="CD16" s="51"/>
      <c r="CE16" s="51"/>
      <c r="CF16" s="51"/>
      <c r="CG16" s="51"/>
      <c r="CH16" s="48"/>
      <c r="CI16" s="52"/>
      <c r="CJ16" s="53"/>
      <c r="CK16" s="53" t="str">
        <f t="shared" si="58"/>
        <v>#REF!</v>
      </c>
      <c r="CL16" s="53"/>
      <c r="CM16" s="53"/>
      <c r="CN16" s="54"/>
      <c r="CO16" s="54"/>
      <c r="CP16" s="54"/>
      <c r="CQ16" s="54"/>
      <c r="CR16" s="55" t="str">
        <f t="shared" si="27"/>
        <v/>
      </c>
    </row>
    <row r="17" ht="18.75" customHeight="1" collapsed="1">
      <c r="A17" s="38" t="s">
        <v>40</v>
      </c>
      <c r="B17" s="39" t="str">
        <f t="shared" ref="B17:H17" si="69">SUM(B18:B24)</f>
        <v>#REF!</v>
      </c>
      <c r="C17" s="39" t="str">
        <f t="shared" si="69"/>
        <v>#REF!</v>
      </c>
      <c r="D17" s="39" t="str">
        <f t="shared" si="69"/>
        <v>#REF!</v>
      </c>
      <c r="E17" s="39" t="str">
        <f t="shared" si="69"/>
        <v>#REF!</v>
      </c>
      <c r="F17" s="39" t="str">
        <f t="shared" si="69"/>
        <v>#REF!</v>
      </c>
      <c r="G17" s="39" t="str">
        <f t="shared" si="69"/>
        <v>#REF!</v>
      </c>
      <c r="H17" s="39" t="str">
        <f t="shared" si="69"/>
        <v>#REF!</v>
      </c>
      <c r="I17" s="39"/>
      <c r="J17" s="39"/>
      <c r="K17" s="39"/>
      <c r="L17" s="39"/>
      <c r="M17" s="40" t="str">
        <f t="shared" ref="M17:M40" si="76">X17/B17</f>
        <v>#REF!</v>
      </c>
      <c r="N17" s="40" t="str">
        <f t="shared" ref="N17:N40" si="77">X17/C17</f>
        <v>#REF!</v>
      </c>
      <c r="O17" s="40" t="str">
        <f t="shared" si="29"/>
        <v/>
      </c>
      <c r="P17" s="41" t="str">
        <f t="shared" ref="P17:P40" si="78">X17/E17</f>
        <v>#REF!</v>
      </c>
      <c r="Q17" s="42" t="str">
        <f t="shared" ref="Q17:Q40" si="79">X17/F17</f>
        <v>#REF!</v>
      </c>
      <c r="R17" s="42" t="str">
        <f t="shared" si="30"/>
        <v/>
      </c>
      <c r="S17" s="42" t="str">
        <f t="shared" si="31"/>
        <v/>
      </c>
      <c r="T17" s="42"/>
      <c r="U17" s="42"/>
      <c r="V17" s="39" t="str">
        <f t="shared" ref="V17:Y17" si="70">SUM(V18:V24)</f>
        <v>#REF!</v>
      </c>
      <c r="W17" s="39">
        <f t="shared" si="70"/>
        <v>0</v>
      </c>
      <c r="X17" s="43" t="str">
        <f t="shared" si="70"/>
        <v>#REF!</v>
      </c>
      <c r="Y17" s="43" t="str">
        <f t="shared" si="70"/>
        <v>#REF!</v>
      </c>
      <c r="Z17" s="43"/>
      <c r="AA17" s="43"/>
      <c r="AB17" s="43"/>
      <c r="AC17" s="43"/>
      <c r="AD17" s="43"/>
      <c r="AE17" s="43">
        <f>SUM(AE18:AE24)</f>
        <v>0</v>
      </c>
      <c r="AF17" s="44" t="str">
        <f t="shared" si="13"/>
        <v/>
      </c>
      <c r="AG17" s="45"/>
      <c r="AH17" s="39">
        <f t="shared" ref="AH17:AN17" si="71">SUM(AH18:AH24)</f>
        <v>0</v>
      </c>
      <c r="AI17" s="39">
        <f t="shared" si="71"/>
        <v>0</v>
      </c>
      <c r="AJ17" s="39">
        <f t="shared" si="71"/>
        <v>0</v>
      </c>
      <c r="AK17" s="39">
        <f t="shared" si="71"/>
        <v>0</v>
      </c>
      <c r="AL17" s="39">
        <f t="shared" si="71"/>
        <v>0</v>
      </c>
      <c r="AM17" s="39">
        <f t="shared" si="71"/>
        <v>0</v>
      </c>
      <c r="AN17" s="39">
        <f t="shared" si="71"/>
        <v>0</v>
      </c>
      <c r="AO17" s="39"/>
      <c r="AP17" s="39"/>
      <c r="AQ17" s="39"/>
      <c r="AR17" s="39"/>
      <c r="AS17" s="40" t="str">
        <f>BD17/AH17</f>
        <v>#DIV/0!</v>
      </c>
      <c r="AT17" s="40" t="str">
        <f>BD17/AI17</f>
        <v>#DIV/0!</v>
      </c>
      <c r="AU17" s="40" t="str">
        <f>IFERROR(BD17/AJ17,"")</f>
        <v/>
      </c>
      <c r="AV17" s="41" t="str">
        <f>BD17/AK17</f>
        <v>#DIV/0!</v>
      </c>
      <c r="AW17" s="42" t="str">
        <f>BD17/AL17</f>
        <v>#DIV/0!</v>
      </c>
      <c r="AX17" s="42" t="str">
        <f>IFERROR(BD17/AM17,"")</f>
        <v/>
      </c>
      <c r="AY17" s="42" t="str">
        <f>IFERROR(BD17/AN17,"")</f>
        <v/>
      </c>
      <c r="AZ17" s="42"/>
      <c r="BA17" s="42"/>
      <c r="BB17" s="39">
        <f t="shared" ref="BB17:BE17" si="72">SUM(BB18:BB24)</f>
        <v>0</v>
      </c>
      <c r="BC17" s="39">
        <f t="shared" si="72"/>
        <v>0</v>
      </c>
      <c r="BD17" s="43">
        <f t="shared" si="72"/>
        <v>0</v>
      </c>
      <c r="BE17" s="43" t="str">
        <f t="shared" si="72"/>
        <v>#REF!</v>
      </c>
      <c r="BF17" s="43"/>
      <c r="BG17" s="43"/>
      <c r="BH17" s="43"/>
      <c r="BI17" s="43"/>
      <c r="BJ17" s="43"/>
      <c r="BK17" s="43">
        <f>SUM(BK18:BK24)</f>
        <v>0</v>
      </c>
      <c r="BL17" s="44" t="str">
        <f t="shared" si="20"/>
        <v/>
      </c>
      <c r="BM17" s="46"/>
      <c r="BN17" s="39">
        <f t="shared" ref="BN17:BT17" si="73">SUM(BN18:BN24)</f>
        <v>0</v>
      </c>
      <c r="BO17" s="39">
        <f t="shared" si="73"/>
        <v>0</v>
      </c>
      <c r="BP17" s="39">
        <f t="shared" si="73"/>
        <v>0</v>
      </c>
      <c r="BQ17" s="39">
        <f t="shared" si="73"/>
        <v>0</v>
      </c>
      <c r="BR17" s="39">
        <f t="shared" si="73"/>
        <v>0</v>
      </c>
      <c r="BS17" s="39">
        <f t="shared" si="73"/>
        <v>0</v>
      </c>
      <c r="BT17" s="39">
        <f t="shared" si="73"/>
        <v>0</v>
      </c>
      <c r="BU17" s="39"/>
      <c r="BV17" s="39"/>
      <c r="BW17" s="39"/>
      <c r="BX17" s="39"/>
      <c r="BY17" s="40" t="str">
        <f>CJ17/BN17</f>
        <v>#DIV/0!</v>
      </c>
      <c r="BZ17" s="40" t="str">
        <f>CJ17/BO17</f>
        <v>#DIV/0!</v>
      </c>
      <c r="CA17" s="40" t="str">
        <f>IFERROR(CJ17/BP17,"")</f>
        <v/>
      </c>
      <c r="CB17" s="41" t="str">
        <f>CJ17/BQ17</f>
        <v>#DIV/0!</v>
      </c>
      <c r="CC17" s="42" t="str">
        <f>CJ17/BR17</f>
        <v>#DIV/0!</v>
      </c>
      <c r="CD17" s="42" t="str">
        <f>IFERROR(CJ17/BS17,"")</f>
        <v/>
      </c>
      <c r="CE17" s="42" t="str">
        <f>IFERROR(CJ17/BT17,"")</f>
        <v/>
      </c>
      <c r="CF17" s="42"/>
      <c r="CG17" s="42"/>
      <c r="CH17" s="39">
        <f t="shared" ref="CH17:CK17" si="74">SUM(CH18:CH24)</f>
        <v>0</v>
      </c>
      <c r="CI17" s="39">
        <f t="shared" si="74"/>
        <v>0</v>
      </c>
      <c r="CJ17" s="43">
        <f t="shared" si="74"/>
        <v>0</v>
      </c>
      <c r="CK17" s="43" t="str">
        <f t="shared" si="74"/>
        <v>#REF!</v>
      </c>
      <c r="CL17" s="43"/>
      <c r="CM17" s="43"/>
      <c r="CN17" s="43"/>
      <c r="CO17" s="43"/>
      <c r="CP17" s="43"/>
      <c r="CQ17" s="43">
        <f>SUM(CQ18:CQ24)</f>
        <v>0</v>
      </c>
      <c r="CR17" s="44" t="str">
        <f t="shared" si="27"/>
        <v/>
      </c>
    </row>
    <row r="18" ht="15.75" hidden="1" customHeight="1" outlineLevel="1">
      <c r="A18" s="47">
        <f t="shared" ref="A18:A23" si="81">A19+1</f>
        <v>45647</v>
      </c>
      <c r="B18" s="48" t="str">
        <f t="shared" ref="B18:H18" si="75">SUM(AI18,#REF!,#REF!,#REF!,#REF!,#REF!,#REF!,#REF!,#REF!,#REF!,#REF!,#REF!,#REF!,BC18,#REF!)</f>
        <v>#REF!</v>
      </c>
      <c r="C18" s="48" t="str">
        <f t="shared" si="75"/>
        <v>#REF!</v>
      </c>
      <c r="D18" s="48" t="str">
        <f t="shared" si="75"/>
        <v>#REF!</v>
      </c>
      <c r="E18" s="48" t="str">
        <f t="shared" si="75"/>
        <v>#REF!</v>
      </c>
      <c r="F18" s="48" t="str">
        <f t="shared" si="75"/>
        <v>#REF!</v>
      </c>
      <c r="G18" s="48" t="str">
        <f t="shared" si="75"/>
        <v>#REF!</v>
      </c>
      <c r="H18" s="48" t="str">
        <f t="shared" si="75"/>
        <v>#REF!</v>
      </c>
      <c r="I18" s="48"/>
      <c r="J18" s="48"/>
      <c r="K18" s="48"/>
      <c r="L18" s="48"/>
      <c r="M18" s="49" t="str">
        <f t="shared" si="76"/>
        <v>#REF!</v>
      </c>
      <c r="N18" s="49" t="str">
        <f t="shared" si="77"/>
        <v>#REF!</v>
      </c>
      <c r="O18" s="49"/>
      <c r="P18" s="50" t="str">
        <f t="shared" si="78"/>
        <v>#REF!</v>
      </c>
      <c r="Q18" s="51" t="str">
        <f t="shared" si="79"/>
        <v>#REF!</v>
      </c>
      <c r="R18" s="51" t="str">
        <f t="shared" si="30"/>
        <v/>
      </c>
      <c r="S18" s="51" t="str">
        <f t="shared" si="31"/>
        <v/>
      </c>
      <c r="T18" s="51"/>
      <c r="U18" s="51"/>
      <c r="V18" s="48" t="str">
        <f t="shared" ref="V18:V24" si="83">SUM(AX18,#REF!,#REF!,#REF!,#REF!,#REF!,#REF!,#REF!,#REF!,#REF!,#REF!,#REF!,#REF!,#REF!,#REF!)</f>
        <v>#REF!</v>
      </c>
      <c r="W18" s="57"/>
      <c r="X18" s="53" t="str">
        <f t="shared" ref="X18:Y18" si="80">SUM(AZ18,#REF!,#REF!,#REF!,#REF!,#REF!,#REF!,#REF!,#REF!,#REF!,#REF!,#REF!,#REF!,#REF!,#REF!)</f>
        <v>#REF!</v>
      </c>
      <c r="Y18" s="53" t="str">
        <f t="shared" si="80"/>
        <v>#REF!</v>
      </c>
      <c r="Z18" s="53"/>
      <c r="AA18" s="53"/>
      <c r="AB18" s="53"/>
      <c r="AC18" s="53"/>
      <c r="AD18" s="53"/>
      <c r="AE18" s="53"/>
      <c r="AF18" s="55" t="str">
        <f t="shared" si="13"/>
        <v/>
      </c>
      <c r="AG18" s="45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9"/>
      <c r="AT18" s="49"/>
      <c r="AU18" s="49"/>
      <c r="AV18" s="50"/>
      <c r="AW18" s="51"/>
      <c r="AX18" s="51"/>
      <c r="AY18" s="51"/>
      <c r="AZ18" s="51"/>
      <c r="BA18" s="51"/>
      <c r="BB18" s="48"/>
      <c r="BC18" s="57"/>
      <c r="BD18" s="53"/>
      <c r="BE18" s="53" t="str">
        <f t="shared" ref="BE18:BE24" si="85">SUM(#REF!,#REF!,#REF!,#REF!,#REF!,#REF!,#REF!,DC18,#REF!,#REF!,#REF!,#REF!,#REF!,#REF!,DV18)</f>
        <v>#REF!</v>
      </c>
      <c r="BF18" s="53"/>
      <c r="BG18" s="53"/>
      <c r="BH18" s="53"/>
      <c r="BI18" s="53"/>
      <c r="BJ18" s="53"/>
      <c r="BK18" s="53"/>
      <c r="BL18" s="55" t="str">
        <f t="shared" si="20"/>
        <v/>
      </c>
      <c r="BM18" s="56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9"/>
      <c r="BZ18" s="49"/>
      <c r="CA18" s="49"/>
      <c r="CB18" s="50"/>
      <c r="CC18" s="51"/>
      <c r="CD18" s="51"/>
      <c r="CE18" s="51"/>
      <c r="CF18" s="51"/>
      <c r="CG18" s="51"/>
      <c r="CH18" s="48"/>
      <c r="CI18" s="57"/>
      <c r="CJ18" s="53"/>
      <c r="CK18" s="53" t="str">
        <f t="shared" ref="CK18:CK24" si="86">SUM(#REF!,#REF!,#REF!,#REF!,#REF!,#REF!,#REF!,EI18,#REF!,#REF!,#REF!,#REF!,#REF!,#REF!,FB18)</f>
        <v>#REF!</v>
      </c>
      <c r="CL18" s="53"/>
      <c r="CM18" s="53"/>
      <c r="CN18" s="53"/>
      <c r="CO18" s="53"/>
      <c r="CP18" s="53"/>
      <c r="CQ18" s="53"/>
      <c r="CR18" s="55" t="str">
        <f t="shared" si="27"/>
        <v/>
      </c>
    </row>
    <row r="19" ht="15.75" hidden="1" customHeight="1" outlineLevel="1">
      <c r="A19" s="47">
        <f t="shared" si="81"/>
        <v>45646</v>
      </c>
      <c r="B19" s="48" t="str">
        <f t="shared" ref="B19:H19" si="82">SUM(AI19,#REF!,#REF!,#REF!,#REF!,#REF!,#REF!,#REF!,#REF!,#REF!,#REF!,#REF!,#REF!,BC19,#REF!)</f>
        <v>#REF!</v>
      </c>
      <c r="C19" s="48" t="str">
        <f t="shared" si="82"/>
        <v>#REF!</v>
      </c>
      <c r="D19" s="48" t="str">
        <f t="shared" si="82"/>
        <v>#REF!</v>
      </c>
      <c r="E19" s="48" t="str">
        <f t="shared" si="82"/>
        <v>#REF!</v>
      </c>
      <c r="F19" s="48" t="str">
        <f t="shared" si="82"/>
        <v>#REF!</v>
      </c>
      <c r="G19" s="48" t="str">
        <f t="shared" si="82"/>
        <v>#REF!</v>
      </c>
      <c r="H19" s="48" t="str">
        <f t="shared" si="82"/>
        <v>#REF!</v>
      </c>
      <c r="I19" s="48"/>
      <c r="J19" s="48"/>
      <c r="K19" s="48"/>
      <c r="L19" s="48"/>
      <c r="M19" s="49" t="str">
        <f t="shared" si="76"/>
        <v>#REF!</v>
      </c>
      <c r="N19" s="49" t="str">
        <f t="shared" si="77"/>
        <v>#REF!</v>
      </c>
      <c r="O19" s="49"/>
      <c r="P19" s="50" t="str">
        <f t="shared" si="78"/>
        <v>#REF!</v>
      </c>
      <c r="Q19" s="51" t="str">
        <f t="shared" si="79"/>
        <v>#REF!</v>
      </c>
      <c r="R19" s="51" t="str">
        <f t="shared" si="30"/>
        <v/>
      </c>
      <c r="S19" s="51" t="str">
        <f t="shared" si="31"/>
        <v/>
      </c>
      <c r="T19" s="51"/>
      <c r="U19" s="51"/>
      <c r="V19" s="48" t="str">
        <f t="shared" si="83"/>
        <v>#REF!</v>
      </c>
      <c r="W19" s="57"/>
      <c r="X19" s="53" t="str">
        <f t="shared" ref="X19:Y19" si="84">SUM(AZ19,#REF!,#REF!,#REF!,#REF!,#REF!,#REF!,#REF!,#REF!,#REF!,#REF!,#REF!,#REF!,#REF!,#REF!)</f>
        <v>#REF!</v>
      </c>
      <c r="Y19" s="53" t="str">
        <f t="shared" si="84"/>
        <v>#REF!</v>
      </c>
      <c r="Z19" s="53"/>
      <c r="AA19" s="53"/>
      <c r="AB19" s="53"/>
      <c r="AC19" s="53"/>
      <c r="AD19" s="53"/>
      <c r="AE19" s="53"/>
      <c r="AF19" s="55" t="str">
        <f t="shared" si="13"/>
        <v/>
      </c>
      <c r="AG19" s="45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9"/>
      <c r="AT19" s="49"/>
      <c r="AU19" s="49"/>
      <c r="AV19" s="50"/>
      <c r="AW19" s="51"/>
      <c r="AX19" s="51"/>
      <c r="AY19" s="51"/>
      <c r="AZ19" s="51"/>
      <c r="BA19" s="51"/>
      <c r="BB19" s="48"/>
      <c r="BC19" s="57"/>
      <c r="BD19" s="53"/>
      <c r="BE19" s="53" t="str">
        <f t="shared" si="85"/>
        <v>#REF!</v>
      </c>
      <c r="BF19" s="53"/>
      <c r="BG19" s="53"/>
      <c r="BH19" s="53"/>
      <c r="BI19" s="53"/>
      <c r="BJ19" s="53"/>
      <c r="BK19" s="53"/>
      <c r="BL19" s="55" t="str">
        <f t="shared" si="20"/>
        <v/>
      </c>
      <c r="BM19" s="56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9"/>
      <c r="BZ19" s="49"/>
      <c r="CA19" s="49"/>
      <c r="CB19" s="50"/>
      <c r="CC19" s="51"/>
      <c r="CD19" s="51"/>
      <c r="CE19" s="51"/>
      <c r="CF19" s="51"/>
      <c r="CG19" s="51"/>
      <c r="CH19" s="48"/>
      <c r="CI19" s="57"/>
      <c r="CJ19" s="53"/>
      <c r="CK19" s="53" t="str">
        <f t="shared" si="86"/>
        <v>#REF!</v>
      </c>
      <c r="CL19" s="53"/>
      <c r="CM19" s="53"/>
      <c r="CN19" s="53"/>
      <c r="CO19" s="53"/>
      <c r="CP19" s="53"/>
      <c r="CQ19" s="53"/>
      <c r="CR19" s="55" t="str">
        <f t="shared" si="27"/>
        <v/>
      </c>
    </row>
    <row r="20" ht="15.75" hidden="1" customHeight="1" outlineLevel="1">
      <c r="A20" s="47">
        <f t="shared" si="81"/>
        <v>45645</v>
      </c>
      <c r="B20" s="48" t="str">
        <f t="shared" ref="B20:H20" si="87">SUM(AI20,#REF!,#REF!,#REF!,#REF!,#REF!,#REF!,#REF!,#REF!,#REF!,#REF!,#REF!,#REF!,BC20,#REF!)</f>
        <v>#REF!</v>
      </c>
      <c r="C20" s="48" t="str">
        <f t="shared" si="87"/>
        <v>#REF!</v>
      </c>
      <c r="D20" s="48" t="str">
        <f t="shared" si="87"/>
        <v>#REF!</v>
      </c>
      <c r="E20" s="48" t="str">
        <f t="shared" si="87"/>
        <v>#REF!</v>
      </c>
      <c r="F20" s="48" t="str">
        <f t="shared" si="87"/>
        <v>#REF!</v>
      </c>
      <c r="G20" s="48" t="str">
        <f t="shared" si="87"/>
        <v>#REF!</v>
      </c>
      <c r="H20" s="48" t="str">
        <f t="shared" si="87"/>
        <v>#REF!</v>
      </c>
      <c r="I20" s="48"/>
      <c r="J20" s="48"/>
      <c r="K20" s="48"/>
      <c r="L20" s="48"/>
      <c r="M20" s="49" t="str">
        <f t="shared" si="76"/>
        <v>#REF!</v>
      </c>
      <c r="N20" s="49" t="str">
        <f t="shared" si="77"/>
        <v>#REF!</v>
      </c>
      <c r="O20" s="49"/>
      <c r="P20" s="50" t="str">
        <f t="shared" si="78"/>
        <v>#REF!</v>
      </c>
      <c r="Q20" s="51" t="str">
        <f t="shared" si="79"/>
        <v>#REF!</v>
      </c>
      <c r="R20" s="51" t="str">
        <f t="shared" si="30"/>
        <v/>
      </c>
      <c r="S20" s="51" t="str">
        <f t="shared" si="31"/>
        <v/>
      </c>
      <c r="T20" s="51"/>
      <c r="U20" s="51"/>
      <c r="V20" s="48" t="str">
        <f t="shared" si="83"/>
        <v>#REF!</v>
      </c>
      <c r="W20" s="57"/>
      <c r="X20" s="53" t="str">
        <f t="shared" ref="X20:Y20" si="88">SUM(AZ20,#REF!,#REF!,#REF!,#REF!,#REF!,#REF!,#REF!,#REF!,#REF!,#REF!,#REF!,#REF!,#REF!,#REF!)</f>
        <v>#REF!</v>
      </c>
      <c r="Y20" s="53" t="str">
        <f t="shared" si="88"/>
        <v>#REF!</v>
      </c>
      <c r="Z20" s="53"/>
      <c r="AA20" s="53"/>
      <c r="AB20" s="53"/>
      <c r="AC20" s="53"/>
      <c r="AD20" s="53"/>
      <c r="AE20" s="53"/>
      <c r="AF20" s="55" t="str">
        <f t="shared" si="13"/>
        <v/>
      </c>
      <c r="AG20" s="45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9"/>
      <c r="AT20" s="49"/>
      <c r="AU20" s="49"/>
      <c r="AV20" s="50"/>
      <c r="AW20" s="51"/>
      <c r="AX20" s="51"/>
      <c r="AY20" s="51"/>
      <c r="AZ20" s="51"/>
      <c r="BA20" s="51"/>
      <c r="BB20" s="48"/>
      <c r="BC20" s="57"/>
      <c r="BD20" s="53"/>
      <c r="BE20" s="53" t="str">
        <f t="shared" si="85"/>
        <v>#REF!</v>
      </c>
      <c r="BF20" s="53"/>
      <c r="BG20" s="53"/>
      <c r="BH20" s="53"/>
      <c r="BI20" s="53"/>
      <c r="BJ20" s="53"/>
      <c r="BK20" s="53"/>
      <c r="BL20" s="55" t="str">
        <f t="shared" si="20"/>
        <v/>
      </c>
      <c r="BM20" s="56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9"/>
      <c r="BZ20" s="49"/>
      <c r="CA20" s="49"/>
      <c r="CB20" s="50"/>
      <c r="CC20" s="51"/>
      <c r="CD20" s="51"/>
      <c r="CE20" s="51"/>
      <c r="CF20" s="51"/>
      <c r="CG20" s="51"/>
      <c r="CH20" s="48"/>
      <c r="CI20" s="57"/>
      <c r="CJ20" s="53"/>
      <c r="CK20" s="53" t="str">
        <f t="shared" si="86"/>
        <v>#REF!</v>
      </c>
      <c r="CL20" s="53"/>
      <c r="CM20" s="53"/>
      <c r="CN20" s="53"/>
      <c r="CO20" s="53"/>
      <c r="CP20" s="53"/>
      <c r="CQ20" s="53"/>
      <c r="CR20" s="55" t="str">
        <f t="shared" si="27"/>
        <v/>
      </c>
    </row>
    <row r="21" ht="15.75" hidden="1" customHeight="1" outlineLevel="1">
      <c r="A21" s="47">
        <f t="shared" si="81"/>
        <v>45644</v>
      </c>
      <c r="B21" s="48" t="str">
        <f t="shared" ref="B21:H21" si="89">SUM(AI21,#REF!,#REF!,#REF!,#REF!,#REF!,#REF!,#REF!,#REF!,#REF!,#REF!,#REF!,#REF!,BC21,#REF!)</f>
        <v>#REF!</v>
      </c>
      <c r="C21" s="48" t="str">
        <f t="shared" si="89"/>
        <v>#REF!</v>
      </c>
      <c r="D21" s="48" t="str">
        <f t="shared" si="89"/>
        <v>#REF!</v>
      </c>
      <c r="E21" s="48" t="str">
        <f t="shared" si="89"/>
        <v>#REF!</v>
      </c>
      <c r="F21" s="48" t="str">
        <f t="shared" si="89"/>
        <v>#REF!</v>
      </c>
      <c r="G21" s="48" t="str">
        <f t="shared" si="89"/>
        <v>#REF!</v>
      </c>
      <c r="H21" s="48" t="str">
        <f t="shared" si="89"/>
        <v>#REF!</v>
      </c>
      <c r="I21" s="48"/>
      <c r="J21" s="48"/>
      <c r="K21" s="48"/>
      <c r="L21" s="48"/>
      <c r="M21" s="49" t="str">
        <f t="shared" si="76"/>
        <v>#REF!</v>
      </c>
      <c r="N21" s="49" t="str">
        <f t="shared" si="77"/>
        <v>#REF!</v>
      </c>
      <c r="O21" s="49"/>
      <c r="P21" s="50" t="str">
        <f t="shared" si="78"/>
        <v>#REF!</v>
      </c>
      <c r="Q21" s="51" t="str">
        <f t="shared" si="79"/>
        <v>#REF!</v>
      </c>
      <c r="R21" s="51" t="str">
        <f t="shared" si="30"/>
        <v/>
      </c>
      <c r="S21" s="51" t="str">
        <f t="shared" si="31"/>
        <v/>
      </c>
      <c r="T21" s="51"/>
      <c r="U21" s="51"/>
      <c r="V21" s="48" t="str">
        <f t="shared" si="83"/>
        <v>#REF!</v>
      </c>
      <c r="W21" s="57"/>
      <c r="X21" s="53" t="str">
        <f t="shared" ref="X21:Y21" si="90">SUM(AZ21,#REF!,#REF!,#REF!,#REF!,#REF!,#REF!,#REF!,#REF!,#REF!,#REF!,#REF!,#REF!,#REF!,#REF!)</f>
        <v>#REF!</v>
      </c>
      <c r="Y21" s="53" t="str">
        <f t="shared" si="90"/>
        <v>#REF!</v>
      </c>
      <c r="Z21" s="53"/>
      <c r="AA21" s="53"/>
      <c r="AB21" s="53"/>
      <c r="AC21" s="53"/>
      <c r="AD21" s="53"/>
      <c r="AE21" s="53"/>
      <c r="AF21" s="55" t="str">
        <f t="shared" si="13"/>
        <v/>
      </c>
      <c r="AG21" s="45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9"/>
      <c r="AT21" s="49"/>
      <c r="AU21" s="49"/>
      <c r="AV21" s="50"/>
      <c r="AW21" s="51"/>
      <c r="AX21" s="51"/>
      <c r="AY21" s="51"/>
      <c r="AZ21" s="51"/>
      <c r="BA21" s="51"/>
      <c r="BB21" s="48"/>
      <c r="BC21" s="57"/>
      <c r="BD21" s="53"/>
      <c r="BE21" s="53" t="str">
        <f t="shared" si="85"/>
        <v>#REF!</v>
      </c>
      <c r="BF21" s="53"/>
      <c r="BG21" s="53"/>
      <c r="BH21" s="53"/>
      <c r="BI21" s="53"/>
      <c r="BJ21" s="53"/>
      <c r="BK21" s="53"/>
      <c r="BL21" s="55" t="str">
        <f t="shared" si="20"/>
        <v/>
      </c>
      <c r="BM21" s="56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9"/>
      <c r="BZ21" s="49"/>
      <c r="CA21" s="49"/>
      <c r="CB21" s="50"/>
      <c r="CC21" s="51"/>
      <c r="CD21" s="51"/>
      <c r="CE21" s="51"/>
      <c r="CF21" s="51"/>
      <c r="CG21" s="51"/>
      <c r="CH21" s="48"/>
      <c r="CI21" s="57"/>
      <c r="CJ21" s="53"/>
      <c r="CK21" s="53" t="str">
        <f t="shared" si="86"/>
        <v>#REF!</v>
      </c>
      <c r="CL21" s="53"/>
      <c r="CM21" s="53"/>
      <c r="CN21" s="53"/>
      <c r="CO21" s="53"/>
      <c r="CP21" s="53"/>
      <c r="CQ21" s="53"/>
      <c r="CR21" s="55" t="str">
        <f t="shared" si="27"/>
        <v/>
      </c>
    </row>
    <row r="22" ht="15.75" hidden="1" customHeight="1" outlineLevel="1">
      <c r="A22" s="47">
        <f t="shared" si="81"/>
        <v>45643</v>
      </c>
      <c r="B22" s="48" t="str">
        <f t="shared" ref="B22:H22" si="91">SUM(AI22,#REF!,#REF!,#REF!,#REF!,#REF!,#REF!,#REF!,#REF!,#REF!,#REF!,#REF!,#REF!,BC22,#REF!)</f>
        <v>#REF!</v>
      </c>
      <c r="C22" s="48" t="str">
        <f t="shared" si="91"/>
        <v>#REF!</v>
      </c>
      <c r="D22" s="48" t="str">
        <f t="shared" si="91"/>
        <v>#REF!</v>
      </c>
      <c r="E22" s="48" t="str">
        <f t="shared" si="91"/>
        <v>#REF!</v>
      </c>
      <c r="F22" s="48" t="str">
        <f t="shared" si="91"/>
        <v>#REF!</v>
      </c>
      <c r="G22" s="48" t="str">
        <f t="shared" si="91"/>
        <v>#REF!</v>
      </c>
      <c r="H22" s="48" t="str">
        <f t="shared" si="91"/>
        <v>#REF!</v>
      </c>
      <c r="I22" s="48"/>
      <c r="J22" s="48"/>
      <c r="K22" s="48"/>
      <c r="L22" s="48"/>
      <c r="M22" s="49" t="str">
        <f t="shared" si="76"/>
        <v>#REF!</v>
      </c>
      <c r="N22" s="49" t="str">
        <f t="shared" si="77"/>
        <v>#REF!</v>
      </c>
      <c r="O22" s="49"/>
      <c r="P22" s="50" t="str">
        <f t="shared" si="78"/>
        <v>#REF!</v>
      </c>
      <c r="Q22" s="51" t="str">
        <f t="shared" si="79"/>
        <v>#REF!</v>
      </c>
      <c r="R22" s="51" t="str">
        <f t="shared" si="30"/>
        <v/>
      </c>
      <c r="S22" s="51" t="str">
        <f t="shared" si="31"/>
        <v/>
      </c>
      <c r="T22" s="51"/>
      <c r="U22" s="51"/>
      <c r="V22" s="48" t="str">
        <f t="shared" si="83"/>
        <v>#REF!</v>
      </c>
      <c r="W22" s="57"/>
      <c r="X22" s="53" t="str">
        <f t="shared" ref="X22:Y22" si="92">SUM(AZ22,#REF!,#REF!,#REF!,#REF!,#REF!,#REF!,#REF!,#REF!,#REF!,#REF!,#REF!,#REF!,#REF!,#REF!)</f>
        <v>#REF!</v>
      </c>
      <c r="Y22" s="53" t="str">
        <f t="shared" si="92"/>
        <v>#REF!</v>
      </c>
      <c r="Z22" s="53"/>
      <c r="AA22" s="53"/>
      <c r="AB22" s="53"/>
      <c r="AC22" s="53"/>
      <c r="AD22" s="53"/>
      <c r="AE22" s="53"/>
      <c r="AF22" s="55" t="str">
        <f t="shared" si="13"/>
        <v/>
      </c>
      <c r="AG22" s="45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9"/>
      <c r="AT22" s="49"/>
      <c r="AU22" s="49"/>
      <c r="AV22" s="50"/>
      <c r="AW22" s="51"/>
      <c r="AX22" s="51"/>
      <c r="AY22" s="51"/>
      <c r="AZ22" s="51"/>
      <c r="BA22" s="51"/>
      <c r="BB22" s="48"/>
      <c r="BC22" s="57"/>
      <c r="BD22" s="53"/>
      <c r="BE22" s="53" t="str">
        <f t="shared" si="85"/>
        <v>#REF!</v>
      </c>
      <c r="BF22" s="53"/>
      <c r="BG22" s="53"/>
      <c r="BH22" s="53"/>
      <c r="BI22" s="53"/>
      <c r="BJ22" s="53"/>
      <c r="BK22" s="53"/>
      <c r="BL22" s="55" t="str">
        <f t="shared" si="20"/>
        <v/>
      </c>
      <c r="BM22" s="56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9"/>
      <c r="BZ22" s="49"/>
      <c r="CA22" s="49"/>
      <c r="CB22" s="50"/>
      <c r="CC22" s="51"/>
      <c r="CD22" s="51"/>
      <c r="CE22" s="51"/>
      <c r="CF22" s="51"/>
      <c r="CG22" s="51"/>
      <c r="CH22" s="48"/>
      <c r="CI22" s="57"/>
      <c r="CJ22" s="53"/>
      <c r="CK22" s="53" t="str">
        <f t="shared" si="86"/>
        <v>#REF!</v>
      </c>
      <c r="CL22" s="53"/>
      <c r="CM22" s="53"/>
      <c r="CN22" s="53"/>
      <c r="CO22" s="53"/>
      <c r="CP22" s="53"/>
      <c r="CQ22" s="53"/>
      <c r="CR22" s="55" t="str">
        <f t="shared" si="27"/>
        <v/>
      </c>
    </row>
    <row r="23" ht="15.75" hidden="1" customHeight="1" outlineLevel="1">
      <c r="A23" s="47">
        <f t="shared" si="81"/>
        <v>45642</v>
      </c>
      <c r="B23" s="48" t="str">
        <f t="shared" ref="B23:H23" si="93">SUM(AI23,#REF!,#REF!,#REF!,#REF!,#REF!,#REF!,#REF!,#REF!,#REF!,#REF!,#REF!,#REF!,BC23,#REF!)</f>
        <v>#REF!</v>
      </c>
      <c r="C23" s="48" t="str">
        <f t="shared" si="93"/>
        <v>#REF!</v>
      </c>
      <c r="D23" s="48" t="str">
        <f t="shared" si="93"/>
        <v>#REF!</v>
      </c>
      <c r="E23" s="48" t="str">
        <f t="shared" si="93"/>
        <v>#REF!</v>
      </c>
      <c r="F23" s="48" t="str">
        <f t="shared" si="93"/>
        <v>#REF!</v>
      </c>
      <c r="G23" s="48" t="str">
        <f t="shared" si="93"/>
        <v>#REF!</v>
      </c>
      <c r="H23" s="48" t="str">
        <f t="shared" si="93"/>
        <v>#REF!</v>
      </c>
      <c r="I23" s="48"/>
      <c r="J23" s="48"/>
      <c r="K23" s="48"/>
      <c r="L23" s="48"/>
      <c r="M23" s="49" t="str">
        <f t="shared" si="76"/>
        <v>#REF!</v>
      </c>
      <c r="N23" s="49" t="str">
        <f t="shared" si="77"/>
        <v>#REF!</v>
      </c>
      <c r="O23" s="49"/>
      <c r="P23" s="50" t="str">
        <f t="shared" si="78"/>
        <v>#REF!</v>
      </c>
      <c r="Q23" s="51" t="str">
        <f t="shared" si="79"/>
        <v>#REF!</v>
      </c>
      <c r="R23" s="51" t="str">
        <f t="shared" si="30"/>
        <v/>
      </c>
      <c r="S23" s="51" t="str">
        <f t="shared" si="31"/>
        <v/>
      </c>
      <c r="T23" s="51"/>
      <c r="U23" s="51"/>
      <c r="V23" s="48" t="str">
        <f t="shared" si="83"/>
        <v>#REF!</v>
      </c>
      <c r="W23" s="57"/>
      <c r="X23" s="53" t="str">
        <f t="shared" ref="X23:Y23" si="94">SUM(AZ23,#REF!,#REF!,#REF!,#REF!,#REF!,#REF!,#REF!,#REF!,#REF!,#REF!,#REF!,#REF!,#REF!,#REF!)</f>
        <v>#REF!</v>
      </c>
      <c r="Y23" s="53" t="str">
        <f t="shared" si="94"/>
        <v>#REF!</v>
      </c>
      <c r="Z23" s="53"/>
      <c r="AA23" s="53"/>
      <c r="AB23" s="53"/>
      <c r="AC23" s="53"/>
      <c r="AD23" s="53"/>
      <c r="AE23" s="53"/>
      <c r="AF23" s="55" t="str">
        <f t="shared" si="13"/>
        <v/>
      </c>
      <c r="AG23" s="45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9"/>
      <c r="AT23" s="49"/>
      <c r="AU23" s="49"/>
      <c r="AV23" s="50"/>
      <c r="AW23" s="51"/>
      <c r="AX23" s="51"/>
      <c r="AY23" s="51"/>
      <c r="AZ23" s="51"/>
      <c r="BA23" s="51"/>
      <c r="BB23" s="48"/>
      <c r="BC23" s="57"/>
      <c r="BD23" s="53"/>
      <c r="BE23" s="53" t="str">
        <f t="shared" si="85"/>
        <v>#REF!</v>
      </c>
      <c r="BF23" s="53"/>
      <c r="BG23" s="53"/>
      <c r="BH23" s="53"/>
      <c r="BI23" s="53"/>
      <c r="BJ23" s="53"/>
      <c r="BK23" s="53"/>
      <c r="BL23" s="55" t="str">
        <f t="shared" si="20"/>
        <v/>
      </c>
      <c r="BM23" s="56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9"/>
      <c r="BZ23" s="49"/>
      <c r="CA23" s="49"/>
      <c r="CB23" s="50"/>
      <c r="CC23" s="51"/>
      <c r="CD23" s="51"/>
      <c r="CE23" s="51"/>
      <c r="CF23" s="51"/>
      <c r="CG23" s="51"/>
      <c r="CH23" s="48"/>
      <c r="CI23" s="57"/>
      <c r="CJ23" s="53"/>
      <c r="CK23" s="53" t="str">
        <f t="shared" si="86"/>
        <v>#REF!</v>
      </c>
      <c r="CL23" s="53"/>
      <c r="CM23" s="53"/>
      <c r="CN23" s="53"/>
      <c r="CO23" s="53"/>
      <c r="CP23" s="53"/>
      <c r="CQ23" s="53"/>
      <c r="CR23" s="55" t="str">
        <f t="shared" si="27"/>
        <v/>
      </c>
    </row>
    <row r="24" ht="19.5" hidden="1" customHeight="1" outlineLevel="1">
      <c r="A24" s="47">
        <f>A26+1</f>
        <v>45641</v>
      </c>
      <c r="B24" s="48" t="str">
        <f t="shared" ref="B24:H24" si="95">SUM(AI24,#REF!,#REF!,#REF!,#REF!,#REF!,#REF!,#REF!,#REF!,#REF!,#REF!,#REF!,#REF!,BC24,#REF!)</f>
        <v>#REF!</v>
      </c>
      <c r="C24" s="48" t="str">
        <f t="shared" si="95"/>
        <v>#REF!</v>
      </c>
      <c r="D24" s="48" t="str">
        <f t="shared" si="95"/>
        <v>#REF!</v>
      </c>
      <c r="E24" s="48" t="str">
        <f t="shared" si="95"/>
        <v>#REF!</v>
      </c>
      <c r="F24" s="48" t="str">
        <f t="shared" si="95"/>
        <v>#REF!</v>
      </c>
      <c r="G24" s="48" t="str">
        <f t="shared" si="95"/>
        <v>#REF!</v>
      </c>
      <c r="H24" s="48" t="str">
        <f t="shared" si="95"/>
        <v>#REF!</v>
      </c>
      <c r="I24" s="48"/>
      <c r="J24" s="48"/>
      <c r="K24" s="48"/>
      <c r="L24" s="48"/>
      <c r="M24" s="49" t="str">
        <f t="shared" si="76"/>
        <v>#REF!</v>
      </c>
      <c r="N24" s="49" t="str">
        <f t="shared" si="77"/>
        <v>#REF!</v>
      </c>
      <c r="O24" s="49"/>
      <c r="P24" s="50" t="str">
        <f t="shared" si="78"/>
        <v>#REF!</v>
      </c>
      <c r="Q24" s="51" t="str">
        <f t="shared" si="79"/>
        <v>#REF!</v>
      </c>
      <c r="R24" s="51" t="str">
        <f t="shared" si="30"/>
        <v/>
      </c>
      <c r="S24" s="51" t="str">
        <f t="shared" si="31"/>
        <v/>
      </c>
      <c r="T24" s="51"/>
      <c r="U24" s="51"/>
      <c r="V24" s="48" t="str">
        <f t="shared" si="83"/>
        <v>#REF!</v>
      </c>
      <c r="W24" s="57"/>
      <c r="X24" s="53" t="str">
        <f t="shared" ref="X24:Y24" si="96">SUM(AZ24,#REF!,#REF!,#REF!,#REF!,#REF!,#REF!,#REF!,#REF!,#REF!,#REF!,#REF!,#REF!,#REF!,#REF!)</f>
        <v>#REF!</v>
      </c>
      <c r="Y24" s="53" t="str">
        <f t="shared" si="96"/>
        <v>#REF!</v>
      </c>
      <c r="Z24" s="53"/>
      <c r="AA24" s="53"/>
      <c r="AB24" s="53"/>
      <c r="AC24" s="53"/>
      <c r="AD24" s="53"/>
      <c r="AE24" s="53"/>
      <c r="AF24" s="55" t="str">
        <f t="shared" si="13"/>
        <v/>
      </c>
      <c r="AG24" s="45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9"/>
      <c r="AT24" s="49"/>
      <c r="AU24" s="49"/>
      <c r="AV24" s="50"/>
      <c r="AW24" s="51"/>
      <c r="AX24" s="51"/>
      <c r="AY24" s="51"/>
      <c r="AZ24" s="51"/>
      <c r="BA24" s="51"/>
      <c r="BB24" s="48"/>
      <c r="BC24" s="57"/>
      <c r="BD24" s="53"/>
      <c r="BE24" s="53" t="str">
        <f t="shared" si="85"/>
        <v>#REF!</v>
      </c>
      <c r="BF24" s="53"/>
      <c r="BG24" s="53"/>
      <c r="BH24" s="53"/>
      <c r="BI24" s="53"/>
      <c r="BJ24" s="53"/>
      <c r="BK24" s="53"/>
      <c r="BL24" s="55" t="str">
        <f t="shared" si="20"/>
        <v/>
      </c>
      <c r="BM24" s="56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9"/>
      <c r="BZ24" s="49"/>
      <c r="CA24" s="49"/>
      <c r="CB24" s="50"/>
      <c r="CC24" s="51"/>
      <c r="CD24" s="51"/>
      <c r="CE24" s="51"/>
      <c r="CF24" s="51"/>
      <c r="CG24" s="51"/>
      <c r="CH24" s="48"/>
      <c r="CI24" s="57"/>
      <c r="CJ24" s="53"/>
      <c r="CK24" s="53" t="str">
        <f t="shared" si="86"/>
        <v>#REF!</v>
      </c>
      <c r="CL24" s="53"/>
      <c r="CM24" s="53"/>
      <c r="CN24" s="53"/>
      <c r="CO24" s="53"/>
      <c r="CP24" s="53"/>
      <c r="CQ24" s="53"/>
      <c r="CR24" s="55" t="str">
        <f t="shared" si="27"/>
        <v/>
      </c>
    </row>
    <row r="25" ht="15.75" customHeight="1" collapsed="1">
      <c r="A25" s="38" t="s">
        <v>41</v>
      </c>
      <c r="B25" s="39" t="str">
        <f t="shared" ref="B25:H25" si="97">SUM(B26:B32)</f>
        <v>#REF!</v>
      </c>
      <c r="C25" s="39" t="str">
        <f t="shared" si="97"/>
        <v>#REF!</v>
      </c>
      <c r="D25" s="39" t="str">
        <f t="shared" si="97"/>
        <v>#REF!</v>
      </c>
      <c r="E25" s="39" t="str">
        <f t="shared" si="97"/>
        <v>#REF!</v>
      </c>
      <c r="F25" s="39" t="str">
        <f t="shared" si="97"/>
        <v>#REF!</v>
      </c>
      <c r="G25" s="39" t="str">
        <f t="shared" si="97"/>
        <v>#REF!</v>
      </c>
      <c r="H25" s="39" t="str">
        <f t="shared" si="97"/>
        <v>#REF!</v>
      </c>
      <c r="I25" s="39"/>
      <c r="J25" s="39"/>
      <c r="K25" s="39"/>
      <c r="L25" s="39"/>
      <c r="M25" s="40" t="str">
        <f t="shared" si="76"/>
        <v>#REF!</v>
      </c>
      <c r="N25" s="40" t="str">
        <f t="shared" si="77"/>
        <v>#REF!</v>
      </c>
      <c r="O25" s="40" t="str">
        <f>IFERROR(X25/D25,"")</f>
        <v/>
      </c>
      <c r="P25" s="41" t="str">
        <f t="shared" si="78"/>
        <v>#REF!</v>
      </c>
      <c r="Q25" s="42" t="str">
        <f t="shared" si="79"/>
        <v>#REF!</v>
      </c>
      <c r="R25" s="42" t="str">
        <f t="shared" si="30"/>
        <v/>
      </c>
      <c r="S25" s="42" t="str">
        <f t="shared" si="31"/>
        <v/>
      </c>
      <c r="T25" s="42"/>
      <c r="U25" s="42"/>
      <c r="V25" s="39" t="str">
        <f t="shared" ref="V25:Y25" si="98">SUM(V26:V32)</f>
        <v>#REF!</v>
      </c>
      <c r="W25" s="39" t="str">
        <f t="shared" si="98"/>
        <v>#REF!</v>
      </c>
      <c r="X25" s="43" t="str">
        <f t="shared" si="98"/>
        <v>#REF!</v>
      </c>
      <c r="Y25" s="43" t="str">
        <f t="shared" si="98"/>
        <v>#REF!</v>
      </c>
      <c r="Z25" s="43"/>
      <c r="AA25" s="43"/>
      <c r="AB25" s="43"/>
      <c r="AC25" s="43"/>
      <c r="AD25" s="43"/>
      <c r="AE25" s="43" t="str">
        <f>SUM(AE26:AE32)</f>
        <v>#REF!</v>
      </c>
      <c r="AF25" s="44" t="str">
        <f t="shared" si="13"/>
        <v/>
      </c>
      <c r="AG25" s="45"/>
      <c r="AH25" s="39">
        <f t="shared" ref="AH25:AN25" si="99">SUM(AH26:AH32)</f>
        <v>0</v>
      </c>
      <c r="AI25" s="39">
        <f t="shared" si="99"/>
        <v>0</v>
      </c>
      <c r="AJ25" s="39">
        <f t="shared" si="99"/>
        <v>0</v>
      </c>
      <c r="AK25" s="39">
        <f t="shared" si="99"/>
        <v>0</v>
      </c>
      <c r="AL25" s="39">
        <f t="shared" si="99"/>
        <v>0</v>
      </c>
      <c r="AM25" s="39">
        <f t="shared" si="99"/>
        <v>0</v>
      </c>
      <c r="AN25" s="39">
        <f t="shared" si="99"/>
        <v>0</v>
      </c>
      <c r="AO25" s="39"/>
      <c r="AP25" s="39"/>
      <c r="AQ25" s="39"/>
      <c r="AR25" s="39"/>
      <c r="AS25" s="40" t="str">
        <f>BD25/AH25</f>
        <v>#DIV/0!</v>
      </c>
      <c r="AT25" s="40" t="str">
        <f>BD25/AI25</f>
        <v>#DIV/0!</v>
      </c>
      <c r="AU25" s="40" t="str">
        <f>IFERROR(BD25/AJ25,"")</f>
        <v/>
      </c>
      <c r="AV25" s="41" t="str">
        <f>BD25/AK25</f>
        <v>#DIV/0!</v>
      </c>
      <c r="AW25" s="42" t="str">
        <f>BD25/AL25</f>
        <v>#DIV/0!</v>
      </c>
      <c r="AX25" s="42" t="str">
        <f>IFERROR(BD25/AM25,"")</f>
        <v/>
      </c>
      <c r="AY25" s="42" t="str">
        <f>IFERROR(BD25/AN25,"")</f>
        <v/>
      </c>
      <c r="AZ25" s="42"/>
      <c r="BA25" s="42"/>
      <c r="BB25" s="39">
        <f t="shared" ref="BB25:BE25" si="100">SUM(BB26:BB32)</f>
        <v>0</v>
      </c>
      <c r="BC25" s="39">
        <f t="shared" si="100"/>
        <v>0</v>
      </c>
      <c r="BD25" s="43">
        <f t="shared" si="100"/>
        <v>0</v>
      </c>
      <c r="BE25" s="43" t="str">
        <f t="shared" si="100"/>
        <v>#REF!</v>
      </c>
      <c r="BF25" s="43"/>
      <c r="BG25" s="43"/>
      <c r="BH25" s="43"/>
      <c r="BI25" s="43"/>
      <c r="BJ25" s="43"/>
      <c r="BK25" s="43" t="str">
        <f>SUM(BK26:BK32)</f>
        <v>#REF!</v>
      </c>
      <c r="BL25" s="44" t="str">
        <f t="shared" si="20"/>
        <v/>
      </c>
      <c r="BM25" s="46"/>
      <c r="BN25" s="39">
        <f t="shared" ref="BN25:BT25" si="101">SUM(BN26:BN32)</f>
        <v>0</v>
      </c>
      <c r="BO25" s="39">
        <f t="shared" si="101"/>
        <v>0</v>
      </c>
      <c r="BP25" s="39">
        <f t="shared" si="101"/>
        <v>0</v>
      </c>
      <c r="BQ25" s="39">
        <f t="shared" si="101"/>
        <v>0</v>
      </c>
      <c r="BR25" s="39">
        <f t="shared" si="101"/>
        <v>0</v>
      </c>
      <c r="BS25" s="39">
        <f t="shared" si="101"/>
        <v>0</v>
      </c>
      <c r="BT25" s="39">
        <f t="shared" si="101"/>
        <v>0</v>
      </c>
      <c r="BU25" s="39"/>
      <c r="BV25" s="39"/>
      <c r="BW25" s="39"/>
      <c r="BX25" s="39"/>
      <c r="BY25" s="40" t="str">
        <f>CJ25/BN25</f>
        <v>#DIV/0!</v>
      </c>
      <c r="BZ25" s="40" t="str">
        <f>CJ25/BO25</f>
        <v>#DIV/0!</v>
      </c>
      <c r="CA25" s="40" t="str">
        <f>IFERROR(CJ25/BP25,"")</f>
        <v/>
      </c>
      <c r="CB25" s="41" t="str">
        <f>CJ25/BQ25</f>
        <v>#DIV/0!</v>
      </c>
      <c r="CC25" s="42" t="str">
        <f>CJ25/BR25</f>
        <v>#DIV/0!</v>
      </c>
      <c r="CD25" s="42" t="str">
        <f>IFERROR(CJ25/BS25,"")</f>
        <v/>
      </c>
      <c r="CE25" s="42" t="str">
        <f>IFERROR(CJ25/BT25,"")</f>
        <v/>
      </c>
      <c r="CF25" s="42"/>
      <c r="CG25" s="42"/>
      <c r="CH25" s="39">
        <f t="shared" ref="CH25:CK25" si="102">SUM(CH26:CH32)</f>
        <v>0</v>
      </c>
      <c r="CI25" s="39">
        <f t="shared" si="102"/>
        <v>0</v>
      </c>
      <c r="CJ25" s="43">
        <f t="shared" si="102"/>
        <v>0</v>
      </c>
      <c r="CK25" s="43" t="str">
        <f t="shared" si="102"/>
        <v>#REF!</v>
      </c>
      <c r="CL25" s="43"/>
      <c r="CM25" s="43"/>
      <c r="CN25" s="43"/>
      <c r="CO25" s="43"/>
      <c r="CP25" s="43"/>
      <c r="CQ25" s="43" t="str">
        <f>SUM(CQ26:CQ32)</f>
        <v>#REF!</v>
      </c>
      <c r="CR25" s="44" t="str">
        <f t="shared" si="27"/>
        <v/>
      </c>
    </row>
    <row r="26" ht="15.75" hidden="1" customHeight="1" outlineLevel="1">
      <c r="A26" s="58">
        <f t="shared" ref="A26:A31" si="105">A27+1</f>
        <v>45640</v>
      </c>
      <c r="B26" s="48" t="str">
        <f t="shared" ref="B26:H26" si="103">SUM(AI26,#REF!,#REF!,#REF!,#REF!,#REF!,#REF!,#REF!,#REF!,#REF!,#REF!,#REF!,#REF!,BC26,#REF!)</f>
        <v>#REF!</v>
      </c>
      <c r="C26" s="48" t="str">
        <f t="shared" si="103"/>
        <v>#REF!</v>
      </c>
      <c r="D26" s="48" t="str">
        <f t="shared" si="103"/>
        <v>#REF!</v>
      </c>
      <c r="E26" s="48" t="str">
        <f t="shared" si="103"/>
        <v>#REF!</v>
      </c>
      <c r="F26" s="48" t="str">
        <f t="shared" si="103"/>
        <v>#REF!</v>
      </c>
      <c r="G26" s="48" t="str">
        <f t="shared" si="103"/>
        <v>#REF!</v>
      </c>
      <c r="H26" s="48" t="str">
        <f t="shared" si="103"/>
        <v>#REF!</v>
      </c>
      <c r="I26" s="48"/>
      <c r="J26" s="48"/>
      <c r="K26" s="48"/>
      <c r="L26" s="48"/>
      <c r="M26" s="49" t="str">
        <f t="shared" si="76"/>
        <v>#REF!</v>
      </c>
      <c r="N26" s="49" t="str">
        <f t="shared" si="77"/>
        <v>#REF!</v>
      </c>
      <c r="O26" s="49"/>
      <c r="P26" s="50" t="str">
        <f t="shared" si="78"/>
        <v>#REF!</v>
      </c>
      <c r="Q26" s="51" t="str">
        <f t="shared" si="79"/>
        <v>#REF!</v>
      </c>
      <c r="R26" s="51" t="str">
        <f t="shared" si="30"/>
        <v/>
      </c>
      <c r="S26" s="51" t="str">
        <f t="shared" si="31"/>
        <v/>
      </c>
      <c r="T26" s="51"/>
      <c r="U26" s="51"/>
      <c r="V26" s="48" t="str">
        <f t="shared" ref="V26:Y26" si="104">SUM(AX26,#REF!,#REF!,#REF!,#REF!,#REF!,#REF!,#REF!,#REF!,#REF!,#REF!,#REF!,#REF!,#REF!,#REF!)</f>
        <v>#REF!</v>
      </c>
      <c r="W26" s="48" t="str">
        <f t="shared" si="104"/>
        <v>#REF!</v>
      </c>
      <c r="X26" s="53" t="str">
        <f t="shared" si="104"/>
        <v>#REF!</v>
      </c>
      <c r="Y26" s="53" t="str">
        <f t="shared" si="104"/>
        <v>#REF!</v>
      </c>
      <c r="Z26" s="53"/>
      <c r="AA26" s="53"/>
      <c r="AB26" s="53"/>
      <c r="AC26" s="53"/>
      <c r="AD26" s="53"/>
      <c r="AE26" s="53" t="str">
        <f t="shared" ref="AE26:AE32" si="108">SUM(BB26,#REF!,#REF!,#REF!,#REF!,#REF!,#REF!,#REF!,#REF!,#REF!,#REF!,#REF!,#REF!,#REF!,#REF!)</f>
        <v>#REF!</v>
      </c>
      <c r="AF26" s="55" t="str">
        <f t="shared" si="13"/>
        <v/>
      </c>
      <c r="AG26" s="45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9"/>
      <c r="AT26" s="49"/>
      <c r="AU26" s="49"/>
      <c r="AV26" s="50"/>
      <c r="AW26" s="51"/>
      <c r="AX26" s="51"/>
      <c r="AY26" s="51"/>
      <c r="AZ26" s="51"/>
      <c r="BA26" s="51"/>
      <c r="BB26" s="48"/>
      <c r="BC26" s="48"/>
      <c r="BD26" s="53"/>
      <c r="BE26" s="53" t="str">
        <f t="shared" ref="BE26:BE32" si="109">SUM(#REF!,#REF!,#REF!,#REF!,#REF!,#REF!,#REF!,DC26,#REF!,#REF!,#REF!,#REF!,#REF!,#REF!,DU26)</f>
        <v>#REF!</v>
      </c>
      <c r="BF26" s="53"/>
      <c r="BG26" s="53"/>
      <c r="BH26" s="53"/>
      <c r="BI26" s="53"/>
      <c r="BJ26" s="53"/>
      <c r="BK26" s="53" t="str">
        <f t="shared" ref="BK26:BK32" si="110">SUM(#REF!,#REF!,#REF!,#REF!,#REF!,#REF!,#REF!,#REF!,#REF!,#REF!,#REF!,#REF!,#REF!,#REF!,DV26)</f>
        <v>#REF!</v>
      </c>
      <c r="BL26" s="55" t="str">
        <f t="shared" si="20"/>
        <v/>
      </c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9"/>
      <c r="BZ26" s="49"/>
      <c r="CA26" s="49"/>
      <c r="CB26" s="50"/>
      <c r="CC26" s="51"/>
      <c r="CD26" s="51"/>
      <c r="CE26" s="51"/>
      <c r="CF26" s="51"/>
      <c r="CG26" s="51"/>
      <c r="CH26" s="48"/>
      <c r="CI26" s="48"/>
      <c r="CJ26" s="53"/>
      <c r="CK26" s="53" t="str">
        <f t="shared" ref="CK26:CK32" si="111">SUM(#REF!,#REF!,#REF!,#REF!,#REF!,#REF!,#REF!,EI26,#REF!,#REF!,#REF!,#REF!,#REF!,#REF!,FA26)</f>
        <v>#REF!</v>
      </c>
      <c r="CL26" s="53"/>
      <c r="CM26" s="53"/>
      <c r="CN26" s="53"/>
      <c r="CO26" s="53"/>
      <c r="CP26" s="53"/>
      <c r="CQ26" s="53" t="str">
        <f t="shared" ref="CQ26:CQ32" si="112">SUM(#REF!,#REF!,#REF!,#REF!,#REF!,#REF!,#REF!,#REF!,#REF!,#REF!,#REF!,#REF!,#REF!,#REF!,FB26)</f>
        <v>#REF!</v>
      </c>
      <c r="CR26" s="55" t="str">
        <f t="shared" si="27"/>
        <v/>
      </c>
    </row>
    <row r="27" ht="15.75" hidden="1" customHeight="1" outlineLevel="1">
      <c r="A27" s="58">
        <f t="shared" si="105"/>
        <v>45639</v>
      </c>
      <c r="B27" s="48" t="str">
        <f t="shared" ref="B27:H27" si="106">SUM(AI27,#REF!,#REF!,#REF!,#REF!,#REF!,#REF!,#REF!,#REF!,#REF!,#REF!,#REF!,#REF!,BC27,#REF!)</f>
        <v>#REF!</v>
      </c>
      <c r="C27" s="48" t="str">
        <f t="shared" si="106"/>
        <v>#REF!</v>
      </c>
      <c r="D27" s="48" t="str">
        <f t="shared" si="106"/>
        <v>#REF!</v>
      </c>
      <c r="E27" s="48" t="str">
        <f t="shared" si="106"/>
        <v>#REF!</v>
      </c>
      <c r="F27" s="48" t="str">
        <f t="shared" si="106"/>
        <v>#REF!</v>
      </c>
      <c r="G27" s="48" t="str">
        <f t="shared" si="106"/>
        <v>#REF!</v>
      </c>
      <c r="H27" s="48" t="str">
        <f t="shared" si="106"/>
        <v>#REF!</v>
      </c>
      <c r="I27" s="48"/>
      <c r="J27" s="48"/>
      <c r="K27" s="48"/>
      <c r="L27" s="48"/>
      <c r="M27" s="49" t="str">
        <f t="shared" si="76"/>
        <v>#REF!</v>
      </c>
      <c r="N27" s="49" t="str">
        <f t="shared" si="77"/>
        <v>#REF!</v>
      </c>
      <c r="O27" s="49"/>
      <c r="P27" s="50" t="str">
        <f t="shared" si="78"/>
        <v>#REF!</v>
      </c>
      <c r="Q27" s="51" t="str">
        <f t="shared" si="79"/>
        <v>#REF!</v>
      </c>
      <c r="R27" s="51" t="str">
        <f t="shared" si="30"/>
        <v/>
      </c>
      <c r="S27" s="51" t="str">
        <f t="shared" si="31"/>
        <v/>
      </c>
      <c r="T27" s="51"/>
      <c r="U27" s="51"/>
      <c r="V27" s="48" t="str">
        <f t="shared" ref="V27:Y27" si="107">SUM(AX27,#REF!,#REF!,#REF!,#REF!,#REF!,#REF!,#REF!,#REF!,#REF!,#REF!,#REF!,#REF!,#REF!,#REF!)</f>
        <v>#REF!</v>
      </c>
      <c r="W27" s="48" t="str">
        <f t="shared" si="107"/>
        <v>#REF!</v>
      </c>
      <c r="X27" s="53" t="str">
        <f t="shared" si="107"/>
        <v>#REF!</v>
      </c>
      <c r="Y27" s="53" t="str">
        <f t="shared" si="107"/>
        <v>#REF!</v>
      </c>
      <c r="Z27" s="53"/>
      <c r="AA27" s="53"/>
      <c r="AB27" s="53"/>
      <c r="AC27" s="53"/>
      <c r="AD27" s="53"/>
      <c r="AE27" s="53" t="str">
        <f t="shared" si="108"/>
        <v>#REF!</v>
      </c>
      <c r="AF27" s="55" t="str">
        <f t="shared" si="13"/>
        <v/>
      </c>
      <c r="AG27" s="45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9"/>
      <c r="AT27" s="49"/>
      <c r="AU27" s="49"/>
      <c r="AV27" s="50"/>
      <c r="AW27" s="51"/>
      <c r="AX27" s="51"/>
      <c r="AY27" s="51"/>
      <c r="AZ27" s="51"/>
      <c r="BA27" s="51"/>
      <c r="BB27" s="48"/>
      <c r="BC27" s="48"/>
      <c r="BD27" s="53"/>
      <c r="BE27" s="53" t="str">
        <f t="shared" si="109"/>
        <v>#REF!</v>
      </c>
      <c r="BF27" s="53"/>
      <c r="BG27" s="53"/>
      <c r="BH27" s="53"/>
      <c r="BI27" s="53"/>
      <c r="BJ27" s="53"/>
      <c r="BK27" s="53" t="str">
        <f t="shared" si="110"/>
        <v>#REF!</v>
      </c>
      <c r="BL27" s="55" t="str">
        <f t="shared" si="20"/>
        <v/>
      </c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9"/>
      <c r="BZ27" s="49"/>
      <c r="CA27" s="49"/>
      <c r="CB27" s="50"/>
      <c r="CC27" s="51"/>
      <c r="CD27" s="51"/>
      <c r="CE27" s="51"/>
      <c r="CF27" s="51"/>
      <c r="CG27" s="51"/>
      <c r="CH27" s="48"/>
      <c r="CI27" s="48"/>
      <c r="CJ27" s="53"/>
      <c r="CK27" s="53" t="str">
        <f t="shared" si="111"/>
        <v>#REF!</v>
      </c>
      <c r="CL27" s="53"/>
      <c r="CM27" s="53"/>
      <c r="CN27" s="53"/>
      <c r="CO27" s="53"/>
      <c r="CP27" s="53"/>
      <c r="CQ27" s="53" t="str">
        <f t="shared" si="112"/>
        <v>#REF!</v>
      </c>
      <c r="CR27" s="55" t="str">
        <f t="shared" si="27"/>
        <v/>
      </c>
    </row>
    <row r="28" ht="15.75" hidden="1" customHeight="1" outlineLevel="1">
      <c r="A28" s="58">
        <f t="shared" si="105"/>
        <v>45638</v>
      </c>
      <c r="B28" s="48" t="str">
        <f t="shared" ref="B28:H28" si="113">SUM(AI28,#REF!,#REF!,#REF!,#REF!,#REF!,#REF!,#REF!,#REF!,#REF!,#REF!,#REF!,#REF!,BC28,#REF!)</f>
        <v>#REF!</v>
      </c>
      <c r="C28" s="48" t="str">
        <f t="shared" si="113"/>
        <v>#REF!</v>
      </c>
      <c r="D28" s="48" t="str">
        <f t="shared" si="113"/>
        <v>#REF!</v>
      </c>
      <c r="E28" s="48" t="str">
        <f t="shared" si="113"/>
        <v>#REF!</v>
      </c>
      <c r="F28" s="48" t="str">
        <f t="shared" si="113"/>
        <v>#REF!</v>
      </c>
      <c r="G28" s="48" t="str">
        <f t="shared" si="113"/>
        <v>#REF!</v>
      </c>
      <c r="H28" s="48" t="str">
        <f t="shared" si="113"/>
        <v>#REF!</v>
      </c>
      <c r="I28" s="48"/>
      <c r="J28" s="48"/>
      <c r="K28" s="48"/>
      <c r="L28" s="48"/>
      <c r="M28" s="49" t="str">
        <f t="shared" si="76"/>
        <v>#REF!</v>
      </c>
      <c r="N28" s="49" t="str">
        <f t="shared" si="77"/>
        <v>#REF!</v>
      </c>
      <c r="O28" s="49"/>
      <c r="P28" s="50" t="str">
        <f t="shared" si="78"/>
        <v>#REF!</v>
      </c>
      <c r="Q28" s="51" t="str">
        <f t="shared" si="79"/>
        <v>#REF!</v>
      </c>
      <c r="R28" s="51" t="str">
        <f t="shared" si="30"/>
        <v/>
      </c>
      <c r="S28" s="51" t="str">
        <f t="shared" si="31"/>
        <v/>
      </c>
      <c r="T28" s="51"/>
      <c r="U28" s="51"/>
      <c r="V28" s="48" t="str">
        <f t="shared" ref="V28:Y28" si="114">SUM(AX28,#REF!,#REF!,#REF!,#REF!,#REF!,#REF!,#REF!,#REF!,#REF!,#REF!,#REF!,#REF!,#REF!,#REF!)</f>
        <v>#REF!</v>
      </c>
      <c r="W28" s="48" t="str">
        <f t="shared" si="114"/>
        <v>#REF!</v>
      </c>
      <c r="X28" s="53" t="str">
        <f t="shared" si="114"/>
        <v>#REF!</v>
      </c>
      <c r="Y28" s="53" t="str">
        <f t="shared" si="114"/>
        <v>#REF!</v>
      </c>
      <c r="Z28" s="53"/>
      <c r="AA28" s="53"/>
      <c r="AB28" s="53"/>
      <c r="AC28" s="53"/>
      <c r="AD28" s="53"/>
      <c r="AE28" s="53" t="str">
        <f t="shared" si="108"/>
        <v>#REF!</v>
      </c>
      <c r="AF28" s="55" t="str">
        <f t="shared" si="13"/>
        <v/>
      </c>
      <c r="AG28" s="45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9"/>
      <c r="AT28" s="49"/>
      <c r="AU28" s="49"/>
      <c r="AV28" s="50"/>
      <c r="AW28" s="51"/>
      <c r="AX28" s="51"/>
      <c r="AY28" s="51"/>
      <c r="AZ28" s="51"/>
      <c r="BA28" s="51"/>
      <c r="BB28" s="48"/>
      <c r="BC28" s="48"/>
      <c r="BD28" s="53"/>
      <c r="BE28" s="53" t="str">
        <f t="shared" si="109"/>
        <v>#REF!</v>
      </c>
      <c r="BF28" s="53"/>
      <c r="BG28" s="53"/>
      <c r="BH28" s="53"/>
      <c r="BI28" s="53"/>
      <c r="BJ28" s="53"/>
      <c r="BK28" s="53" t="str">
        <f t="shared" si="110"/>
        <v>#REF!</v>
      </c>
      <c r="BL28" s="55" t="str">
        <f t="shared" si="20"/>
        <v/>
      </c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9"/>
      <c r="BZ28" s="49"/>
      <c r="CA28" s="49"/>
      <c r="CB28" s="50"/>
      <c r="CC28" s="51"/>
      <c r="CD28" s="51"/>
      <c r="CE28" s="51"/>
      <c r="CF28" s="51"/>
      <c r="CG28" s="51"/>
      <c r="CH28" s="48"/>
      <c r="CI28" s="48"/>
      <c r="CJ28" s="53"/>
      <c r="CK28" s="53" t="str">
        <f t="shared" si="111"/>
        <v>#REF!</v>
      </c>
      <c r="CL28" s="53"/>
      <c r="CM28" s="53"/>
      <c r="CN28" s="53"/>
      <c r="CO28" s="53"/>
      <c r="CP28" s="53"/>
      <c r="CQ28" s="53" t="str">
        <f t="shared" si="112"/>
        <v>#REF!</v>
      </c>
      <c r="CR28" s="55" t="str">
        <f t="shared" si="27"/>
        <v/>
      </c>
    </row>
    <row r="29" ht="15.75" hidden="1" customHeight="1" outlineLevel="1">
      <c r="A29" s="58">
        <f t="shared" si="105"/>
        <v>45637</v>
      </c>
      <c r="B29" s="48" t="str">
        <f t="shared" ref="B29:H29" si="115">SUM(AI29,#REF!,#REF!,#REF!,#REF!,#REF!,#REF!,#REF!,#REF!,#REF!,#REF!,#REF!,#REF!,BC29,#REF!)</f>
        <v>#REF!</v>
      </c>
      <c r="C29" s="48" t="str">
        <f t="shared" si="115"/>
        <v>#REF!</v>
      </c>
      <c r="D29" s="48" t="str">
        <f t="shared" si="115"/>
        <v>#REF!</v>
      </c>
      <c r="E29" s="48" t="str">
        <f t="shared" si="115"/>
        <v>#REF!</v>
      </c>
      <c r="F29" s="48" t="str">
        <f t="shared" si="115"/>
        <v>#REF!</v>
      </c>
      <c r="G29" s="48" t="str">
        <f t="shared" si="115"/>
        <v>#REF!</v>
      </c>
      <c r="H29" s="48" t="str">
        <f t="shared" si="115"/>
        <v>#REF!</v>
      </c>
      <c r="I29" s="48"/>
      <c r="J29" s="48"/>
      <c r="K29" s="48"/>
      <c r="L29" s="48"/>
      <c r="M29" s="49" t="str">
        <f t="shared" si="76"/>
        <v>#REF!</v>
      </c>
      <c r="N29" s="49" t="str">
        <f t="shared" si="77"/>
        <v>#REF!</v>
      </c>
      <c r="O29" s="49"/>
      <c r="P29" s="50" t="str">
        <f t="shared" si="78"/>
        <v>#REF!</v>
      </c>
      <c r="Q29" s="51" t="str">
        <f t="shared" si="79"/>
        <v>#REF!</v>
      </c>
      <c r="R29" s="51" t="str">
        <f t="shared" si="30"/>
        <v/>
      </c>
      <c r="S29" s="51" t="str">
        <f t="shared" si="31"/>
        <v/>
      </c>
      <c r="T29" s="51"/>
      <c r="U29" s="51"/>
      <c r="V29" s="48" t="str">
        <f t="shared" ref="V29:Y29" si="116">SUM(AX29,#REF!,#REF!,#REF!,#REF!,#REF!,#REF!,#REF!,#REF!,#REF!,#REF!,#REF!,#REF!,#REF!,#REF!)</f>
        <v>#REF!</v>
      </c>
      <c r="W29" s="48" t="str">
        <f t="shared" si="116"/>
        <v>#REF!</v>
      </c>
      <c r="X29" s="53" t="str">
        <f t="shared" si="116"/>
        <v>#REF!</v>
      </c>
      <c r="Y29" s="53" t="str">
        <f t="shared" si="116"/>
        <v>#REF!</v>
      </c>
      <c r="Z29" s="53"/>
      <c r="AA29" s="53"/>
      <c r="AB29" s="53"/>
      <c r="AC29" s="53"/>
      <c r="AD29" s="53"/>
      <c r="AE29" s="53" t="str">
        <f t="shared" si="108"/>
        <v>#REF!</v>
      </c>
      <c r="AF29" s="55" t="str">
        <f t="shared" si="13"/>
        <v/>
      </c>
      <c r="AG29" s="45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9"/>
      <c r="AT29" s="49"/>
      <c r="AU29" s="49"/>
      <c r="AV29" s="50"/>
      <c r="AW29" s="51"/>
      <c r="AX29" s="51"/>
      <c r="AY29" s="51"/>
      <c r="AZ29" s="51"/>
      <c r="BA29" s="51"/>
      <c r="BB29" s="48"/>
      <c r="BC29" s="48"/>
      <c r="BD29" s="53"/>
      <c r="BE29" s="53" t="str">
        <f t="shared" si="109"/>
        <v>#REF!</v>
      </c>
      <c r="BF29" s="53"/>
      <c r="BG29" s="53"/>
      <c r="BH29" s="53"/>
      <c r="BI29" s="53"/>
      <c r="BJ29" s="53"/>
      <c r="BK29" s="53" t="str">
        <f t="shared" si="110"/>
        <v>#REF!</v>
      </c>
      <c r="BL29" s="55" t="str">
        <f t="shared" si="20"/>
        <v/>
      </c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9"/>
      <c r="BZ29" s="49"/>
      <c r="CA29" s="49"/>
      <c r="CB29" s="50"/>
      <c r="CC29" s="51"/>
      <c r="CD29" s="51"/>
      <c r="CE29" s="51"/>
      <c r="CF29" s="51"/>
      <c r="CG29" s="51"/>
      <c r="CH29" s="48"/>
      <c r="CI29" s="48"/>
      <c r="CJ29" s="53"/>
      <c r="CK29" s="53" t="str">
        <f t="shared" si="111"/>
        <v>#REF!</v>
      </c>
      <c r="CL29" s="53"/>
      <c r="CM29" s="53"/>
      <c r="CN29" s="53"/>
      <c r="CO29" s="53"/>
      <c r="CP29" s="53"/>
      <c r="CQ29" s="53" t="str">
        <f t="shared" si="112"/>
        <v>#REF!</v>
      </c>
      <c r="CR29" s="55" t="str">
        <f t="shared" si="27"/>
        <v/>
      </c>
    </row>
    <row r="30" ht="15.75" hidden="1" customHeight="1" outlineLevel="1">
      <c r="A30" s="58">
        <f t="shared" si="105"/>
        <v>45636</v>
      </c>
      <c r="B30" s="48" t="str">
        <f t="shared" ref="B30:H30" si="117">SUM(AI30,#REF!,#REF!,#REF!,#REF!,#REF!,#REF!,#REF!,#REF!,#REF!,#REF!,#REF!,#REF!,BC30,#REF!)</f>
        <v>#REF!</v>
      </c>
      <c r="C30" s="48" t="str">
        <f t="shared" si="117"/>
        <v>#REF!</v>
      </c>
      <c r="D30" s="48" t="str">
        <f t="shared" si="117"/>
        <v>#REF!</v>
      </c>
      <c r="E30" s="48" t="str">
        <f t="shared" si="117"/>
        <v>#REF!</v>
      </c>
      <c r="F30" s="48" t="str">
        <f t="shared" si="117"/>
        <v>#REF!</v>
      </c>
      <c r="G30" s="48" t="str">
        <f t="shared" si="117"/>
        <v>#REF!</v>
      </c>
      <c r="H30" s="48" t="str">
        <f t="shared" si="117"/>
        <v>#REF!</v>
      </c>
      <c r="I30" s="48"/>
      <c r="J30" s="48"/>
      <c r="K30" s="48"/>
      <c r="L30" s="48"/>
      <c r="M30" s="49" t="str">
        <f t="shared" si="76"/>
        <v>#REF!</v>
      </c>
      <c r="N30" s="49" t="str">
        <f t="shared" si="77"/>
        <v>#REF!</v>
      </c>
      <c r="O30" s="49"/>
      <c r="P30" s="50" t="str">
        <f t="shared" si="78"/>
        <v>#REF!</v>
      </c>
      <c r="Q30" s="51" t="str">
        <f t="shared" si="79"/>
        <v>#REF!</v>
      </c>
      <c r="R30" s="51" t="str">
        <f t="shared" si="30"/>
        <v/>
      </c>
      <c r="S30" s="51" t="str">
        <f t="shared" si="31"/>
        <v/>
      </c>
      <c r="T30" s="51"/>
      <c r="U30" s="51"/>
      <c r="V30" s="48" t="str">
        <f t="shared" ref="V30:Y30" si="118">SUM(AX30,#REF!,#REF!,#REF!,#REF!,#REF!,#REF!,#REF!,#REF!,#REF!,#REF!,#REF!,#REF!,#REF!,#REF!)</f>
        <v>#REF!</v>
      </c>
      <c r="W30" s="48" t="str">
        <f t="shared" si="118"/>
        <v>#REF!</v>
      </c>
      <c r="X30" s="53" t="str">
        <f t="shared" si="118"/>
        <v>#REF!</v>
      </c>
      <c r="Y30" s="53" t="str">
        <f t="shared" si="118"/>
        <v>#REF!</v>
      </c>
      <c r="Z30" s="53"/>
      <c r="AA30" s="53"/>
      <c r="AB30" s="53"/>
      <c r="AC30" s="53"/>
      <c r="AD30" s="53"/>
      <c r="AE30" s="53" t="str">
        <f t="shared" si="108"/>
        <v>#REF!</v>
      </c>
      <c r="AF30" s="55" t="str">
        <f t="shared" si="13"/>
        <v/>
      </c>
      <c r="AG30" s="45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9"/>
      <c r="AT30" s="49"/>
      <c r="AU30" s="49"/>
      <c r="AV30" s="50"/>
      <c r="AW30" s="51"/>
      <c r="AX30" s="51"/>
      <c r="AY30" s="51"/>
      <c r="AZ30" s="51"/>
      <c r="BA30" s="51"/>
      <c r="BB30" s="48"/>
      <c r="BC30" s="48"/>
      <c r="BD30" s="53"/>
      <c r="BE30" s="53" t="str">
        <f t="shared" si="109"/>
        <v>#REF!</v>
      </c>
      <c r="BF30" s="53"/>
      <c r="BG30" s="53"/>
      <c r="BH30" s="53"/>
      <c r="BI30" s="53"/>
      <c r="BJ30" s="53"/>
      <c r="BK30" s="53" t="str">
        <f t="shared" si="110"/>
        <v>#REF!</v>
      </c>
      <c r="BL30" s="55" t="str">
        <f t="shared" si="20"/>
        <v/>
      </c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9"/>
      <c r="BZ30" s="49"/>
      <c r="CA30" s="49"/>
      <c r="CB30" s="50"/>
      <c r="CC30" s="51"/>
      <c r="CD30" s="51"/>
      <c r="CE30" s="51"/>
      <c r="CF30" s="51"/>
      <c r="CG30" s="51"/>
      <c r="CH30" s="48"/>
      <c r="CI30" s="48"/>
      <c r="CJ30" s="53"/>
      <c r="CK30" s="53" t="str">
        <f t="shared" si="111"/>
        <v>#REF!</v>
      </c>
      <c r="CL30" s="53"/>
      <c r="CM30" s="53"/>
      <c r="CN30" s="53"/>
      <c r="CO30" s="53"/>
      <c r="CP30" s="53"/>
      <c r="CQ30" s="53" t="str">
        <f t="shared" si="112"/>
        <v>#REF!</v>
      </c>
      <c r="CR30" s="55" t="str">
        <f t="shared" si="27"/>
        <v/>
      </c>
    </row>
    <row r="31" ht="15.75" hidden="1" customHeight="1" outlineLevel="1">
      <c r="A31" s="59">
        <f t="shared" si="105"/>
        <v>45635</v>
      </c>
      <c r="B31" s="48" t="str">
        <f t="shared" ref="B31:H31" si="119">SUM(AI31,#REF!,#REF!,#REF!,#REF!,#REF!,#REF!,#REF!,#REF!,#REF!,#REF!,#REF!,#REF!,BC31,#REF!)</f>
        <v>#REF!</v>
      </c>
      <c r="C31" s="48" t="str">
        <f t="shared" si="119"/>
        <v>#REF!</v>
      </c>
      <c r="D31" s="48" t="str">
        <f t="shared" si="119"/>
        <v>#REF!</v>
      </c>
      <c r="E31" s="48" t="str">
        <f t="shared" si="119"/>
        <v>#REF!</v>
      </c>
      <c r="F31" s="48" t="str">
        <f t="shared" si="119"/>
        <v>#REF!</v>
      </c>
      <c r="G31" s="48" t="str">
        <f t="shared" si="119"/>
        <v>#REF!</v>
      </c>
      <c r="H31" s="48" t="str">
        <f t="shared" si="119"/>
        <v>#REF!</v>
      </c>
      <c r="I31" s="48"/>
      <c r="J31" s="48"/>
      <c r="K31" s="48"/>
      <c r="L31" s="48"/>
      <c r="M31" s="49" t="str">
        <f t="shared" si="76"/>
        <v>#REF!</v>
      </c>
      <c r="N31" s="49" t="str">
        <f t="shared" si="77"/>
        <v>#REF!</v>
      </c>
      <c r="O31" s="49"/>
      <c r="P31" s="50" t="str">
        <f t="shared" si="78"/>
        <v>#REF!</v>
      </c>
      <c r="Q31" s="51" t="str">
        <f t="shared" si="79"/>
        <v>#REF!</v>
      </c>
      <c r="R31" s="51" t="str">
        <f t="shared" si="30"/>
        <v/>
      </c>
      <c r="S31" s="51" t="str">
        <f t="shared" si="31"/>
        <v/>
      </c>
      <c r="T31" s="51"/>
      <c r="U31" s="51"/>
      <c r="V31" s="48" t="str">
        <f t="shared" ref="V31:Y31" si="120">SUM(AX31,#REF!,#REF!,#REF!,#REF!,#REF!,#REF!,#REF!,#REF!,#REF!,#REF!,#REF!,#REF!,#REF!,#REF!)</f>
        <v>#REF!</v>
      </c>
      <c r="W31" s="48" t="str">
        <f t="shared" si="120"/>
        <v>#REF!</v>
      </c>
      <c r="X31" s="53" t="str">
        <f t="shared" si="120"/>
        <v>#REF!</v>
      </c>
      <c r="Y31" s="53" t="str">
        <f t="shared" si="120"/>
        <v>#REF!</v>
      </c>
      <c r="Z31" s="53"/>
      <c r="AA31" s="53"/>
      <c r="AB31" s="53"/>
      <c r="AC31" s="53"/>
      <c r="AD31" s="53"/>
      <c r="AE31" s="53" t="str">
        <f t="shared" si="108"/>
        <v>#REF!</v>
      </c>
      <c r="AF31" s="55" t="str">
        <f t="shared" si="13"/>
        <v/>
      </c>
      <c r="AG31" s="45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9"/>
      <c r="AT31" s="49"/>
      <c r="AU31" s="49"/>
      <c r="AV31" s="50"/>
      <c r="AW31" s="51"/>
      <c r="AX31" s="51"/>
      <c r="AY31" s="51"/>
      <c r="AZ31" s="51"/>
      <c r="BA31" s="51"/>
      <c r="BB31" s="48"/>
      <c r="BC31" s="48"/>
      <c r="BD31" s="53"/>
      <c r="BE31" s="53" t="str">
        <f t="shared" si="109"/>
        <v>#REF!</v>
      </c>
      <c r="BF31" s="53"/>
      <c r="BG31" s="53"/>
      <c r="BH31" s="53"/>
      <c r="BI31" s="53"/>
      <c r="BJ31" s="53"/>
      <c r="BK31" s="53" t="str">
        <f t="shared" si="110"/>
        <v>#REF!</v>
      </c>
      <c r="BL31" s="55" t="str">
        <f t="shared" si="20"/>
        <v/>
      </c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9"/>
      <c r="BZ31" s="49"/>
      <c r="CA31" s="49"/>
      <c r="CB31" s="50"/>
      <c r="CC31" s="51"/>
      <c r="CD31" s="51"/>
      <c r="CE31" s="51"/>
      <c r="CF31" s="51"/>
      <c r="CG31" s="51"/>
      <c r="CH31" s="48"/>
      <c r="CI31" s="48"/>
      <c r="CJ31" s="53"/>
      <c r="CK31" s="53" t="str">
        <f t="shared" si="111"/>
        <v>#REF!</v>
      </c>
      <c r="CL31" s="53"/>
      <c r="CM31" s="53"/>
      <c r="CN31" s="53"/>
      <c r="CO31" s="53"/>
      <c r="CP31" s="53"/>
      <c r="CQ31" s="53" t="str">
        <f t="shared" si="112"/>
        <v>#REF!</v>
      </c>
      <c r="CR31" s="55" t="str">
        <f t="shared" si="27"/>
        <v/>
      </c>
    </row>
    <row r="32" ht="15.75" hidden="1" customHeight="1" outlineLevel="1">
      <c r="A32" s="59">
        <f>A34+1</f>
        <v>45634</v>
      </c>
      <c r="B32" s="48" t="str">
        <f t="shared" ref="B32:H32" si="121">SUM(AI32,#REF!,#REF!,#REF!,#REF!,#REF!,#REF!,#REF!,#REF!,#REF!,#REF!,#REF!,#REF!,BC32,#REF!)</f>
        <v>#REF!</v>
      </c>
      <c r="C32" s="48" t="str">
        <f t="shared" si="121"/>
        <v>#REF!</v>
      </c>
      <c r="D32" s="48" t="str">
        <f t="shared" si="121"/>
        <v>#REF!</v>
      </c>
      <c r="E32" s="48" t="str">
        <f t="shared" si="121"/>
        <v>#REF!</v>
      </c>
      <c r="F32" s="48" t="str">
        <f t="shared" si="121"/>
        <v>#REF!</v>
      </c>
      <c r="G32" s="48" t="str">
        <f t="shared" si="121"/>
        <v>#REF!</v>
      </c>
      <c r="H32" s="48" t="str">
        <f t="shared" si="121"/>
        <v>#REF!</v>
      </c>
      <c r="I32" s="48"/>
      <c r="J32" s="48"/>
      <c r="K32" s="48"/>
      <c r="L32" s="48"/>
      <c r="M32" s="49" t="str">
        <f t="shared" si="76"/>
        <v>#REF!</v>
      </c>
      <c r="N32" s="49" t="str">
        <f t="shared" si="77"/>
        <v>#REF!</v>
      </c>
      <c r="O32" s="49"/>
      <c r="P32" s="50" t="str">
        <f t="shared" si="78"/>
        <v>#REF!</v>
      </c>
      <c r="Q32" s="51" t="str">
        <f t="shared" si="79"/>
        <v>#REF!</v>
      </c>
      <c r="R32" s="51" t="str">
        <f t="shared" si="30"/>
        <v/>
      </c>
      <c r="S32" s="51" t="str">
        <f t="shared" si="31"/>
        <v/>
      </c>
      <c r="T32" s="51"/>
      <c r="U32" s="51"/>
      <c r="V32" s="48" t="str">
        <f t="shared" ref="V32:Y32" si="122">SUM(AX32,#REF!,#REF!,#REF!,#REF!,#REF!,#REF!,#REF!,#REF!,#REF!,#REF!,#REF!,#REF!,#REF!,#REF!)</f>
        <v>#REF!</v>
      </c>
      <c r="W32" s="48" t="str">
        <f t="shared" si="122"/>
        <v>#REF!</v>
      </c>
      <c r="X32" s="53" t="str">
        <f t="shared" si="122"/>
        <v>#REF!</v>
      </c>
      <c r="Y32" s="53" t="str">
        <f t="shared" si="122"/>
        <v>#REF!</v>
      </c>
      <c r="Z32" s="53"/>
      <c r="AA32" s="53"/>
      <c r="AB32" s="53"/>
      <c r="AC32" s="53"/>
      <c r="AD32" s="53"/>
      <c r="AE32" s="53" t="str">
        <f t="shared" si="108"/>
        <v>#REF!</v>
      </c>
      <c r="AF32" s="55" t="str">
        <f t="shared" si="13"/>
        <v/>
      </c>
      <c r="AG32" s="45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9"/>
      <c r="AT32" s="49"/>
      <c r="AU32" s="49"/>
      <c r="AV32" s="50"/>
      <c r="AW32" s="51"/>
      <c r="AX32" s="51"/>
      <c r="AY32" s="51"/>
      <c r="AZ32" s="51"/>
      <c r="BA32" s="51"/>
      <c r="BB32" s="48"/>
      <c r="BC32" s="48"/>
      <c r="BD32" s="53"/>
      <c r="BE32" s="53" t="str">
        <f t="shared" si="109"/>
        <v>#REF!</v>
      </c>
      <c r="BF32" s="53"/>
      <c r="BG32" s="53"/>
      <c r="BH32" s="53"/>
      <c r="BI32" s="53"/>
      <c r="BJ32" s="53"/>
      <c r="BK32" s="53" t="str">
        <f t="shared" si="110"/>
        <v>#REF!</v>
      </c>
      <c r="BL32" s="55" t="str">
        <f t="shared" si="20"/>
        <v/>
      </c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9"/>
      <c r="BZ32" s="49"/>
      <c r="CA32" s="49"/>
      <c r="CB32" s="50"/>
      <c r="CC32" s="51"/>
      <c r="CD32" s="51"/>
      <c r="CE32" s="51"/>
      <c r="CF32" s="51"/>
      <c r="CG32" s="51"/>
      <c r="CH32" s="48"/>
      <c r="CI32" s="48"/>
      <c r="CJ32" s="53"/>
      <c r="CK32" s="53" t="str">
        <f t="shared" si="111"/>
        <v>#REF!</v>
      </c>
      <c r="CL32" s="53"/>
      <c r="CM32" s="53"/>
      <c r="CN32" s="53"/>
      <c r="CO32" s="53"/>
      <c r="CP32" s="53"/>
      <c r="CQ32" s="53" t="str">
        <f t="shared" si="112"/>
        <v>#REF!</v>
      </c>
      <c r="CR32" s="55" t="str">
        <f t="shared" si="27"/>
        <v/>
      </c>
    </row>
    <row r="33" ht="15.75" customHeight="1" collapsed="1">
      <c r="A33" s="38" t="s">
        <v>42</v>
      </c>
      <c r="B33" s="39" t="str">
        <f t="shared" ref="B33:H33" si="123">SUM(B34:B40)</f>
        <v>#REF!</v>
      </c>
      <c r="C33" s="39" t="str">
        <f t="shared" si="123"/>
        <v>#REF!</v>
      </c>
      <c r="D33" s="39" t="str">
        <f t="shared" si="123"/>
        <v>#REF!</v>
      </c>
      <c r="E33" s="39" t="str">
        <f t="shared" si="123"/>
        <v>#REF!</v>
      </c>
      <c r="F33" s="39" t="str">
        <f t="shared" si="123"/>
        <v>#REF!</v>
      </c>
      <c r="G33" s="39" t="str">
        <f t="shared" si="123"/>
        <v>#REF!</v>
      </c>
      <c r="H33" s="39" t="str">
        <f t="shared" si="123"/>
        <v>#REF!</v>
      </c>
      <c r="I33" s="39"/>
      <c r="J33" s="39"/>
      <c r="K33" s="39"/>
      <c r="L33" s="39"/>
      <c r="M33" s="40" t="str">
        <f t="shared" si="76"/>
        <v>#REF!</v>
      </c>
      <c r="N33" s="40" t="str">
        <f t="shared" si="77"/>
        <v>#REF!</v>
      </c>
      <c r="O33" s="40" t="str">
        <f>IFERROR(X33/D33,"")</f>
        <v/>
      </c>
      <c r="P33" s="41" t="str">
        <f t="shared" si="78"/>
        <v>#REF!</v>
      </c>
      <c r="Q33" s="42" t="str">
        <f t="shared" si="79"/>
        <v>#REF!</v>
      </c>
      <c r="R33" s="42" t="str">
        <f t="shared" si="30"/>
        <v/>
      </c>
      <c r="S33" s="42" t="str">
        <f t="shared" si="31"/>
        <v/>
      </c>
      <c r="T33" s="42"/>
      <c r="U33" s="42"/>
      <c r="V33" s="39" t="str">
        <f t="shared" ref="V33:Y33" si="124">SUM(V34:V40)</f>
        <v>#REF!</v>
      </c>
      <c r="W33" s="39">
        <f t="shared" si="124"/>
        <v>0</v>
      </c>
      <c r="X33" s="43" t="str">
        <f t="shared" si="124"/>
        <v>#REF!</v>
      </c>
      <c r="Y33" s="43" t="str">
        <f t="shared" si="124"/>
        <v>#REF!</v>
      </c>
      <c r="Z33" s="43"/>
      <c r="AA33" s="43"/>
      <c r="AB33" s="43"/>
      <c r="AC33" s="43"/>
      <c r="AD33" s="43"/>
      <c r="AE33" s="43" t="str">
        <f>SUM(AE34:AE40)</f>
        <v>#REF!</v>
      </c>
      <c r="AF33" s="44" t="str">
        <f t="shared" si="13"/>
        <v/>
      </c>
      <c r="AG33" s="45"/>
      <c r="AH33" s="39">
        <f t="shared" ref="AH33:AN33" si="125">SUM(AH34:AH40)</f>
        <v>0</v>
      </c>
      <c r="AI33" s="39">
        <f t="shared" si="125"/>
        <v>0</v>
      </c>
      <c r="AJ33" s="39">
        <f t="shared" si="125"/>
        <v>0</v>
      </c>
      <c r="AK33" s="39">
        <f t="shared" si="125"/>
        <v>0</v>
      </c>
      <c r="AL33" s="39">
        <f t="shared" si="125"/>
        <v>0</v>
      </c>
      <c r="AM33" s="39">
        <f t="shared" si="125"/>
        <v>0</v>
      </c>
      <c r="AN33" s="39">
        <f t="shared" si="125"/>
        <v>0</v>
      </c>
      <c r="AO33" s="39"/>
      <c r="AP33" s="39"/>
      <c r="AQ33" s="39"/>
      <c r="AR33" s="39"/>
      <c r="AS33" s="40" t="str">
        <f>BD33/AH33</f>
        <v>#DIV/0!</v>
      </c>
      <c r="AT33" s="40" t="str">
        <f>BD33/AI33</f>
        <v>#DIV/0!</v>
      </c>
      <c r="AU33" s="40" t="str">
        <f>IFERROR(BD33/AJ33,"")</f>
        <v/>
      </c>
      <c r="AV33" s="41" t="str">
        <f>BD33/AK33</f>
        <v>#DIV/0!</v>
      </c>
      <c r="AW33" s="42" t="str">
        <f>BD33/AL33</f>
        <v>#DIV/0!</v>
      </c>
      <c r="AX33" s="42" t="str">
        <f>IFERROR(BD33/AM33,"")</f>
        <v/>
      </c>
      <c r="AY33" s="42" t="str">
        <f>IFERROR(BD33/AN33,"")</f>
        <v/>
      </c>
      <c r="AZ33" s="42"/>
      <c r="BA33" s="42"/>
      <c r="BB33" s="39">
        <f t="shared" ref="BB33:BE33" si="126">SUM(BB34:BB40)</f>
        <v>0</v>
      </c>
      <c r="BC33" s="39">
        <f t="shared" si="126"/>
        <v>0</v>
      </c>
      <c r="BD33" s="43">
        <f t="shared" si="126"/>
        <v>0</v>
      </c>
      <c r="BE33" s="43">
        <f t="shared" si="126"/>
        <v>15</v>
      </c>
      <c r="BF33" s="43"/>
      <c r="BG33" s="43"/>
      <c r="BH33" s="43"/>
      <c r="BI33" s="43"/>
      <c r="BJ33" s="43"/>
      <c r="BK33" s="43">
        <f>SUM(BK34:BK40)</f>
        <v>0</v>
      </c>
      <c r="BL33" s="44" t="str">
        <f t="shared" si="20"/>
        <v/>
      </c>
      <c r="BM33" s="46"/>
      <c r="BN33" s="39">
        <f t="shared" ref="BN33:BT33" si="127">SUM(BN34:BN40)</f>
        <v>0</v>
      </c>
      <c r="BO33" s="39">
        <f t="shared" si="127"/>
        <v>0</v>
      </c>
      <c r="BP33" s="39">
        <f t="shared" si="127"/>
        <v>0</v>
      </c>
      <c r="BQ33" s="39">
        <f t="shared" si="127"/>
        <v>0</v>
      </c>
      <c r="BR33" s="39">
        <f t="shared" si="127"/>
        <v>0</v>
      </c>
      <c r="BS33" s="39">
        <f t="shared" si="127"/>
        <v>0</v>
      </c>
      <c r="BT33" s="39">
        <f t="shared" si="127"/>
        <v>0</v>
      </c>
      <c r="BU33" s="39"/>
      <c r="BV33" s="39"/>
      <c r="BW33" s="39"/>
      <c r="BX33" s="39"/>
      <c r="BY33" s="40" t="str">
        <f>CJ33/BN33</f>
        <v>#DIV/0!</v>
      </c>
      <c r="BZ33" s="40" t="str">
        <f>CJ33/BO33</f>
        <v>#DIV/0!</v>
      </c>
      <c r="CA33" s="40" t="str">
        <f>IFERROR(CJ33/BP33,"")</f>
        <v/>
      </c>
      <c r="CB33" s="41" t="str">
        <f>CJ33/BQ33</f>
        <v>#DIV/0!</v>
      </c>
      <c r="CC33" s="42" t="str">
        <f>CJ33/BR33</f>
        <v>#DIV/0!</v>
      </c>
      <c r="CD33" s="42" t="str">
        <f>IFERROR(CJ33/BS33,"")</f>
        <v/>
      </c>
      <c r="CE33" s="42" t="str">
        <f>IFERROR(CJ33/BT33,"")</f>
        <v/>
      </c>
      <c r="CF33" s="42"/>
      <c r="CG33" s="42"/>
      <c r="CH33" s="39">
        <f t="shared" ref="CH33:CK33" si="128">SUM(CH34:CH40)</f>
        <v>0</v>
      </c>
      <c r="CI33" s="39">
        <f t="shared" si="128"/>
        <v>0</v>
      </c>
      <c r="CJ33" s="43">
        <f t="shared" si="128"/>
        <v>0</v>
      </c>
      <c r="CK33" s="43">
        <f t="shared" si="128"/>
        <v>15</v>
      </c>
      <c r="CL33" s="43"/>
      <c r="CM33" s="43"/>
      <c r="CN33" s="43"/>
      <c r="CO33" s="43"/>
      <c r="CP33" s="43"/>
      <c r="CQ33" s="43">
        <f>SUM(CQ34:CQ40)</f>
        <v>0</v>
      </c>
      <c r="CR33" s="44" t="str">
        <f t="shared" si="27"/>
        <v/>
      </c>
    </row>
    <row r="34" ht="15.75" hidden="1" customHeight="1" outlineLevel="1">
      <c r="A34" s="59">
        <f t="shared" ref="A34:A39" si="133">A35+1</f>
        <v>45633</v>
      </c>
      <c r="B34" s="48" t="str">
        <f t="shared" ref="B34:H34" si="129">SUM(AI34,#REF!,#REF!,#REF!,#REF!,#REF!,#REF!,#REF!,#REF!,#REF!,#REF!,#REF!,#REF!,BC34,#REF!)</f>
        <v>#REF!</v>
      </c>
      <c r="C34" s="48" t="str">
        <f t="shared" si="129"/>
        <v>#REF!</v>
      </c>
      <c r="D34" s="48" t="str">
        <f t="shared" si="129"/>
        <v>#REF!</v>
      </c>
      <c r="E34" s="48" t="str">
        <f t="shared" si="129"/>
        <v>#REF!</v>
      </c>
      <c r="F34" s="48" t="str">
        <f t="shared" si="129"/>
        <v>#REF!</v>
      </c>
      <c r="G34" s="48" t="str">
        <f t="shared" si="129"/>
        <v>#REF!</v>
      </c>
      <c r="H34" s="48" t="str">
        <f t="shared" si="129"/>
        <v>#REF!</v>
      </c>
      <c r="I34" s="48"/>
      <c r="J34" s="48"/>
      <c r="K34" s="48"/>
      <c r="L34" s="48"/>
      <c r="M34" s="49" t="str">
        <f t="shared" si="76"/>
        <v>#REF!</v>
      </c>
      <c r="N34" s="49" t="str">
        <f t="shared" si="77"/>
        <v>#REF!</v>
      </c>
      <c r="O34" s="49"/>
      <c r="P34" s="50" t="str">
        <f t="shared" si="78"/>
        <v>#REF!</v>
      </c>
      <c r="Q34" s="51" t="str">
        <f t="shared" si="79"/>
        <v>#REF!</v>
      </c>
      <c r="R34" s="51" t="str">
        <f t="shared" si="30"/>
        <v/>
      </c>
      <c r="S34" s="51" t="str">
        <f t="shared" si="31"/>
        <v/>
      </c>
      <c r="T34" s="51"/>
      <c r="U34" s="51"/>
      <c r="V34" s="48" t="str">
        <f t="shared" ref="V34:V40" si="135">SUM(AX34,#REF!,#REF!,#REF!,#REF!,#REF!,#REF!,#REF!,#REF!,#REF!,#REF!,#REF!,#REF!,#REF!,#REF!)</f>
        <v>#REF!</v>
      </c>
      <c r="W34" s="53"/>
      <c r="X34" s="53" t="str">
        <f t="shared" ref="X34:Y34" si="130">SUM(AZ34,#REF!,#REF!,#REF!,#REF!,#REF!,#REF!,#REF!,#REF!,#REF!,#REF!,#REF!,#REF!,#REF!,#REF!)</f>
        <v>#REF!</v>
      </c>
      <c r="Y34" s="53" t="str">
        <f t="shared" si="130"/>
        <v>#REF!</v>
      </c>
      <c r="Z34" s="53"/>
      <c r="AA34" s="53"/>
      <c r="AB34" s="53"/>
      <c r="AC34" s="53"/>
      <c r="AD34" s="53"/>
      <c r="AE34" s="53" t="str">
        <f t="shared" ref="AE34:AE40" si="137">SUM(BB34,#REF!,#REF!,#REF!,#REF!,#REF!,#REF!,#REF!,#REF!,#REF!,#REF!,#REF!,#REF!,#REF!,#REF!)</f>
        <v>#REF!</v>
      </c>
      <c r="AF34" s="55" t="str">
        <f t="shared" si="13"/>
        <v/>
      </c>
      <c r="AG34" s="27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9"/>
      <c r="AT34" s="49"/>
      <c r="AU34" s="49"/>
      <c r="AV34" s="50"/>
      <c r="AW34" s="51"/>
      <c r="AX34" s="51"/>
      <c r="AY34" s="51"/>
      <c r="AZ34" s="51"/>
      <c r="BA34" s="51"/>
      <c r="BB34" s="48"/>
      <c r="BC34" s="53"/>
      <c r="BD34" s="53"/>
      <c r="BE34" s="60"/>
      <c r="BF34" s="60"/>
      <c r="BG34" s="60"/>
      <c r="BH34" s="60"/>
      <c r="BI34" s="60"/>
      <c r="BJ34" s="49" t="str">
        <f t="shared" ref="BJ34:BL34" si="131">IFERROR(#REF!/BC34,"")</f>
        <v/>
      </c>
      <c r="BK34" s="49" t="str">
        <f t="shared" si="131"/>
        <v/>
      </c>
      <c r="BL34" s="49" t="str">
        <f t="shared" si="131"/>
        <v/>
      </c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9"/>
      <c r="BZ34" s="49"/>
      <c r="CA34" s="49"/>
      <c r="CB34" s="50"/>
      <c r="CC34" s="51"/>
      <c r="CD34" s="51"/>
      <c r="CE34" s="51"/>
      <c r="CF34" s="51"/>
      <c r="CG34" s="51"/>
      <c r="CH34" s="48"/>
      <c r="CI34" s="53"/>
      <c r="CJ34" s="53"/>
      <c r="CK34" s="60"/>
      <c r="CL34" s="60"/>
      <c r="CM34" s="60"/>
      <c r="CN34" s="60"/>
      <c r="CO34" s="60"/>
      <c r="CP34" s="49" t="str">
        <f t="shared" ref="CP34:CR34" si="132">IFERROR(#REF!/CI34,"")</f>
        <v/>
      </c>
      <c r="CQ34" s="49" t="str">
        <f t="shared" si="132"/>
        <v/>
      </c>
      <c r="CR34" s="49" t="str">
        <f t="shared" si="132"/>
        <v/>
      </c>
    </row>
    <row r="35" ht="15.75" hidden="1" customHeight="1" outlineLevel="1">
      <c r="A35" s="59">
        <f t="shared" si="133"/>
        <v>45632</v>
      </c>
      <c r="B35" s="48" t="str">
        <f t="shared" ref="B35:H35" si="134">SUM(AI35,#REF!,#REF!,#REF!,#REF!,#REF!,#REF!,#REF!,#REF!,#REF!,#REF!,#REF!,#REF!,BC35,#REF!)</f>
        <v>#REF!</v>
      </c>
      <c r="C35" s="48" t="str">
        <f t="shared" si="134"/>
        <v>#REF!</v>
      </c>
      <c r="D35" s="48" t="str">
        <f t="shared" si="134"/>
        <v>#REF!</v>
      </c>
      <c r="E35" s="48" t="str">
        <f t="shared" si="134"/>
        <v>#REF!</v>
      </c>
      <c r="F35" s="48" t="str">
        <f t="shared" si="134"/>
        <v>#REF!</v>
      </c>
      <c r="G35" s="48" t="str">
        <f t="shared" si="134"/>
        <v>#REF!</v>
      </c>
      <c r="H35" s="48" t="str">
        <f t="shared" si="134"/>
        <v>#REF!</v>
      </c>
      <c r="I35" s="48"/>
      <c r="J35" s="48"/>
      <c r="K35" s="48"/>
      <c r="L35" s="48"/>
      <c r="M35" s="49" t="str">
        <f t="shared" si="76"/>
        <v>#REF!</v>
      </c>
      <c r="N35" s="49" t="str">
        <f t="shared" si="77"/>
        <v>#REF!</v>
      </c>
      <c r="O35" s="49"/>
      <c r="P35" s="50" t="str">
        <f t="shared" si="78"/>
        <v>#REF!</v>
      </c>
      <c r="Q35" s="51" t="str">
        <f t="shared" si="79"/>
        <v>#REF!</v>
      </c>
      <c r="R35" s="51" t="str">
        <f t="shared" si="30"/>
        <v/>
      </c>
      <c r="S35" s="51" t="str">
        <f t="shared" si="31"/>
        <v/>
      </c>
      <c r="T35" s="51"/>
      <c r="U35" s="51"/>
      <c r="V35" s="48" t="str">
        <f t="shared" si="135"/>
        <v>#REF!</v>
      </c>
      <c r="W35" s="53"/>
      <c r="X35" s="53" t="str">
        <f t="shared" ref="X35:Y35" si="136">SUM(AZ35,#REF!,#REF!,#REF!,#REF!,#REF!,#REF!,#REF!,#REF!,#REF!,#REF!,#REF!,#REF!,#REF!,#REF!)</f>
        <v>#REF!</v>
      </c>
      <c r="Y35" s="53" t="str">
        <f t="shared" si="136"/>
        <v>#REF!</v>
      </c>
      <c r="Z35" s="53"/>
      <c r="AA35" s="53"/>
      <c r="AB35" s="53"/>
      <c r="AC35" s="53"/>
      <c r="AD35" s="53"/>
      <c r="AE35" s="53" t="str">
        <f t="shared" si="137"/>
        <v>#REF!</v>
      </c>
      <c r="AF35" s="55" t="str">
        <f t="shared" si="13"/>
        <v/>
      </c>
      <c r="AG35" s="27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9"/>
      <c r="AT35" s="49"/>
      <c r="AU35" s="49"/>
      <c r="AV35" s="50"/>
      <c r="AW35" s="51"/>
      <c r="AX35" s="51"/>
      <c r="AY35" s="51"/>
      <c r="AZ35" s="51"/>
      <c r="BA35" s="51"/>
      <c r="BB35" s="48"/>
      <c r="BC35" s="53"/>
      <c r="BD35" s="53"/>
      <c r="BE35" s="60">
        <v>4.0</v>
      </c>
      <c r="BF35" s="60">
        <v>1.0</v>
      </c>
      <c r="BG35" s="60">
        <v>1.0</v>
      </c>
      <c r="BH35" s="60"/>
      <c r="BI35" s="60"/>
      <c r="BJ35" s="49" t="str">
        <f t="shared" ref="BJ35:BL35" si="138">IFERROR(#REF!/BC35,"")</f>
        <v/>
      </c>
      <c r="BK35" s="49" t="str">
        <f t="shared" si="138"/>
        <v/>
      </c>
      <c r="BL35" s="49" t="str">
        <f t="shared" si="138"/>
        <v/>
      </c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9"/>
      <c r="BZ35" s="49"/>
      <c r="CA35" s="49"/>
      <c r="CB35" s="50"/>
      <c r="CC35" s="51"/>
      <c r="CD35" s="51"/>
      <c r="CE35" s="51"/>
      <c r="CF35" s="51"/>
      <c r="CG35" s="51"/>
      <c r="CH35" s="48"/>
      <c r="CI35" s="53"/>
      <c r="CJ35" s="53"/>
      <c r="CK35" s="60">
        <v>4.0</v>
      </c>
      <c r="CL35" s="60">
        <v>1.0</v>
      </c>
      <c r="CM35" s="60">
        <v>1.0</v>
      </c>
      <c r="CN35" s="60"/>
      <c r="CO35" s="60"/>
      <c r="CP35" s="49" t="str">
        <f t="shared" ref="CP35:CR35" si="139">IFERROR(#REF!/CI35,"")</f>
        <v/>
      </c>
      <c r="CQ35" s="49" t="str">
        <f t="shared" si="139"/>
        <v/>
      </c>
      <c r="CR35" s="49" t="str">
        <f t="shared" si="139"/>
        <v/>
      </c>
    </row>
    <row r="36" ht="15.75" hidden="1" customHeight="1" outlineLevel="1">
      <c r="A36" s="59">
        <f t="shared" si="133"/>
        <v>45631</v>
      </c>
      <c r="B36" s="48" t="str">
        <f t="shared" ref="B36:H36" si="140">SUM(AI36,#REF!,#REF!,#REF!,#REF!,#REF!,#REF!,#REF!,#REF!,#REF!,#REF!,#REF!,#REF!,BC36,#REF!)</f>
        <v>#REF!</v>
      </c>
      <c r="C36" s="48" t="str">
        <f t="shared" si="140"/>
        <v>#REF!</v>
      </c>
      <c r="D36" s="48" t="str">
        <f t="shared" si="140"/>
        <v>#REF!</v>
      </c>
      <c r="E36" s="48" t="str">
        <f t="shared" si="140"/>
        <v>#REF!</v>
      </c>
      <c r="F36" s="48" t="str">
        <f t="shared" si="140"/>
        <v>#REF!</v>
      </c>
      <c r="G36" s="48" t="str">
        <f t="shared" si="140"/>
        <v>#REF!</v>
      </c>
      <c r="H36" s="48" t="str">
        <f t="shared" si="140"/>
        <v>#REF!</v>
      </c>
      <c r="I36" s="48"/>
      <c r="J36" s="48"/>
      <c r="K36" s="48"/>
      <c r="L36" s="48"/>
      <c r="M36" s="49" t="str">
        <f t="shared" si="76"/>
        <v>#REF!</v>
      </c>
      <c r="N36" s="49" t="str">
        <f t="shared" si="77"/>
        <v>#REF!</v>
      </c>
      <c r="O36" s="49"/>
      <c r="P36" s="50" t="str">
        <f t="shared" si="78"/>
        <v>#REF!</v>
      </c>
      <c r="Q36" s="51" t="str">
        <f t="shared" si="79"/>
        <v>#REF!</v>
      </c>
      <c r="R36" s="51" t="str">
        <f t="shared" si="30"/>
        <v/>
      </c>
      <c r="S36" s="51" t="str">
        <f t="shared" si="31"/>
        <v/>
      </c>
      <c r="T36" s="51"/>
      <c r="U36" s="51"/>
      <c r="V36" s="48" t="str">
        <f t="shared" si="135"/>
        <v>#REF!</v>
      </c>
      <c r="W36" s="53"/>
      <c r="X36" s="53" t="str">
        <f t="shared" ref="X36:Y36" si="141">SUM(AZ36,#REF!,#REF!,#REF!,#REF!,#REF!,#REF!,#REF!,#REF!,#REF!,#REF!,#REF!,#REF!,#REF!,#REF!)</f>
        <v>#REF!</v>
      </c>
      <c r="Y36" s="53" t="str">
        <f t="shared" si="141"/>
        <v>#REF!</v>
      </c>
      <c r="Z36" s="53"/>
      <c r="AA36" s="53"/>
      <c r="AB36" s="53"/>
      <c r="AC36" s="53"/>
      <c r="AD36" s="53"/>
      <c r="AE36" s="53" t="str">
        <f t="shared" si="137"/>
        <v>#REF!</v>
      </c>
      <c r="AF36" s="55" t="str">
        <f t="shared" si="13"/>
        <v/>
      </c>
      <c r="AG36" s="27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9"/>
      <c r="AT36" s="49"/>
      <c r="AU36" s="49"/>
      <c r="AV36" s="50"/>
      <c r="AW36" s="51"/>
      <c r="AX36" s="51"/>
      <c r="AY36" s="51"/>
      <c r="AZ36" s="51"/>
      <c r="BA36" s="51"/>
      <c r="BB36" s="48"/>
      <c r="BC36" s="53"/>
      <c r="BD36" s="53"/>
      <c r="BE36" s="60">
        <v>5.0</v>
      </c>
      <c r="BF36" s="60">
        <v>4.0</v>
      </c>
      <c r="BG36" s="60">
        <v>3.0</v>
      </c>
      <c r="BH36" s="60">
        <v>1.0</v>
      </c>
      <c r="BI36" s="60">
        <v>1.0</v>
      </c>
      <c r="BJ36" s="49" t="str">
        <f t="shared" ref="BJ36:BL36" si="142">IFERROR(#REF!/BC36,"")</f>
        <v/>
      </c>
      <c r="BK36" s="49" t="str">
        <f t="shared" si="142"/>
        <v/>
      </c>
      <c r="BL36" s="49" t="str">
        <f t="shared" si="142"/>
        <v/>
      </c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9"/>
      <c r="BZ36" s="49"/>
      <c r="CA36" s="49"/>
      <c r="CB36" s="50"/>
      <c r="CC36" s="51"/>
      <c r="CD36" s="51"/>
      <c r="CE36" s="51"/>
      <c r="CF36" s="51"/>
      <c r="CG36" s="51"/>
      <c r="CH36" s="48"/>
      <c r="CI36" s="53"/>
      <c r="CJ36" s="53"/>
      <c r="CK36" s="60">
        <v>5.0</v>
      </c>
      <c r="CL36" s="60">
        <v>4.0</v>
      </c>
      <c r="CM36" s="60">
        <v>3.0</v>
      </c>
      <c r="CN36" s="60">
        <v>1.0</v>
      </c>
      <c r="CO36" s="60">
        <v>1.0</v>
      </c>
      <c r="CP36" s="49" t="str">
        <f t="shared" ref="CP36:CR36" si="143">IFERROR(#REF!/CI36,"")</f>
        <v/>
      </c>
      <c r="CQ36" s="49" t="str">
        <f t="shared" si="143"/>
        <v/>
      </c>
      <c r="CR36" s="49" t="str">
        <f t="shared" si="143"/>
        <v/>
      </c>
    </row>
    <row r="37" ht="15.75" hidden="1" customHeight="1" outlineLevel="1">
      <c r="A37" s="59">
        <f t="shared" si="133"/>
        <v>45630</v>
      </c>
      <c r="B37" s="48" t="str">
        <f t="shared" ref="B37:H37" si="144">SUM(AI37,#REF!,#REF!,#REF!,#REF!,#REF!,#REF!,#REF!,#REF!,#REF!,#REF!,#REF!,#REF!,BC37,#REF!)</f>
        <v>#REF!</v>
      </c>
      <c r="C37" s="48" t="str">
        <f t="shared" si="144"/>
        <v>#REF!</v>
      </c>
      <c r="D37" s="48" t="str">
        <f t="shared" si="144"/>
        <v>#REF!</v>
      </c>
      <c r="E37" s="48" t="str">
        <f t="shared" si="144"/>
        <v>#REF!</v>
      </c>
      <c r="F37" s="48" t="str">
        <f t="shared" si="144"/>
        <v>#REF!</v>
      </c>
      <c r="G37" s="48" t="str">
        <f t="shared" si="144"/>
        <v>#REF!</v>
      </c>
      <c r="H37" s="48" t="str">
        <f t="shared" si="144"/>
        <v>#REF!</v>
      </c>
      <c r="I37" s="48"/>
      <c r="J37" s="48"/>
      <c r="K37" s="48"/>
      <c r="L37" s="48"/>
      <c r="M37" s="49" t="str">
        <f t="shared" si="76"/>
        <v>#REF!</v>
      </c>
      <c r="N37" s="49" t="str">
        <f t="shared" si="77"/>
        <v>#REF!</v>
      </c>
      <c r="O37" s="49"/>
      <c r="P37" s="50" t="str">
        <f t="shared" si="78"/>
        <v>#REF!</v>
      </c>
      <c r="Q37" s="51" t="str">
        <f t="shared" si="79"/>
        <v>#REF!</v>
      </c>
      <c r="R37" s="51" t="str">
        <f t="shared" si="30"/>
        <v/>
      </c>
      <c r="S37" s="51" t="str">
        <f t="shared" si="31"/>
        <v/>
      </c>
      <c r="T37" s="51"/>
      <c r="U37" s="51"/>
      <c r="V37" s="48" t="str">
        <f t="shared" si="135"/>
        <v>#REF!</v>
      </c>
      <c r="W37" s="53"/>
      <c r="X37" s="53" t="str">
        <f t="shared" ref="X37:Y37" si="145">SUM(AZ37,#REF!,#REF!,#REF!,#REF!,#REF!,#REF!,#REF!,#REF!,#REF!,#REF!,#REF!,#REF!,#REF!,#REF!)</f>
        <v>#REF!</v>
      </c>
      <c r="Y37" s="53" t="str">
        <f t="shared" si="145"/>
        <v>#REF!</v>
      </c>
      <c r="Z37" s="53"/>
      <c r="AA37" s="53"/>
      <c r="AB37" s="53"/>
      <c r="AC37" s="53"/>
      <c r="AD37" s="53"/>
      <c r="AE37" s="53" t="str">
        <f t="shared" si="137"/>
        <v>#REF!</v>
      </c>
      <c r="AF37" s="55" t="str">
        <f t="shared" si="13"/>
        <v/>
      </c>
      <c r="AG37" s="27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9"/>
      <c r="AT37" s="49"/>
      <c r="AU37" s="49"/>
      <c r="AV37" s="50"/>
      <c r="AW37" s="51"/>
      <c r="AX37" s="51"/>
      <c r="AY37" s="51"/>
      <c r="AZ37" s="51"/>
      <c r="BA37" s="51"/>
      <c r="BB37" s="48"/>
      <c r="BC37" s="53"/>
      <c r="BD37" s="53"/>
      <c r="BE37" s="60">
        <v>2.0</v>
      </c>
      <c r="BF37" s="60">
        <v>6.0</v>
      </c>
      <c r="BG37" s="60">
        <v>3.0</v>
      </c>
      <c r="BH37" s="60">
        <v>3.0</v>
      </c>
      <c r="BI37" s="60">
        <v>1.0</v>
      </c>
      <c r="BJ37" s="49" t="str">
        <f t="shared" ref="BJ37:BL37" si="146">IFERROR(#REF!/BC37,"")</f>
        <v/>
      </c>
      <c r="BK37" s="49" t="str">
        <f t="shared" si="146"/>
        <v/>
      </c>
      <c r="BL37" s="49" t="str">
        <f t="shared" si="146"/>
        <v/>
      </c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9"/>
      <c r="BZ37" s="49"/>
      <c r="CA37" s="49"/>
      <c r="CB37" s="50"/>
      <c r="CC37" s="51"/>
      <c r="CD37" s="51"/>
      <c r="CE37" s="51"/>
      <c r="CF37" s="51"/>
      <c r="CG37" s="51"/>
      <c r="CH37" s="48"/>
      <c r="CI37" s="53"/>
      <c r="CJ37" s="53"/>
      <c r="CK37" s="60">
        <v>2.0</v>
      </c>
      <c r="CL37" s="60">
        <v>6.0</v>
      </c>
      <c r="CM37" s="60">
        <v>3.0</v>
      </c>
      <c r="CN37" s="60">
        <v>3.0</v>
      </c>
      <c r="CO37" s="60">
        <v>1.0</v>
      </c>
      <c r="CP37" s="49" t="str">
        <f t="shared" ref="CP37:CR37" si="147">IFERROR(#REF!/CI37,"")</f>
        <v/>
      </c>
      <c r="CQ37" s="49" t="str">
        <f t="shared" si="147"/>
        <v/>
      </c>
      <c r="CR37" s="49" t="str">
        <f t="shared" si="147"/>
        <v/>
      </c>
    </row>
    <row r="38" ht="15.75" hidden="1" customHeight="1" outlineLevel="1">
      <c r="A38" s="59">
        <f t="shared" si="133"/>
        <v>45629</v>
      </c>
      <c r="B38" s="48" t="str">
        <f t="shared" ref="B38:H38" si="148">SUM(AI38,#REF!,#REF!,#REF!,#REF!,#REF!,#REF!,#REF!,#REF!,#REF!,#REF!,#REF!,#REF!,BC38,#REF!)</f>
        <v>#REF!</v>
      </c>
      <c r="C38" s="48" t="str">
        <f t="shared" si="148"/>
        <v>#REF!</v>
      </c>
      <c r="D38" s="48" t="str">
        <f t="shared" si="148"/>
        <v>#REF!</v>
      </c>
      <c r="E38" s="48" t="str">
        <f t="shared" si="148"/>
        <v>#REF!</v>
      </c>
      <c r="F38" s="48" t="str">
        <f t="shared" si="148"/>
        <v>#REF!</v>
      </c>
      <c r="G38" s="48" t="str">
        <f t="shared" si="148"/>
        <v>#REF!</v>
      </c>
      <c r="H38" s="48" t="str">
        <f t="shared" si="148"/>
        <v>#REF!</v>
      </c>
      <c r="I38" s="48"/>
      <c r="J38" s="48"/>
      <c r="K38" s="48"/>
      <c r="L38" s="48"/>
      <c r="M38" s="49" t="str">
        <f t="shared" si="76"/>
        <v>#REF!</v>
      </c>
      <c r="N38" s="49" t="str">
        <f t="shared" si="77"/>
        <v>#REF!</v>
      </c>
      <c r="O38" s="49"/>
      <c r="P38" s="50" t="str">
        <f t="shared" si="78"/>
        <v>#REF!</v>
      </c>
      <c r="Q38" s="51" t="str">
        <f t="shared" si="79"/>
        <v>#REF!</v>
      </c>
      <c r="R38" s="51" t="str">
        <f t="shared" si="30"/>
        <v/>
      </c>
      <c r="S38" s="51" t="str">
        <f t="shared" si="31"/>
        <v/>
      </c>
      <c r="T38" s="51"/>
      <c r="U38" s="51"/>
      <c r="V38" s="48" t="str">
        <f t="shared" si="135"/>
        <v>#REF!</v>
      </c>
      <c r="W38" s="53"/>
      <c r="X38" s="53" t="str">
        <f t="shared" ref="X38:Y38" si="149">SUM(AZ38,#REF!,#REF!,#REF!,#REF!,#REF!,#REF!,#REF!,#REF!,#REF!,#REF!,#REF!,#REF!,#REF!,#REF!)</f>
        <v>#REF!</v>
      </c>
      <c r="Y38" s="53" t="str">
        <f t="shared" si="149"/>
        <v>#REF!</v>
      </c>
      <c r="Z38" s="53"/>
      <c r="AA38" s="53"/>
      <c r="AB38" s="53"/>
      <c r="AC38" s="53"/>
      <c r="AD38" s="53"/>
      <c r="AE38" s="53" t="str">
        <f t="shared" si="137"/>
        <v>#REF!</v>
      </c>
      <c r="AF38" s="55" t="str">
        <f t="shared" si="13"/>
        <v/>
      </c>
      <c r="AG38" s="27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9"/>
      <c r="AT38" s="49"/>
      <c r="AU38" s="49"/>
      <c r="AV38" s="50"/>
      <c r="AW38" s="51"/>
      <c r="AX38" s="51"/>
      <c r="AY38" s="51"/>
      <c r="AZ38" s="51"/>
      <c r="BA38" s="51"/>
      <c r="BB38" s="48"/>
      <c r="BC38" s="53"/>
      <c r="BD38" s="53"/>
      <c r="BE38" s="60">
        <v>3.0</v>
      </c>
      <c r="BF38" s="60">
        <v>2.0</v>
      </c>
      <c r="BG38" s="60"/>
      <c r="BH38" s="60">
        <v>2.0</v>
      </c>
      <c r="BI38" s="60"/>
      <c r="BJ38" s="49" t="str">
        <f t="shared" ref="BJ38:BL38" si="150">IFERROR(#REF!/BC38,"")</f>
        <v/>
      </c>
      <c r="BK38" s="49" t="str">
        <f t="shared" si="150"/>
        <v/>
      </c>
      <c r="BL38" s="49" t="str">
        <f t="shared" si="150"/>
        <v/>
      </c>
      <c r="BM38" s="61" t="str">
        <f t="shared" ref="BM38:BM39" si="155">IFERROR(#REF!/BA38,"")</f>
        <v/>
      </c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9"/>
      <c r="BZ38" s="49"/>
      <c r="CA38" s="49"/>
      <c r="CB38" s="50"/>
      <c r="CC38" s="51"/>
      <c r="CD38" s="51"/>
      <c r="CE38" s="51"/>
      <c r="CF38" s="51"/>
      <c r="CG38" s="51"/>
      <c r="CH38" s="48"/>
      <c r="CI38" s="53"/>
      <c r="CJ38" s="53"/>
      <c r="CK38" s="60">
        <v>3.0</v>
      </c>
      <c r="CL38" s="60">
        <v>2.0</v>
      </c>
      <c r="CM38" s="60"/>
      <c r="CN38" s="60">
        <v>2.0</v>
      </c>
      <c r="CO38" s="60"/>
      <c r="CP38" s="49" t="str">
        <f t="shared" ref="CP38:CR38" si="151">IFERROR(#REF!/CI38,"")</f>
        <v/>
      </c>
      <c r="CQ38" s="49" t="str">
        <f t="shared" si="151"/>
        <v/>
      </c>
      <c r="CR38" s="49" t="str">
        <f t="shared" si="151"/>
        <v/>
      </c>
    </row>
    <row r="39" ht="15.75" hidden="1" customHeight="1" outlineLevel="1">
      <c r="A39" s="58">
        <f t="shared" si="133"/>
        <v>45628</v>
      </c>
      <c r="B39" s="48" t="str">
        <f t="shared" ref="B39:H39" si="152">SUM(AI39,#REF!,#REF!,#REF!,#REF!,#REF!,#REF!,#REF!,#REF!,#REF!,#REF!,#REF!,#REF!,BC39,#REF!)</f>
        <v>#REF!</v>
      </c>
      <c r="C39" s="48" t="str">
        <f t="shared" si="152"/>
        <v>#REF!</v>
      </c>
      <c r="D39" s="48" t="str">
        <f t="shared" si="152"/>
        <v>#REF!</v>
      </c>
      <c r="E39" s="48" t="str">
        <f t="shared" si="152"/>
        <v>#REF!</v>
      </c>
      <c r="F39" s="48" t="str">
        <f t="shared" si="152"/>
        <v>#REF!</v>
      </c>
      <c r="G39" s="48" t="str">
        <f t="shared" si="152"/>
        <v>#REF!</v>
      </c>
      <c r="H39" s="48" t="str">
        <f t="shared" si="152"/>
        <v>#REF!</v>
      </c>
      <c r="I39" s="48"/>
      <c r="J39" s="48"/>
      <c r="K39" s="48"/>
      <c r="L39" s="48"/>
      <c r="M39" s="49" t="str">
        <f t="shared" si="76"/>
        <v>#REF!</v>
      </c>
      <c r="N39" s="49" t="str">
        <f t="shared" si="77"/>
        <v>#REF!</v>
      </c>
      <c r="O39" s="49"/>
      <c r="P39" s="50" t="str">
        <f t="shared" si="78"/>
        <v>#REF!</v>
      </c>
      <c r="Q39" s="51" t="str">
        <f t="shared" si="79"/>
        <v>#REF!</v>
      </c>
      <c r="R39" s="51" t="str">
        <f t="shared" si="30"/>
        <v/>
      </c>
      <c r="S39" s="51" t="str">
        <f t="shared" si="31"/>
        <v/>
      </c>
      <c r="T39" s="51"/>
      <c r="U39" s="51"/>
      <c r="V39" s="48" t="str">
        <f t="shared" si="135"/>
        <v>#REF!</v>
      </c>
      <c r="W39" s="53"/>
      <c r="X39" s="53" t="str">
        <f t="shared" ref="X39:Y39" si="153">SUM(AZ39,#REF!,#REF!,#REF!,#REF!,#REF!,#REF!,#REF!,#REF!,#REF!,#REF!,#REF!,#REF!,#REF!,#REF!)</f>
        <v>#REF!</v>
      </c>
      <c r="Y39" s="53" t="str">
        <f t="shared" si="153"/>
        <v>#REF!</v>
      </c>
      <c r="Z39" s="53"/>
      <c r="AA39" s="53"/>
      <c r="AB39" s="53"/>
      <c r="AC39" s="53"/>
      <c r="AD39" s="53"/>
      <c r="AE39" s="53" t="str">
        <f t="shared" si="137"/>
        <v>#REF!</v>
      </c>
      <c r="AF39" s="55" t="str">
        <f t="shared" si="13"/>
        <v/>
      </c>
      <c r="AG39" s="27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9"/>
      <c r="AT39" s="49"/>
      <c r="AU39" s="49"/>
      <c r="AV39" s="50"/>
      <c r="AW39" s="51"/>
      <c r="AX39" s="51"/>
      <c r="AY39" s="51"/>
      <c r="AZ39" s="51"/>
      <c r="BA39" s="51"/>
      <c r="BB39" s="48"/>
      <c r="BC39" s="53"/>
      <c r="BD39" s="53"/>
      <c r="BE39" s="60">
        <v>1.0</v>
      </c>
      <c r="BF39" s="60">
        <v>5.0</v>
      </c>
      <c r="BG39" s="60">
        <v>2.0</v>
      </c>
      <c r="BH39" s="60">
        <v>3.0</v>
      </c>
      <c r="BI39" s="60">
        <v>1.0</v>
      </c>
      <c r="BJ39" s="49" t="str">
        <f t="shared" ref="BJ39:BL39" si="154">IFERROR(#REF!/BC39,"")</f>
        <v/>
      </c>
      <c r="BK39" s="49" t="str">
        <f t="shared" si="154"/>
        <v/>
      </c>
      <c r="BL39" s="49" t="str">
        <f t="shared" si="154"/>
        <v/>
      </c>
      <c r="BM39" s="61" t="str">
        <f t="shared" si="155"/>
        <v/>
      </c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9"/>
      <c r="BZ39" s="49"/>
      <c r="CA39" s="49"/>
      <c r="CB39" s="50"/>
      <c r="CC39" s="51"/>
      <c r="CD39" s="51"/>
      <c r="CE39" s="51"/>
      <c r="CF39" s="51"/>
      <c r="CG39" s="51"/>
      <c r="CH39" s="48"/>
      <c r="CI39" s="53"/>
      <c r="CJ39" s="53"/>
      <c r="CK39" s="60">
        <v>1.0</v>
      </c>
      <c r="CL39" s="60">
        <v>5.0</v>
      </c>
      <c r="CM39" s="60">
        <v>2.0</v>
      </c>
      <c r="CN39" s="60">
        <v>3.0</v>
      </c>
      <c r="CO39" s="60">
        <v>1.0</v>
      </c>
      <c r="CP39" s="49" t="str">
        <f t="shared" ref="CP39:CR39" si="156">IFERROR(#REF!/CI39,"")</f>
        <v/>
      </c>
      <c r="CQ39" s="49" t="str">
        <f t="shared" si="156"/>
        <v/>
      </c>
      <c r="CR39" s="49" t="str">
        <f t="shared" si="156"/>
        <v/>
      </c>
    </row>
    <row r="40" ht="15.75" hidden="1" customHeight="1" outlineLevel="1">
      <c r="A40" s="58">
        <v>45627.0</v>
      </c>
      <c r="B40" s="48" t="str">
        <f t="shared" ref="B40:H40" si="157">SUM(AI40,#REF!,#REF!,#REF!,#REF!,#REF!,#REF!,#REF!,#REF!,#REF!,#REF!,#REF!,#REF!,BC40,#REF!)</f>
        <v>#REF!</v>
      </c>
      <c r="C40" s="48" t="str">
        <f t="shared" si="157"/>
        <v>#REF!</v>
      </c>
      <c r="D40" s="48" t="str">
        <f t="shared" si="157"/>
        <v>#REF!</v>
      </c>
      <c r="E40" s="48" t="str">
        <f t="shared" si="157"/>
        <v>#REF!</v>
      </c>
      <c r="F40" s="48" t="str">
        <f t="shared" si="157"/>
        <v>#REF!</v>
      </c>
      <c r="G40" s="48" t="str">
        <f t="shared" si="157"/>
        <v>#REF!</v>
      </c>
      <c r="H40" s="48" t="str">
        <f t="shared" si="157"/>
        <v>#REF!</v>
      </c>
      <c r="I40" s="48"/>
      <c r="J40" s="48"/>
      <c r="K40" s="48"/>
      <c r="L40" s="48"/>
      <c r="M40" s="49" t="str">
        <f t="shared" si="76"/>
        <v>#REF!</v>
      </c>
      <c r="N40" s="49" t="str">
        <f t="shared" si="77"/>
        <v>#REF!</v>
      </c>
      <c r="O40" s="49"/>
      <c r="P40" s="50" t="str">
        <f t="shared" si="78"/>
        <v>#REF!</v>
      </c>
      <c r="Q40" s="51" t="str">
        <f t="shared" si="79"/>
        <v>#REF!</v>
      </c>
      <c r="R40" s="51" t="str">
        <f t="shared" si="30"/>
        <v/>
      </c>
      <c r="S40" s="51" t="str">
        <f t="shared" si="31"/>
        <v/>
      </c>
      <c r="T40" s="51"/>
      <c r="U40" s="51"/>
      <c r="V40" s="48" t="str">
        <f t="shared" si="135"/>
        <v>#REF!</v>
      </c>
      <c r="W40" s="53"/>
      <c r="X40" s="53" t="str">
        <f t="shared" ref="X40:Y40" si="158">SUM(AZ40,#REF!,#REF!,#REF!,#REF!,#REF!,#REF!,#REF!,#REF!,#REF!,#REF!,#REF!,#REF!,#REF!,#REF!)</f>
        <v>#REF!</v>
      </c>
      <c r="Y40" s="53" t="str">
        <f t="shared" si="158"/>
        <v>#REF!</v>
      </c>
      <c r="Z40" s="53"/>
      <c r="AA40" s="53"/>
      <c r="AB40" s="53"/>
      <c r="AC40" s="53"/>
      <c r="AD40" s="53"/>
      <c r="AE40" s="53" t="str">
        <f t="shared" si="137"/>
        <v>#REF!</v>
      </c>
      <c r="AF40" s="55" t="str">
        <f t="shared" si="13"/>
        <v/>
      </c>
      <c r="AG40" s="27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9"/>
      <c r="AT40" s="49"/>
      <c r="AU40" s="49"/>
      <c r="AV40" s="50"/>
      <c r="AW40" s="51"/>
      <c r="AX40" s="51"/>
      <c r="AY40" s="51"/>
      <c r="AZ40" s="51"/>
      <c r="BA40" s="51"/>
      <c r="BB40" s="48"/>
      <c r="BC40" s="53"/>
      <c r="BD40" s="53"/>
      <c r="BE40" s="60"/>
      <c r="BF40" s="60"/>
      <c r="BG40" s="60"/>
      <c r="BH40" s="60"/>
      <c r="BI40" s="60"/>
      <c r="BJ40" s="49" t="str">
        <f t="shared" ref="BJ40:BL40" si="159">IFERROR(#REF!/BC40,"")</f>
        <v/>
      </c>
      <c r="BK40" s="49" t="str">
        <f t="shared" si="159"/>
        <v/>
      </c>
      <c r="BL40" s="49" t="str">
        <f t="shared" si="159"/>
        <v/>
      </c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9"/>
      <c r="BZ40" s="49"/>
      <c r="CA40" s="49"/>
      <c r="CB40" s="50"/>
      <c r="CC40" s="51"/>
      <c r="CD40" s="51"/>
      <c r="CE40" s="51"/>
      <c r="CF40" s="51"/>
      <c r="CG40" s="51"/>
      <c r="CH40" s="48"/>
      <c r="CI40" s="53"/>
      <c r="CJ40" s="53"/>
      <c r="CK40" s="60"/>
      <c r="CL40" s="60"/>
      <c r="CM40" s="60"/>
      <c r="CN40" s="60"/>
      <c r="CO40" s="60"/>
      <c r="CP40" s="49" t="str">
        <f t="shared" ref="CP40:CR40" si="160">IFERROR(#REF!/CI40,"")</f>
        <v/>
      </c>
      <c r="CQ40" s="49" t="str">
        <f t="shared" si="160"/>
        <v/>
      </c>
      <c r="CR40" s="49" t="str">
        <f t="shared" si="160"/>
        <v/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N2:BX2"/>
    <mergeCell ref="BY2:CI2"/>
    <mergeCell ref="AH1:BD1"/>
    <mergeCell ref="BN1:CJ1"/>
    <mergeCell ref="B2:L2"/>
    <mergeCell ref="M2:W2"/>
    <mergeCell ref="X2:AF2"/>
    <mergeCell ref="AH2:AR2"/>
    <mergeCell ref="AS2:BC2"/>
  </mergeCells>
  <drawing r:id="rId1"/>
</worksheet>
</file>