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ção mentorados Tráfego Pag" sheetId="1" r:id="rId4"/>
    <sheet state="visible" name="Como está x como era pra estar" sheetId="2" r:id="rId5"/>
    <sheet state="visible" name="Farmácia" sheetId="3" r:id="rId6"/>
  </sheets>
  <definedNames/>
  <calcPr/>
</workbook>
</file>

<file path=xl/sharedStrings.xml><?xml version="1.0" encoding="utf-8"?>
<sst xmlns="http://schemas.openxmlformats.org/spreadsheetml/2006/main" count="90" uniqueCount="53">
  <si>
    <t>Preencher coluna B célula 3 - 12</t>
  </si>
  <si>
    <t>OBS: Não mexer nos números da coluna C.</t>
  </si>
  <si>
    <t>JUNHO - SETEMBRO</t>
  </si>
  <si>
    <t>Conversão realizada</t>
  </si>
  <si>
    <t>Meta conversão</t>
  </si>
  <si>
    <t>INVESTIMENTOS</t>
  </si>
  <si>
    <t>IMPRESSÕES</t>
  </si>
  <si>
    <t>CLIQUES</t>
  </si>
  <si>
    <t>CTR</t>
  </si>
  <si>
    <t>PAGE VIEW</t>
  </si>
  <si>
    <t>Connect rate (clique &gt; PV)</t>
  </si>
  <si>
    <t xml:space="preserve">LEADS QUALIFICADOS </t>
  </si>
  <si>
    <t>Conversão LP &gt; lead quali</t>
  </si>
  <si>
    <t>AGENDADOS</t>
  </si>
  <si>
    <t>Lead quali = agendado (typeform + calendly)</t>
  </si>
  <si>
    <t>CALL REALIZADA</t>
  </si>
  <si>
    <t>Máximo 30% no-show</t>
  </si>
  <si>
    <t>VENDAS</t>
  </si>
  <si>
    <t>25% conversão mínima (4 calls pra 1 venda)</t>
  </si>
  <si>
    <t>TICKET MÉDIO</t>
  </si>
  <si>
    <t>FATURAMENTO</t>
  </si>
  <si>
    <t>CUSTOS PRINCIPAIS</t>
  </si>
  <si>
    <t>Número</t>
  </si>
  <si>
    <t>Limite</t>
  </si>
  <si>
    <t>Custo por lead quali</t>
  </si>
  <si>
    <t>Até 32,5% do CAC tráfego</t>
  </si>
  <si>
    <t>Custo por agendamento</t>
  </si>
  <si>
    <t>Igual ao CPL quali</t>
  </si>
  <si>
    <t>Custo por call</t>
  </si>
  <si>
    <t>25% do CAC tráfego</t>
  </si>
  <si>
    <t>CAC tráfego</t>
  </si>
  <si>
    <t>25% do T.M.</t>
  </si>
  <si>
    <t>OBS: Não mexer nos números. Preenche automático</t>
  </si>
  <si>
    <t>GAPS (alavancas):</t>
  </si>
  <si>
    <t>1. Leads qualificados (447) pra agendamento (145). Estamos perdendo 68% dos leads. Ou seja, estamos encarecendo a nossa call em além de reduzir o número de vendas colareralmente.</t>
  </si>
  <si>
    <t>2. Agendamento (145) para call realizada (61). Estamos tendo 58% de no-show dos leads, ou seja, estamos encarecendo o custo da call e reduzindo absurdamente o número de vendas. O no-show deveria ser de no máximo 30%, tendo 101 calls realizadas. Nesse cenário, teríamos feito 7 vendas a mais com a mesma conversão 18%. O motivo principal de no-show é o agendamento 7 dias pra frente. O ideal é que seja no máximo 48h.</t>
  </si>
  <si>
    <t>3. A capacidade produtiva é de 3 calls/dia por closer. 15 calls/semana por closer. 45 calls no total. Meta de 180 calls no mês, com 18% de conversão = 32 vendas. Ps: essa conversão ainda não é o ideal.</t>
  </si>
  <si>
    <t>A verba de tráfego precisa ser planejada de acordo com a capacidade produtiva da agenda, caso contrário, vai gerar muito lead que não terá call, encarecendo o custo por call e por consequência o CAC.as</t>
  </si>
  <si>
    <t>Nossas principais alavancas são:</t>
  </si>
  <si>
    <t>1. Tornar o número de leads quali = o de agendamentos (typeform com calendly embedado);</t>
  </si>
  <si>
    <t>2. Reduzir o no-show a no máximo 30% (agenda 48h pra frente);</t>
  </si>
  <si>
    <t>3. Aumentar o volume de calls/semana por closer.</t>
  </si>
  <si>
    <t>Com essas ações, o faturamento vai aumentar e o CAC tende a diminuir em pelo menos 2x.</t>
  </si>
  <si>
    <t>Conversão ideal</t>
  </si>
  <si>
    <t>GAP</t>
  </si>
  <si>
    <t>MOTIVO</t>
  </si>
  <si>
    <t>SOLUÇÃO</t>
  </si>
  <si>
    <t>Muito lead qualificado que não agenda</t>
  </si>
  <si>
    <t>Não está usando corretamente o formulário com autoagendamento</t>
  </si>
  <si>
    <t>Utilizar o typeform com o calendly EMBEDADO (dentro). Não tem como "enviar o formulário sem ter agendado"</t>
  </si>
  <si>
    <t>No-show &gt;30% (muito agendamento pra pouca call)</t>
  </si>
  <si>
    <t>Agenda aberta mais do que 48h pra frente e trabalho pré-call inadequado</t>
  </si>
  <si>
    <t>Entender a capacidade produtiva da agenda do closer, deixar aberto 48h e "dar rosto ao no-show", implementando nossa estrutura anti no-show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</si>
</sst>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  <xf borderId="1" fillId="4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Border="1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2" xfId="0" applyFont="1" applyNumberFormat="1"/>
    <xf borderId="1" fillId="0" fontId="2" numFmtId="3" xfId="0" applyAlignment="1" applyBorder="1" applyFont="1" applyNumberFormat="1">
      <alignment horizontal="center"/>
    </xf>
    <xf borderId="1" fillId="0" fontId="2" numFmtId="3" xfId="0" applyBorder="1" applyFont="1" applyNumberFormat="1"/>
    <xf borderId="1" fillId="0" fontId="2" numFmtId="10" xfId="0" applyBorder="1" applyFont="1" applyNumberFormat="1"/>
    <xf borderId="1" fillId="0" fontId="3" numFmtId="10" xfId="0" applyBorder="1" applyFont="1" applyNumberFormat="1"/>
    <xf borderId="0" fillId="0" fontId="2" numFmtId="0" xfId="0" applyFont="1"/>
    <xf borderId="1" fillId="0" fontId="2" numFmtId="9" xfId="0" applyBorder="1" applyFont="1" applyNumberFormat="1"/>
    <xf borderId="1" fillId="0" fontId="2" numFmtId="1" xfId="0" applyBorder="1" applyFont="1" applyNumberFormat="1"/>
    <xf borderId="1" fillId="0" fontId="2" numFmtId="16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1" fillId="4" fontId="1" numFmtId="0" xfId="0" applyBorder="1" applyFont="1"/>
    <xf borderId="0" fillId="3" fontId="1" numFmtId="0" xfId="0" applyFont="1"/>
    <xf borderId="0" fillId="0" fontId="2" numFmtId="9" xfId="0" applyFont="1" applyNumberFormat="1"/>
    <xf borderId="0" fillId="0" fontId="2" numFmtId="1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6.25"/>
    <col customWidth="1" min="3" max="3" width="16.75"/>
    <col customWidth="1" min="4" max="4" width="20.13"/>
    <col customWidth="1" min="5" max="5" width="13.38"/>
    <col customWidth="1" min="6" max="6" width="14.38"/>
  </cols>
  <sheetData>
    <row r="1" ht="15.75" customHeight="1">
      <c r="A1" s="1"/>
      <c r="B1" s="2" t="s">
        <v>0</v>
      </c>
      <c r="C1" s="3" t="s">
        <v>1</v>
      </c>
      <c r="F1" s="1"/>
    </row>
    <row r="2" ht="15.75" customHeight="1">
      <c r="A2" s="4" t="s">
        <v>2</v>
      </c>
      <c r="B2" s="4"/>
      <c r="C2" s="4" t="s">
        <v>3</v>
      </c>
      <c r="D2" s="4" t="s">
        <v>4</v>
      </c>
      <c r="X2" s="5"/>
      <c r="Y2" s="5"/>
      <c r="Z2" s="5"/>
    </row>
    <row r="3" ht="15.75" customHeight="1">
      <c r="A3" s="6" t="s">
        <v>5</v>
      </c>
      <c r="B3" s="7"/>
      <c r="C3" s="5"/>
      <c r="D3" s="5"/>
      <c r="E3" s="8"/>
      <c r="H3" s="8"/>
      <c r="I3" s="8"/>
      <c r="J3" s="9"/>
      <c r="L3" s="9"/>
      <c r="N3" s="10"/>
    </row>
    <row r="4" ht="15.75" customHeight="1">
      <c r="A4" s="11" t="s">
        <v>6</v>
      </c>
      <c r="B4" s="12"/>
      <c r="C4" s="13"/>
      <c r="D4" s="13"/>
    </row>
    <row r="5" ht="15.75" customHeight="1">
      <c r="A5" s="6" t="s">
        <v>7</v>
      </c>
      <c r="B5" s="5"/>
      <c r="C5" s="14" t="str">
        <f t="shared" ref="C5:C7" si="1">B5/B4</f>
        <v>#DIV/0!</v>
      </c>
      <c r="D5" s="13">
        <v>0.006</v>
      </c>
      <c r="E5" s="15" t="s">
        <v>8</v>
      </c>
    </row>
    <row r="6" ht="15.75" customHeight="1">
      <c r="A6" s="6" t="s">
        <v>9</v>
      </c>
      <c r="B6" s="5"/>
      <c r="C6" s="14" t="str">
        <f t="shared" si="1"/>
        <v>#DIV/0!</v>
      </c>
      <c r="D6" s="13">
        <v>0.8</v>
      </c>
      <c r="E6" s="15" t="s">
        <v>10</v>
      </c>
    </row>
    <row r="7" ht="15.75" customHeight="1">
      <c r="A7" s="6" t="s">
        <v>11</v>
      </c>
      <c r="B7" s="5"/>
      <c r="C7" s="13" t="str">
        <f t="shared" si="1"/>
        <v>#DIV/0!</v>
      </c>
      <c r="D7" s="13">
        <v>0.06</v>
      </c>
      <c r="E7" s="15" t="s">
        <v>12</v>
      </c>
    </row>
    <row r="8" ht="15.75" customHeight="1">
      <c r="A8" s="6" t="s">
        <v>13</v>
      </c>
      <c r="B8" s="5"/>
      <c r="C8" s="16" t="str">
        <f t="shared" ref="C8:C10" si="2">SUM(B8/B7,0)</f>
        <v>#DIV/0!</v>
      </c>
      <c r="D8" s="13">
        <v>1.0</v>
      </c>
      <c r="E8" s="15" t="s">
        <v>14</v>
      </c>
    </row>
    <row r="9" ht="15.75" customHeight="1">
      <c r="A9" s="6" t="s">
        <v>15</v>
      </c>
      <c r="B9" s="17"/>
      <c r="C9" s="16" t="str">
        <f t="shared" si="2"/>
        <v>#DIV/0!</v>
      </c>
      <c r="D9" s="13">
        <v>0.7</v>
      </c>
      <c r="E9" s="15" t="s">
        <v>16</v>
      </c>
    </row>
    <row r="10" ht="15.75" customHeight="1">
      <c r="A10" s="6" t="s">
        <v>17</v>
      </c>
      <c r="B10" s="17"/>
      <c r="C10" s="13" t="str">
        <f t="shared" si="2"/>
        <v>#DIV/0!</v>
      </c>
      <c r="D10" s="13">
        <v>0.25</v>
      </c>
      <c r="E10" s="15" t="s">
        <v>18</v>
      </c>
    </row>
    <row r="11" ht="15.75" customHeight="1">
      <c r="A11" s="6" t="s">
        <v>19</v>
      </c>
      <c r="B11" s="18"/>
      <c r="C11" s="6"/>
      <c r="D11" s="6"/>
    </row>
    <row r="12" ht="15.75" customHeight="1">
      <c r="A12" s="6" t="s">
        <v>20</v>
      </c>
      <c r="B12" s="19"/>
      <c r="C12" s="6"/>
      <c r="D12" s="6"/>
    </row>
    <row r="13" ht="15.75" customHeight="1">
      <c r="A13" s="1"/>
    </row>
    <row r="14" ht="15.75" customHeight="1">
      <c r="A14" s="20" t="s">
        <v>21</v>
      </c>
      <c r="B14" s="20" t="s">
        <v>22</v>
      </c>
      <c r="C14" s="20" t="s">
        <v>23</v>
      </c>
    </row>
    <row r="15" ht="15.75" customHeight="1">
      <c r="A15" s="5" t="s">
        <v>24</v>
      </c>
      <c r="B15" s="7" t="str">
        <f>B3/B7</f>
        <v>#DIV/0!</v>
      </c>
      <c r="C15" s="5"/>
      <c r="D15" s="15" t="s">
        <v>25</v>
      </c>
    </row>
    <row r="16" ht="15.75" customHeight="1">
      <c r="A16" s="5" t="s">
        <v>26</v>
      </c>
      <c r="B16" s="7" t="str">
        <f>B3/B8</f>
        <v>#DIV/0!</v>
      </c>
      <c r="C16" s="5"/>
      <c r="D16" s="15" t="s">
        <v>27</v>
      </c>
    </row>
    <row r="17" ht="15.75" customHeight="1">
      <c r="A17" s="5" t="s">
        <v>28</v>
      </c>
      <c r="B17" s="7" t="str">
        <f>B3/B9</f>
        <v>#DIV/0!</v>
      </c>
      <c r="C17" s="5"/>
      <c r="D17" s="15" t="s">
        <v>29</v>
      </c>
    </row>
    <row r="18" ht="15.75" customHeight="1">
      <c r="A18" s="5" t="s">
        <v>30</v>
      </c>
      <c r="B18" s="7" t="str">
        <f>B3/B10</f>
        <v>#DIV/0!</v>
      </c>
      <c r="C18" s="5"/>
      <c r="D18" s="15" t="s">
        <v>31</v>
      </c>
    </row>
    <row r="19" ht="15.75" customHeight="1">
      <c r="A19" s="1"/>
      <c r="B19" s="21" t="s">
        <v>32</v>
      </c>
    </row>
    <row r="20" ht="15.75" customHeight="1">
      <c r="A20" s="1"/>
    </row>
    <row r="21" ht="15.75" customHeight="1"/>
    <row r="22" ht="15.75" customHeight="1"/>
    <row r="23" ht="15.75" customHeight="1"/>
    <row r="24" ht="15.75" customHeight="1"/>
    <row r="25" ht="15.75" customHeight="1">
      <c r="B25" s="8"/>
      <c r="C25" s="9"/>
      <c r="D25" s="9"/>
    </row>
    <row r="26" ht="15.75" customHeight="1">
      <c r="C26" s="9"/>
      <c r="D26" s="9"/>
    </row>
    <row r="27" ht="15.75" customHeight="1">
      <c r="C27" s="22"/>
      <c r="D27" s="9"/>
    </row>
    <row r="28" ht="15.75" customHeight="1">
      <c r="B28" s="23"/>
      <c r="C28" s="22"/>
      <c r="D28" s="9"/>
    </row>
    <row r="29" ht="15.75" customHeight="1">
      <c r="B29" s="23"/>
      <c r="C29" s="9"/>
      <c r="D29" s="9"/>
    </row>
    <row r="30" ht="15.75" customHeight="1">
      <c r="B30" s="8"/>
    </row>
    <row r="31" ht="15.75" customHeight="1">
      <c r="F31" s="1"/>
    </row>
    <row r="32" ht="15.75" customHeight="1"/>
    <row r="33" ht="15.75" customHeight="1">
      <c r="B33" s="8"/>
      <c r="C33" s="9"/>
      <c r="D33" s="9"/>
    </row>
    <row r="34" ht="15.75" customHeight="1">
      <c r="C34" s="9"/>
    </row>
    <row r="35" ht="15.75" customHeight="1">
      <c r="C35" s="22"/>
    </row>
    <row r="36" ht="15.75" customHeight="1">
      <c r="C36" s="22"/>
    </row>
    <row r="37" ht="15.75" customHeight="1">
      <c r="C37" s="9"/>
    </row>
    <row r="38" ht="15.75" customHeight="1">
      <c r="B38" s="8"/>
    </row>
    <row r="39" ht="15.75" customHeight="1">
      <c r="B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A84" s="24" t="s">
        <v>33</v>
      </c>
    </row>
    <row r="85" ht="15.75" customHeight="1">
      <c r="A85" s="24" t="s">
        <v>34</v>
      </c>
    </row>
    <row r="86" ht="15.75" customHeight="1">
      <c r="A86" s="24"/>
    </row>
    <row r="87" ht="15.75" customHeight="1">
      <c r="A87" s="24" t="s">
        <v>35</v>
      </c>
    </row>
    <row r="88" ht="15.75" customHeight="1">
      <c r="A88" s="24"/>
    </row>
    <row r="89" ht="15.75" customHeight="1">
      <c r="A89" s="24" t="s">
        <v>36</v>
      </c>
    </row>
    <row r="90" ht="15.75" customHeight="1">
      <c r="A90" s="24"/>
    </row>
    <row r="91" ht="15.75" customHeight="1">
      <c r="A91" s="24" t="s">
        <v>37</v>
      </c>
    </row>
    <row r="92" ht="15.75" customHeight="1">
      <c r="A92" s="24"/>
    </row>
    <row r="93" ht="15.75" customHeight="1">
      <c r="A93" s="24" t="s">
        <v>38</v>
      </c>
    </row>
    <row r="94" ht="15.75" customHeight="1">
      <c r="A94" s="24" t="s">
        <v>39</v>
      </c>
    </row>
    <row r="95" ht="15.75" customHeight="1">
      <c r="A95" s="24" t="s">
        <v>40</v>
      </c>
    </row>
    <row r="96" ht="15.75" customHeight="1">
      <c r="A96" s="24" t="s">
        <v>41</v>
      </c>
    </row>
    <row r="97" ht="15.75" customHeight="1">
      <c r="A97" s="24"/>
    </row>
    <row r="98" ht="15.75" customHeight="1">
      <c r="A98" s="24" t="s">
        <v>42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6.25"/>
    <col customWidth="1" min="3" max="3" width="16.75"/>
    <col customWidth="1" min="4" max="4" width="20.13"/>
    <col customWidth="1" min="5" max="5" width="21.88"/>
    <col customWidth="1" min="6" max="6" width="14.38"/>
  </cols>
  <sheetData>
    <row r="1" ht="15.75" customHeight="1">
      <c r="A1" s="1"/>
      <c r="B1" s="2" t="s">
        <v>0</v>
      </c>
      <c r="C1" s="3" t="s">
        <v>1</v>
      </c>
      <c r="F1" s="1"/>
    </row>
    <row r="2" ht="15.75" customHeight="1">
      <c r="A2" s="4" t="s">
        <v>2</v>
      </c>
      <c r="B2" s="4"/>
      <c r="C2" s="4" t="s">
        <v>3</v>
      </c>
      <c r="D2" s="4" t="s">
        <v>4</v>
      </c>
      <c r="E2" s="4" t="s">
        <v>43</v>
      </c>
      <c r="X2" s="5"/>
      <c r="Y2" s="5"/>
      <c r="Z2" s="5"/>
    </row>
    <row r="3" ht="15.75" customHeight="1">
      <c r="A3" s="6" t="s">
        <v>5</v>
      </c>
      <c r="B3" s="7"/>
      <c r="C3" s="5"/>
      <c r="D3" s="5"/>
      <c r="E3" s="5"/>
      <c r="H3" s="8"/>
      <c r="I3" s="8"/>
      <c r="J3" s="9"/>
      <c r="L3" s="9"/>
      <c r="N3" s="10"/>
    </row>
    <row r="4" ht="15.75" customHeight="1">
      <c r="A4" s="11" t="s">
        <v>6</v>
      </c>
      <c r="B4" s="12"/>
      <c r="C4" s="13"/>
      <c r="D4" s="13"/>
      <c r="E4" s="13"/>
    </row>
    <row r="5" ht="15.75" customHeight="1">
      <c r="A5" s="6" t="s">
        <v>7</v>
      </c>
      <c r="B5" s="5"/>
      <c r="C5" s="14" t="str">
        <f t="shared" ref="C5:C7" si="1">B5/B4</f>
        <v>#DIV/0!</v>
      </c>
      <c r="D5" s="13">
        <v>0.006</v>
      </c>
      <c r="E5" s="13">
        <v>0.006</v>
      </c>
    </row>
    <row r="6" ht="15.75" customHeight="1">
      <c r="A6" s="6" t="s">
        <v>9</v>
      </c>
      <c r="B6" s="5"/>
      <c r="C6" s="14" t="str">
        <f t="shared" si="1"/>
        <v>#DIV/0!</v>
      </c>
      <c r="D6" s="13">
        <v>0.8</v>
      </c>
      <c r="E6" s="13">
        <v>0.8</v>
      </c>
    </row>
    <row r="7" ht="15.75" customHeight="1">
      <c r="A7" s="6" t="s">
        <v>11</v>
      </c>
      <c r="B7" s="5"/>
      <c r="C7" s="13" t="str">
        <f t="shared" si="1"/>
        <v>#DIV/0!</v>
      </c>
      <c r="D7" s="13">
        <v>0.06</v>
      </c>
      <c r="E7" s="13">
        <v>0.06</v>
      </c>
    </row>
    <row r="8" ht="15.75" customHeight="1">
      <c r="A8" s="6" t="s">
        <v>13</v>
      </c>
      <c r="B8" s="5"/>
      <c r="C8" s="16" t="str">
        <f t="shared" ref="C8:C10" si="2">SUM(B8/B7,0)</f>
        <v>#DIV/0!</v>
      </c>
      <c r="D8" s="13">
        <v>1.0</v>
      </c>
      <c r="E8" s="13">
        <v>1.0</v>
      </c>
    </row>
    <row r="9" ht="15.75" customHeight="1">
      <c r="A9" s="6" t="s">
        <v>15</v>
      </c>
      <c r="B9" s="17"/>
      <c r="C9" s="16" t="str">
        <f t="shared" si="2"/>
        <v>#DIV/0!</v>
      </c>
      <c r="D9" s="13">
        <v>0.7</v>
      </c>
      <c r="E9" s="13">
        <v>0.7</v>
      </c>
    </row>
    <row r="10" ht="15.75" customHeight="1">
      <c r="A10" s="6" t="s">
        <v>17</v>
      </c>
      <c r="B10" s="17"/>
      <c r="C10" s="13" t="str">
        <f t="shared" si="2"/>
        <v>#DIV/0!</v>
      </c>
      <c r="D10" s="13">
        <v>0.25</v>
      </c>
      <c r="E10" s="13">
        <v>0.25</v>
      </c>
    </row>
    <row r="11" ht="15.75" customHeight="1">
      <c r="A11" s="6" t="s">
        <v>19</v>
      </c>
      <c r="B11" s="18"/>
      <c r="C11" s="6"/>
      <c r="D11" s="6"/>
      <c r="E11" s="6"/>
    </row>
    <row r="12" ht="15.75" customHeight="1">
      <c r="A12" s="6" t="s">
        <v>20</v>
      </c>
      <c r="B12" s="19"/>
      <c r="C12" s="6"/>
      <c r="D12" s="6"/>
      <c r="E12" s="6"/>
    </row>
    <row r="13" ht="15.75" customHeight="1">
      <c r="A13" s="1"/>
    </row>
    <row r="14" ht="15.75" customHeight="1">
      <c r="A14" s="20" t="s">
        <v>21</v>
      </c>
      <c r="B14" s="20" t="s">
        <v>22</v>
      </c>
      <c r="C14" s="20" t="s">
        <v>23</v>
      </c>
    </row>
    <row r="15" ht="15.75" customHeight="1">
      <c r="A15" s="5" t="s">
        <v>24</v>
      </c>
      <c r="B15" s="7" t="str">
        <f>B3/B7</f>
        <v>#DIV/0!</v>
      </c>
      <c r="C15" s="5"/>
      <c r="D15" s="15" t="s">
        <v>25</v>
      </c>
    </row>
    <row r="16" ht="15.75" customHeight="1">
      <c r="A16" s="5" t="s">
        <v>26</v>
      </c>
      <c r="B16" s="7" t="str">
        <f>B3/B8</f>
        <v>#DIV/0!</v>
      </c>
      <c r="C16" s="5"/>
      <c r="D16" s="15" t="s">
        <v>27</v>
      </c>
    </row>
    <row r="17" ht="15.75" customHeight="1">
      <c r="A17" s="5" t="s">
        <v>28</v>
      </c>
      <c r="B17" s="7" t="str">
        <f>B3/B9</f>
        <v>#DIV/0!</v>
      </c>
      <c r="C17" s="5"/>
      <c r="D17" s="15" t="s">
        <v>29</v>
      </c>
    </row>
    <row r="18" ht="15.75" customHeight="1">
      <c r="A18" s="5" t="s">
        <v>30</v>
      </c>
      <c r="B18" s="7" t="str">
        <f>B3/B10</f>
        <v>#DIV/0!</v>
      </c>
      <c r="C18" s="5"/>
      <c r="D18" s="15" t="s">
        <v>31</v>
      </c>
    </row>
    <row r="19" ht="15.75" customHeight="1">
      <c r="A19" s="1"/>
      <c r="B19" s="21" t="s">
        <v>32</v>
      </c>
    </row>
    <row r="20" ht="15.75" customHeight="1">
      <c r="A20" s="1"/>
    </row>
    <row r="21" ht="15.75" customHeight="1"/>
    <row r="22" ht="15.75" customHeight="1"/>
    <row r="23" ht="15.75" customHeight="1"/>
    <row r="24" ht="15.75" customHeight="1"/>
    <row r="25" ht="15.75" customHeight="1">
      <c r="B25" s="8"/>
      <c r="C25" s="9"/>
      <c r="D25" s="9"/>
    </row>
    <row r="26" ht="15.75" customHeight="1">
      <c r="C26" s="9"/>
      <c r="D26" s="9"/>
    </row>
    <row r="27" ht="15.75" customHeight="1">
      <c r="C27" s="22"/>
      <c r="D27" s="9"/>
    </row>
    <row r="28" ht="15.75" customHeight="1">
      <c r="B28" s="23"/>
      <c r="C28" s="22"/>
      <c r="D28" s="9"/>
    </row>
    <row r="29" ht="15.75" customHeight="1">
      <c r="B29" s="23"/>
      <c r="C29" s="9"/>
      <c r="D29" s="9"/>
    </row>
    <row r="30" ht="15.75" customHeight="1">
      <c r="B30" s="8"/>
    </row>
    <row r="31" ht="15.75" customHeight="1">
      <c r="F31" s="1"/>
    </row>
    <row r="32" ht="15.75" customHeight="1"/>
    <row r="33" ht="15.75" customHeight="1">
      <c r="B33" s="8"/>
      <c r="C33" s="9"/>
      <c r="D33" s="9"/>
    </row>
    <row r="34" ht="15.75" customHeight="1">
      <c r="C34" s="9"/>
    </row>
    <row r="35" ht="15.75" customHeight="1">
      <c r="C35" s="22"/>
    </row>
    <row r="36" ht="15.75" customHeight="1">
      <c r="C36" s="22"/>
    </row>
    <row r="37" ht="15.75" customHeight="1">
      <c r="C37" s="9"/>
    </row>
    <row r="38" ht="15.75" customHeight="1">
      <c r="B38" s="8"/>
    </row>
    <row r="39" ht="15.75" customHeight="1">
      <c r="B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A84" s="24" t="s">
        <v>33</v>
      </c>
    </row>
    <row r="85" ht="15.75" customHeight="1">
      <c r="A85" s="24" t="s">
        <v>34</v>
      </c>
    </row>
    <row r="86" ht="15.75" customHeight="1">
      <c r="A86" s="24"/>
    </row>
    <row r="87" ht="15.75" customHeight="1">
      <c r="A87" s="24" t="s">
        <v>35</v>
      </c>
    </row>
    <row r="88" ht="15.75" customHeight="1">
      <c r="A88" s="24"/>
    </row>
    <row r="89" ht="15.75" customHeight="1">
      <c r="A89" s="24" t="s">
        <v>36</v>
      </c>
    </row>
    <row r="90" ht="15.75" customHeight="1">
      <c r="A90" s="24"/>
    </row>
    <row r="91" ht="15.75" customHeight="1">
      <c r="A91" s="24" t="s">
        <v>37</v>
      </c>
    </row>
    <row r="92" ht="15.75" customHeight="1">
      <c r="A92" s="24"/>
    </row>
    <row r="93" ht="15.75" customHeight="1">
      <c r="A93" s="24" t="s">
        <v>38</v>
      </c>
    </row>
    <row r="94" ht="15.75" customHeight="1">
      <c r="A94" s="24" t="s">
        <v>39</v>
      </c>
    </row>
    <row r="95" ht="15.75" customHeight="1">
      <c r="A95" s="24" t="s">
        <v>40</v>
      </c>
    </row>
    <row r="96" ht="15.75" customHeight="1">
      <c r="A96" s="24" t="s">
        <v>41</v>
      </c>
    </row>
    <row r="97" ht="15.75" customHeight="1">
      <c r="A97" s="24"/>
    </row>
    <row r="98" ht="15.75" customHeight="1">
      <c r="A98" s="24" t="s">
        <v>42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54.0"/>
    <col customWidth="1" min="3" max="3" width="81.38"/>
    <col customWidth="1" min="4" max="6" width="12.63"/>
  </cols>
  <sheetData>
    <row r="1" ht="15.75" customHeight="1">
      <c r="A1" s="1" t="s">
        <v>44</v>
      </c>
      <c r="B1" s="1" t="s">
        <v>45</v>
      </c>
      <c r="C1" s="1" t="s">
        <v>46</v>
      </c>
    </row>
    <row r="2" ht="15.75" customHeight="1">
      <c r="A2" s="15" t="s">
        <v>47</v>
      </c>
      <c r="B2" s="15" t="s">
        <v>48</v>
      </c>
      <c r="C2" s="15" t="s">
        <v>49</v>
      </c>
    </row>
    <row r="3" ht="15.75" customHeight="1">
      <c r="A3" s="15" t="s">
        <v>50</v>
      </c>
      <c r="B3" s="15" t="s">
        <v>51</v>
      </c>
      <c r="C3" s="15" t="s">
        <v>52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